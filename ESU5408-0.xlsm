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8f2a4caeecff4d29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540" windowWidth="19200" windowHeight="6912"/>
  </bookViews>
  <sheets>
    <sheet name="NO3NH4" sheetId="50" r:id="rId1"/>
    <sheet name="Datos" sheetId="51" r:id="rId2"/>
    <sheet name="NH4" sheetId="55" r:id="rId3"/>
    <sheet name="NO3" sheetId="56" r:id="rId4"/>
    <sheet name="NMIN" sheetId="54" r:id="rId5"/>
    <sheet name="NORG" sheetId="57" r:id="rId6"/>
  </sheets>
  <functionGroups builtInGroupCount="17"/>
  <definedNames>
    <definedName name="_xlnm.Print_Area" localSheetId="0">NO3NH4!$A$1:$L$56</definedName>
    <definedName name="_xlnm.Print_Titles" localSheetId="0">NO3NH4!$1:$1</definedName>
  </definedNames>
  <calcPr calcId="145621"/>
</workbook>
</file>

<file path=xl/calcChain.xml><?xml version="1.0" encoding="utf-8"?>
<calcChain xmlns="http://schemas.openxmlformats.org/spreadsheetml/2006/main">
  <c r="A3" i="57" l="1"/>
  <c r="A4" i="57"/>
  <c r="A5" i="57"/>
  <c r="A6" i="57"/>
  <c r="A7" i="57"/>
  <c r="A8" i="57"/>
  <c r="A9" i="57"/>
  <c r="A10" i="57"/>
  <c r="A11" i="57"/>
  <c r="A12" i="57"/>
  <c r="A13" i="57"/>
  <c r="A14" i="57"/>
  <c r="A15" i="57"/>
  <c r="A16" i="57"/>
  <c r="A17" i="57"/>
  <c r="A18" i="57"/>
  <c r="A19" i="57"/>
  <c r="A20" i="57"/>
  <c r="A21" i="57"/>
  <c r="A22" i="57"/>
  <c r="A23" i="57"/>
  <c r="A24" i="57"/>
  <c r="A25" i="57"/>
  <c r="A26" i="57"/>
  <c r="A27" i="57"/>
  <c r="A28" i="57"/>
  <c r="A29" i="57"/>
  <c r="A30" i="57"/>
  <c r="A31" i="57"/>
  <c r="A32" i="57"/>
  <c r="A33" i="57"/>
  <c r="A34" i="57"/>
  <c r="A35" i="57"/>
  <c r="A36" i="57"/>
  <c r="A37" i="57"/>
  <c r="A38" i="57"/>
  <c r="A39" i="57"/>
  <c r="A40" i="57"/>
  <c r="A41" i="57"/>
  <c r="A42" i="57"/>
  <c r="A43" i="57"/>
  <c r="A44" i="57"/>
  <c r="A45" i="57"/>
  <c r="A46" i="57"/>
  <c r="A47" i="57"/>
  <c r="A48" i="57"/>
  <c r="A49" i="57"/>
  <c r="A50" i="57"/>
  <c r="A51" i="57"/>
  <c r="A52" i="57"/>
  <c r="A53" i="57"/>
  <c r="A54" i="57"/>
  <c r="A55" i="57"/>
  <c r="A56" i="57"/>
  <c r="A2" i="57"/>
  <c r="A56" i="56" l="1"/>
  <c r="A55" i="56"/>
  <c r="A54" i="56"/>
  <c r="A53" i="56"/>
  <c r="A52" i="56"/>
  <c r="A51" i="56"/>
  <c r="A50" i="56"/>
  <c r="A49" i="56"/>
  <c r="A48" i="56"/>
  <c r="A47" i="56"/>
  <c r="A46" i="56"/>
  <c r="A45" i="56"/>
  <c r="A44" i="56"/>
  <c r="A43" i="56"/>
  <c r="A42" i="56"/>
  <c r="A41" i="56"/>
  <c r="A40" i="56"/>
  <c r="A39" i="56"/>
  <c r="A38" i="56"/>
  <c r="A37" i="56"/>
  <c r="A36" i="56"/>
  <c r="A35" i="56"/>
  <c r="A34" i="56"/>
  <c r="A33" i="56"/>
  <c r="A32" i="56"/>
  <c r="A31" i="56"/>
  <c r="A30" i="56"/>
  <c r="A29" i="56"/>
  <c r="A28" i="56"/>
  <c r="A27" i="56"/>
  <c r="A26" i="56"/>
  <c r="A25" i="56"/>
  <c r="A24" i="56"/>
  <c r="A23" i="56"/>
  <c r="A22" i="56"/>
  <c r="A21" i="56"/>
  <c r="A20" i="56"/>
  <c r="A19" i="56"/>
  <c r="A18" i="56"/>
  <c r="A17" i="56"/>
  <c r="A16" i="56"/>
  <c r="A15" i="56"/>
  <c r="A14" i="56"/>
  <c r="A13" i="56"/>
  <c r="A12" i="56"/>
  <c r="A11" i="56"/>
  <c r="A10" i="56"/>
  <c r="A9" i="56"/>
  <c r="A8" i="56"/>
  <c r="A7" i="56"/>
  <c r="A6" i="56"/>
  <c r="A5" i="56"/>
  <c r="A4" i="56"/>
  <c r="A3" i="56"/>
  <c r="A2" i="56"/>
  <c r="A56" i="55"/>
  <c r="A55" i="55"/>
  <c r="A54" i="55"/>
  <c r="A53" i="55"/>
  <c r="A52" i="55"/>
  <c r="A51" i="55"/>
  <c r="A50" i="55"/>
  <c r="A49" i="55"/>
  <c r="A48" i="55"/>
  <c r="A47" i="55"/>
  <c r="A46" i="55"/>
  <c r="A45" i="55"/>
  <c r="A44" i="55"/>
  <c r="A43" i="55"/>
  <c r="A42" i="55"/>
  <c r="A41" i="55"/>
  <c r="A40" i="55"/>
  <c r="A39" i="55"/>
  <c r="A38" i="55"/>
  <c r="A37" i="55"/>
  <c r="A36" i="55"/>
  <c r="A35" i="55"/>
  <c r="A34" i="55"/>
  <c r="A33" i="55"/>
  <c r="A32" i="55"/>
  <c r="A31" i="55"/>
  <c r="A30" i="55"/>
  <c r="A29" i="55"/>
  <c r="A28" i="55"/>
  <c r="A27" i="55"/>
  <c r="A26" i="55"/>
  <c r="A25" i="55"/>
  <c r="A24" i="55"/>
  <c r="A23" i="55"/>
  <c r="A22" i="55"/>
  <c r="A21" i="55"/>
  <c r="A20" i="55"/>
  <c r="A19" i="55"/>
  <c r="A18" i="55"/>
  <c r="A17" i="55"/>
  <c r="A16" i="55"/>
  <c r="A15" i="55"/>
  <c r="A14" i="55"/>
  <c r="A13" i="55"/>
  <c r="A12" i="55"/>
  <c r="A11" i="55"/>
  <c r="A10" i="55"/>
  <c r="A9" i="55"/>
  <c r="A8" i="55"/>
  <c r="A7" i="55"/>
  <c r="A6" i="55"/>
  <c r="A5" i="55"/>
  <c r="A4" i="55"/>
  <c r="A3" i="55"/>
  <c r="A2" i="55"/>
  <c r="A3" i="54" l="1"/>
  <c r="A4" i="54"/>
  <c r="A5" i="54"/>
  <c r="A6" i="54"/>
  <c r="A7" i="54"/>
  <c r="A8" i="54"/>
  <c r="A9" i="54"/>
  <c r="A10" i="54"/>
  <c r="A11" i="54"/>
  <c r="A12" i="54"/>
  <c r="A13" i="54"/>
  <c r="A14" i="54"/>
  <c r="A15" i="54"/>
  <c r="A16" i="54"/>
  <c r="A17" i="54"/>
  <c r="A18" i="54"/>
  <c r="A19" i="54"/>
  <c r="A20" i="54"/>
  <c r="A21" i="54"/>
  <c r="A22" i="54"/>
  <c r="A23" i="54"/>
  <c r="A24" i="54"/>
  <c r="A25" i="54"/>
  <c r="A26" i="54"/>
  <c r="A27" i="54"/>
  <c r="A28" i="54"/>
  <c r="A29" i="54"/>
  <c r="A30" i="54"/>
  <c r="A31" i="54"/>
  <c r="A32" i="54"/>
  <c r="A33" i="54"/>
  <c r="A34" i="54"/>
  <c r="A35" i="54"/>
  <c r="A36" i="54"/>
  <c r="A37" i="54"/>
  <c r="A38" i="54"/>
  <c r="A39" i="54"/>
  <c r="A40" i="54"/>
  <c r="A41" i="54"/>
  <c r="A42" i="54"/>
  <c r="A43" i="54"/>
  <c r="A44" i="54"/>
  <c r="A45" i="54"/>
  <c r="A46" i="54"/>
  <c r="A47" i="54"/>
  <c r="A48" i="54"/>
  <c r="A49" i="54"/>
  <c r="A50" i="54"/>
  <c r="A51" i="54"/>
  <c r="A52" i="54"/>
  <c r="A53" i="54"/>
  <c r="A54" i="54"/>
  <c r="A55" i="54"/>
  <c r="A56" i="54"/>
  <c r="A2" i="54"/>
  <c r="C3" i="50" l="1"/>
  <c r="C4" i="50"/>
  <c r="C5" i="50"/>
  <c r="C6" i="50"/>
  <c r="C7" i="50"/>
  <c r="C8" i="50"/>
  <c r="C9" i="50"/>
  <c r="C10" i="50"/>
  <c r="C11" i="50"/>
  <c r="C12" i="50"/>
  <c r="C13" i="50"/>
  <c r="C14" i="50"/>
  <c r="C15" i="50"/>
  <c r="C16" i="50"/>
  <c r="C17" i="50"/>
  <c r="C18" i="50"/>
  <c r="C19" i="50"/>
  <c r="C20" i="50"/>
  <c r="C21" i="50"/>
  <c r="C22" i="50"/>
  <c r="C23" i="50"/>
  <c r="C24" i="50"/>
  <c r="C25" i="50"/>
  <c r="C26" i="50"/>
  <c r="C27" i="50"/>
  <c r="C28" i="50"/>
  <c r="C29" i="50"/>
  <c r="C30" i="50"/>
  <c r="C31" i="50"/>
  <c r="C32" i="50"/>
  <c r="C33" i="50"/>
  <c r="C34" i="50"/>
  <c r="C35" i="50"/>
  <c r="C36" i="50"/>
  <c r="C37" i="50"/>
  <c r="C38" i="50"/>
  <c r="C39" i="50"/>
  <c r="C40" i="50"/>
  <c r="C41" i="50"/>
  <c r="C42" i="50"/>
  <c r="C43" i="50"/>
  <c r="C44" i="50"/>
  <c r="C45" i="50"/>
  <c r="C46" i="50"/>
  <c r="C47" i="50"/>
  <c r="C48" i="50"/>
  <c r="C49" i="50"/>
  <c r="C50" i="50"/>
  <c r="C51" i="50"/>
  <c r="C52" i="50"/>
  <c r="C53" i="50"/>
  <c r="C54" i="50"/>
  <c r="C55" i="50"/>
  <c r="C56" i="50"/>
  <c r="C2" i="50"/>
  <c r="B3" i="50"/>
  <c r="B4" i="50"/>
  <c r="B5" i="50"/>
  <c r="B6" i="50"/>
  <c r="B7" i="50"/>
  <c r="B8" i="50"/>
  <c r="B9" i="50"/>
  <c r="B10" i="50"/>
  <c r="B11" i="50"/>
  <c r="B12" i="50"/>
  <c r="B13" i="50"/>
  <c r="B14" i="50"/>
  <c r="B15" i="50"/>
  <c r="B16" i="50"/>
  <c r="B17" i="50"/>
  <c r="B18" i="50"/>
  <c r="B19" i="50"/>
  <c r="B20" i="50"/>
  <c r="B21" i="50"/>
  <c r="B22" i="50"/>
  <c r="B23" i="50"/>
  <c r="B24" i="50"/>
  <c r="B25" i="50"/>
  <c r="B26" i="50"/>
  <c r="B27" i="50"/>
  <c r="B28" i="50"/>
  <c r="B29" i="50"/>
  <c r="B30" i="50"/>
  <c r="B31" i="50"/>
  <c r="B32" i="50"/>
  <c r="B33" i="50"/>
  <c r="B34" i="50"/>
  <c r="B35" i="50"/>
  <c r="B36" i="50"/>
  <c r="B37" i="50"/>
  <c r="B38" i="50"/>
  <c r="B39" i="50"/>
  <c r="B40" i="50"/>
  <c r="B41" i="50"/>
  <c r="B42" i="50"/>
  <c r="B43" i="50"/>
  <c r="B44" i="50"/>
  <c r="B45" i="50"/>
  <c r="B46" i="50"/>
  <c r="B47" i="50"/>
  <c r="B48" i="50"/>
  <c r="B49" i="50"/>
  <c r="B50" i="50"/>
  <c r="B51" i="50"/>
  <c r="B52" i="50"/>
  <c r="B53" i="50"/>
  <c r="B54" i="50"/>
  <c r="B55" i="50"/>
  <c r="B56" i="50"/>
  <c r="B2" i="50"/>
  <c r="B51" i="57" l="1"/>
  <c r="J51" i="50"/>
  <c r="I51" i="50"/>
  <c r="B39" i="57"/>
  <c r="J39" i="50"/>
  <c r="I39" i="50"/>
  <c r="B31" i="57"/>
  <c r="J31" i="50"/>
  <c r="D31" i="57" s="1"/>
  <c r="I31" i="50"/>
  <c r="B23" i="57"/>
  <c r="J23" i="50"/>
  <c r="I23" i="50"/>
  <c r="C23" i="57" s="1"/>
  <c r="B15" i="57"/>
  <c r="J15" i="50"/>
  <c r="I15" i="50"/>
  <c r="C15" i="57" s="1"/>
  <c r="B7" i="57"/>
  <c r="J7" i="50"/>
  <c r="I7" i="50"/>
  <c r="B54" i="57"/>
  <c r="J54" i="50"/>
  <c r="D54" i="57" s="1"/>
  <c r="I54" i="50"/>
  <c r="B46" i="57"/>
  <c r="I46" i="50"/>
  <c r="J46" i="50"/>
  <c r="D46" i="57" s="1"/>
  <c r="B38" i="57"/>
  <c r="I38" i="50"/>
  <c r="J38" i="50"/>
  <c r="D38" i="57" s="1"/>
  <c r="B30" i="57"/>
  <c r="I30" i="50"/>
  <c r="J30" i="50"/>
  <c r="B22" i="57"/>
  <c r="I22" i="50"/>
  <c r="C22" i="57" s="1"/>
  <c r="J22" i="50"/>
  <c r="B14" i="57"/>
  <c r="I14" i="50"/>
  <c r="J14" i="50"/>
  <c r="B10" i="57"/>
  <c r="I10" i="50"/>
  <c r="J10" i="50"/>
  <c r="B6" i="57"/>
  <c r="I6" i="50"/>
  <c r="J6" i="50"/>
  <c r="B2" i="57"/>
  <c r="I2" i="50"/>
  <c r="J2" i="50"/>
  <c r="B53" i="57"/>
  <c r="I53" i="50"/>
  <c r="J53" i="50"/>
  <c r="B49" i="57"/>
  <c r="I49" i="50"/>
  <c r="J49" i="50"/>
  <c r="B45" i="57"/>
  <c r="I45" i="50"/>
  <c r="J45" i="50"/>
  <c r="B41" i="57"/>
  <c r="I41" i="50"/>
  <c r="J41" i="50"/>
  <c r="B37" i="57"/>
  <c r="I37" i="50"/>
  <c r="J37" i="50"/>
  <c r="B33" i="57"/>
  <c r="I33" i="50"/>
  <c r="J33" i="50"/>
  <c r="D33" i="57" s="1"/>
  <c r="B29" i="57"/>
  <c r="I29" i="50"/>
  <c r="J29" i="50"/>
  <c r="B25" i="57"/>
  <c r="I25" i="50"/>
  <c r="C25" i="57" s="1"/>
  <c r="J25" i="50"/>
  <c r="B21" i="57"/>
  <c r="I21" i="50"/>
  <c r="J21" i="50"/>
  <c r="D21" i="57" s="1"/>
  <c r="B17" i="57"/>
  <c r="I17" i="50"/>
  <c r="J17" i="50"/>
  <c r="B13" i="57"/>
  <c r="I13" i="50"/>
  <c r="J13" i="50"/>
  <c r="B9" i="57"/>
  <c r="I9" i="50"/>
  <c r="C9" i="57" s="1"/>
  <c r="J9" i="50"/>
  <c r="B5" i="57"/>
  <c r="I5" i="50"/>
  <c r="C5" i="57" s="1"/>
  <c r="J5" i="50"/>
  <c r="D5" i="57" s="1"/>
  <c r="B55" i="57"/>
  <c r="J55" i="50"/>
  <c r="I55" i="50"/>
  <c r="C55" i="57" s="1"/>
  <c r="B47" i="57"/>
  <c r="J47" i="50"/>
  <c r="I47" i="50"/>
  <c r="B43" i="57"/>
  <c r="J43" i="50"/>
  <c r="I43" i="50"/>
  <c r="B35" i="57"/>
  <c r="J35" i="50"/>
  <c r="D35" i="57" s="1"/>
  <c r="I35" i="50"/>
  <c r="B27" i="57"/>
  <c r="J27" i="50"/>
  <c r="I27" i="50"/>
  <c r="B19" i="57"/>
  <c r="J19" i="50"/>
  <c r="I19" i="50"/>
  <c r="B11" i="57"/>
  <c r="J11" i="50"/>
  <c r="D11" i="57" s="1"/>
  <c r="I11" i="50"/>
  <c r="B3" i="57"/>
  <c r="J3" i="50"/>
  <c r="I3" i="50"/>
  <c r="C3" i="57" s="1"/>
  <c r="B50" i="57"/>
  <c r="I50" i="50"/>
  <c r="J50" i="50"/>
  <c r="B42" i="57"/>
  <c r="J42" i="50"/>
  <c r="I42" i="50"/>
  <c r="B34" i="57"/>
  <c r="I34" i="50"/>
  <c r="J34" i="50"/>
  <c r="B26" i="57"/>
  <c r="I26" i="50"/>
  <c r="C26" i="57" s="1"/>
  <c r="J26" i="50"/>
  <c r="D26" i="57" s="1"/>
  <c r="B18" i="57"/>
  <c r="I18" i="50"/>
  <c r="J18" i="50"/>
  <c r="B56" i="57"/>
  <c r="I56" i="50"/>
  <c r="J56" i="50"/>
  <c r="B52" i="57"/>
  <c r="I52" i="50"/>
  <c r="C52" i="57" s="1"/>
  <c r="J52" i="50"/>
  <c r="B48" i="57"/>
  <c r="I48" i="50"/>
  <c r="J48" i="50"/>
  <c r="D48" i="57" s="1"/>
  <c r="B44" i="57"/>
  <c r="I44" i="50"/>
  <c r="J44" i="50"/>
  <c r="D44" i="57" s="1"/>
  <c r="B40" i="57"/>
  <c r="I40" i="50"/>
  <c r="J40" i="50"/>
  <c r="B36" i="57"/>
  <c r="I36" i="50"/>
  <c r="C36" i="57" s="1"/>
  <c r="J36" i="50"/>
  <c r="B32" i="57"/>
  <c r="I32" i="50"/>
  <c r="J32" i="50"/>
  <c r="D32" i="57" s="1"/>
  <c r="B28" i="57"/>
  <c r="I28" i="50"/>
  <c r="J28" i="50"/>
  <c r="D28" i="57" s="1"/>
  <c r="B24" i="57"/>
  <c r="I24" i="50"/>
  <c r="J24" i="50"/>
  <c r="B20" i="57"/>
  <c r="I20" i="50"/>
  <c r="C20" i="57" s="1"/>
  <c r="J20" i="50"/>
  <c r="B16" i="57"/>
  <c r="I16" i="50"/>
  <c r="C16" i="57" s="1"/>
  <c r="J16" i="50"/>
  <c r="D16" i="57" s="1"/>
  <c r="B12" i="57"/>
  <c r="I12" i="50"/>
  <c r="J12" i="50"/>
  <c r="B8" i="57"/>
  <c r="I8" i="50"/>
  <c r="J8" i="50"/>
  <c r="B4" i="57"/>
  <c r="I4" i="50"/>
  <c r="J4" i="50"/>
  <c r="B55" i="54"/>
  <c r="B55" i="56"/>
  <c r="B55" i="55"/>
  <c r="B51" i="54"/>
  <c r="B51" i="55"/>
  <c r="B51" i="56"/>
  <c r="B47" i="54"/>
  <c r="B47" i="55"/>
  <c r="B47" i="56"/>
  <c r="B43" i="54"/>
  <c r="B43" i="55"/>
  <c r="B43" i="56"/>
  <c r="B39" i="54"/>
  <c r="B39" i="55"/>
  <c r="B39" i="56"/>
  <c r="B35" i="54"/>
  <c r="B35" i="55"/>
  <c r="B35" i="56"/>
  <c r="B31" i="54"/>
  <c r="B31" i="55"/>
  <c r="B31" i="56"/>
  <c r="B27" i="54"/>
  <c r="B27" i="55"/>
  <c r="B27" i="56"/>
  <c r="B23" i="54"/>
  <c r="B23" i="55"/>
  <c r="B23" i="56"/>
  <c r="B19" i="54"/>
  <c r="B19" i="55"/>
  <c r="B19" i="56"/>
  <c r="B15" i="54"/>
  <c r="B15" i="55"/>
  <c r="B15" i="56"/>
  <c r="B11" i="54"/>
  <c r="B11" i="55"/>
  <c r="B11" i="56"/>
  <c r="B7" i="54"/>
  <c r="B7" i="55"/>
  <c r="B7" i="56"/>
  <c r="B3" i="54"/>
  <c r="B3" i="55"/>
  <c r="B3" i="56"/>
  <c r="B42" i="54"/>
  <c r="B42" i="55"/>
  <c r="B42" i="56"/>
  <c r="B34" i="54"/>
  <c r="B34" i="55"/>
  <c r="B34" i="56"/>
  <c r="B29" i="54"/>
  <c r="B29" i="55"/>
  <c r="B29" i="56"/>
  <c r="B54" i="54"/>
  <c r="B54" i="56"/>
  <c r="B54" i="55"/>
  <c r="B50" i="54"/>
  <c r="B50" i="55"/>
  <c r="B50" i="56"/>
  <c r="B46" i="54"/>
  <c r="B46" i="55"/>
  <c r="B46" i="56"/>
  <c r="B38" i="54"/>
  <c r="B38" i="55"/>
  <c r="B38" i="56"/>
  <c r="B30" i="54"/>
  <c r="B30" i="55"/>
  <c r="B30" i="56"/>
  <c r="B26" i="54"/>
  <c r="B26" i="55"/>
  <c r="B26" i="56"/>
  <c r="B22" i="54"/>
  <c r="B22" i="55"/>
  <c r="B22" i="56"/>
  <c r="B18" i="54"/>
  <c r="B18" i="55"/>
  <c r="B18" i="56"/>
  <c r="B14" i="54"/>
  <c r="B14" i="55"/>
  <c r="B14" i="56"/>
  <c r="B10" i="54"/>
  <c r="B10" i="55"/>
  <c r="B10" i="56"/>
  <c r="B6" i="54"/>
  <c r="B6" i="55"/>
  <c r="B6" i="56"/>
  <c r="B2" i="55"/>
  <c r="B2" i="56"/>
  <c r="B53" i="54"/>
  <c r="B53" i="55"/>
  <c r="B53" i="56"/>
  <c r="B49" i="54"/>
  <c r="B49" i="55"/>
  <c r="B49" i="56"/>
  <c r="B45" i="54"/>
  <c r="B45" i="55"/>
  <c r="B45" i="56"/>
  <c r="B41" i="54"/>
  <c r="B41" i="55"/>
  <c r="B41" i="56"/>
  <c r="B37" i="54"/>
  <c r="B37" i="55"/>
  <c r="B37" i="56"/>
  <c r="B33" i="54"/>
  <c r="B33" i="55"/>
  <c r="B33" i="56"/>
  <c r="B25" i="54"/>
  <c r="B25" i="55"/>
  <c r="B25" i="56"/>
  <c r="B21" i="54"/>
  <c r="B21" i="55"/>
  <c r="B21" i="56"/>
  <c r="B17" i="54"/>
  <c r="B17" i="55"/>
  <c r="B17" i="56"/>
  <c r="B13" i="54"/>
  <c r="B13" i="55"/>
  <c r="B13" i="56"/>
  <c r="B9" i="54"/>
  <c r="B9" i="55"/>
  <c r="B9" i="56"/>
  <c r="B5" i="54"/>
  <c r="B5" i="55"/>
  <c r="B5" i="56"/>
  <c r="B56" i="54"/>
  <c r="B56" i="55"/>
  <c r="B56" i="56"/>
  <c r="B52" i="54"/>
  <c r="B52" i="56"/>
  <c r="B52" i="55"/>
  <c r="B48" i="54"/>
  <c r="B48" i="55"/>
  <c r="B48" i="56"/>
  <c r="B44" i="54"/>
  <c r="B44" i="55"/>
  <c r="B44" i="56"/>
  <c r="B40" i="54"/>
  <c r="B40" i="55"/>
  <c r="B40" i="56"/>
  <c r="B36" i="54"/>
  <c r="B36" i="55"/>
  <c r="B36" i="56"/>
  <c r="B32" i="54"/>
  <c r="B32" i="55"/>
  <c r="B32" i="56"/>
  <c r="B28" i="54"/>
  <c r="B28" i="55"/>
  <c r="B28" i="56"/>
  <c r="B24" i="54"/>
  <c r="B24" i="55"/>
  <c r="B24" i="56"/>
  <c r="B20" i="54"/>
  <c r="B20" i="55"/>
  <c r="B20" i="56"/>
  <c r="B16" i="54"/>
  <c r="B16" i="55"/>
  <c r="B16" i="56"/>
  <c r="B12" i="54"/>
  <c r="B12" i="55"/>
  <c r="B12" i="56"/>
  <c r="B8" i="54"/>
  <c r="B8" i="55"/>
  <c r="B8" i="56"/>
  <c r="B4" i="54"/>
  <c r="B4" i="55"/>
  <c r="B4" i="56"/>
  <c r="C54" i="57"/>
  <c r="C46" i="57"/>
  <c r="C38" i="57"/>
  <c r="D30" i="57"/>
  <c r="C30" i="57"/>
  <c r="D22" i="57"/>
  <c r="B2" i="54"/>
  <c r="D2" i="54"/>
  <c r="C49" i="57"/>
  <c r="D49" i="57"/>
  <c r="C41" i="57"/>
  <c r="D41" i="57"/>
  <c r="C33" i="57"/>
  <c r="D25" i="57"/>
  <c r="C21" i="57"/>
  <c r="D13" i="57"/>
  <c r="D56" i="57"/>
  <c r="C56" i="57"/>
  <c r="D52" i="57"/>
  <c r="C48" i="57"/>
  <c r="C40" i="57"/>
  <c r="D40" i="57"/>
  <c r="D36" i="57"/>
  <c r="C28" i="57"/>
  <c r="C24" i="57"/>
  <c r="D24" i="57"/>
  <c r="C12" i="57"/>
  <c r="D12" i="57"/>
  <c r="C8" i="57"/>
  <c r="D8" i="57"/>
  <c r="D55" i="57"/>
  <c r="D51" i="57"/>
  <c r="C51" i="57"/>
  <c r="D47" i="57"/>
  <c r="C47" i="57"/>
  <c r="D43" i="57"/>
  <c r="C43" i="57"/>
  <c r="D39" i="57"/>
  <c r="C39" i="57"/>
  <c r="C35" i="57"/>
  <c r="C31" i="57"/>
  <c r="C27" i="57"/>
  <c r="D27" i="57"/>
  <c r="D23" i="57"/>
  <c r="C19" i="57"/>
  <c r="D19" i="57"/>
  <c r="D15" i="57"/>
  <c r="C11" i="57"/>
  <c r="D7" i="57"/>
  <c r="C7" i="57"/>
  <c r="C50" i="57"/>
  <c r="D50" i="57"/>
  <c r="D42" i="57"/>
  <c r="C42" i="57"/>
  <c r="D34" i="57"/>
  <c r="C34" i="57"/>
  <c r="D18" i="57"/>
  <c r="D14" i="57"/>
  <c r="D6" i="57"/>
  <c r="C6" i="57"/>
  <c r="C53" i="57"/>
  <c r="D53" i="57"/>
  <c r="C45" i="57"/>
  <c r="D45" i="57"/>
  <c r="C37" i="57"/>
  <c r="D37" i="57"/>
  <c r="D29" i="57"/>
  <c r="C29" i="57"/>
  <c r="D17" i="57"/>
  <c r="D9" i="57"/>
  <c r="C44" i="57"/>
  <c r="C32" i="57"/>
  <c r="D20" i="57"/>
  <c r="C4" i="54"/>
  <c r="D4" i="57"/>
  <c r="C14" i="57"/>
  <c r="C13" i="57"/>
  <c r="C17" i="57"/>
  <c r="C18" i="57"/>
  <c r="D10" i="57"/>
  <c r="C10" i="57"/>
  <c r="D3" i="57"/>
  <c r="F44" i="57" l="1"/>
  <c r="E44" i="57" s="1"/>
  <c r="G51" i="57"/>
  <c r="I51" i="57" s="1"/>
  <c r="G28" i="57"/>
  <c r="I28" i="57" s="1"/>
  <c r="G40" i="57"/>
  <c r="I40" i="57" s="1"/>
  <c r="F52" i="57"/>
  <c r="E52" i="57" s="1"/>
  <c r="G20" i="57"/>
  <c r="I20" i="57" s="1"/>
  <c r="C5" i="54"/>
  <c r="E5" i="55"/>
  <c r="D5" i="55"/>
  <c r="C5" i="55" s="1"/>
  <c r="D4" i="55"/>
  <c r="C4" i="55" s="1"/>
  <c r="C4" i="57"/>
  <c r="F4" i="57" s="1"/>
  <c r="E4" i="57" s="1"/>
  <c r="F32" i="57"/>
  <c r="E32" i="57" s="1"/>
  <c r="F24" i="57"/>
  <c r="E24" i="57" s="1"/>
  <c r="F36" i="57"/>
  <c r="E36" i="57" s="1"/>
  <c r="G48" i="57"/>
  <c r="I48" i="57" s="1"/>
  <c r="G56" i="57"/>
  <c r="I56" i="57" s="1"/>
  <c r="G3" i="57"/>
  <c r="I3" i="57" s="1"/>
  <c r="G8" i="57"/>
  <c r="G16" i="57"/>
  <c r="F7" i="57"/>
  <c r="E7" i="57" s="1"/>
  <c r="F12" i="57"/>
  <c r="E12" i="57" s="1"/>
  <c r="F53" i="57"/>
  <c r="E53" i="57" s="1"/>
  <c r="G53" i="57"/>
  <c r="I53" i="57" s="1"/>
  <c r="G27" i="57"/>
  <c r="I27" i="57" s="1"/>
  <c r="F27" i="57"/>
  <c r="E27" i="57" s="1"/>
  <c r="F37" i="57"/>
  <c r="E37" i="57" s="1"/>
  <c r="G37" i="57"/>
  <c r="I37" i="57" s="1"/>
  <c r="G11" i="57"/>
  <c r="F11" i="57"/>
  <c r="E11" i="57" s="1"/>
  <c r="G19" i="57"/>
  <c r="I19" i="57" s="1"/>
  <c r="F19" i="57"/>
  <c r="E19" i="57" s="1"/>
  <c r="F35" i="57"/>
  <c r="E35" i="57" s="1"/>
  <c r="G35" i="57"/>
  <c r="I35" i="57" s="1"/>
  <c r="G49" i="57"/>
  <c r="I49" i="57" s="1"/>
  <c r="F49" i="57"/>
  <c r="E49" i="57" s="1"/>
  <c r="F30" i="57"/>
  <c r="E30" i="57" s="1"/>
  <c r="G30" i="57"/>
  <c r="I30" i="57" s="1"/>
  <c r="F9" i="57"/>
  <c r="E9" i="57" s="1"/>
  <c r="G9" i="57"/>
  <c r="F18" i="57"/>
  <c r="E18" i="57" s="1"/>
  <c r="G18" i="57"/>
  <c r="I18" i="57" s="1"/>
  <c r="F39" i="57"/>
  <c r="E39" i="57" s="1"/>
  <c r="G39" i="57"/>
  <c r="I39" i="57" s="1"/>
  <c r="G13" i="57"/>
  <c r="F13" i="57"/>
  <c r="E13" i="57" s="1"/>
  <c r="F46" i="57"/>
  <c r="E46" i="57" s="1"/>
  <c r="G46" i="57"/>
  <c r="I46" i="57" s="1"/>
  <c r="G32" i="57"/>
  <c r="I32" i="57" s="1"/>
  <c r="G45" i="57"/>
  <c r="I45" i="57" s="1"/>
  <c r="F45" i="57"/>
  <c r="E45" i="57" s="1"/>
  <c r="F50" i="57"/>
  <c r="E50" i="57" s="1"/>
  <c r="G50" i="57"/>
  <c r="I50" i="57" s="1"/>
  <c r="G7" i="57"/>
  <c r="I7" i="57" s="1"/>
  <c r="G15" i="57"/>
  <c r="F15" i="57"/>
  <c r="E15" i="57" s="1"/>
  <c r="G23" i="57"/>
  <c r="I23" i="57" s="1"/>
  <c r="F23" i="57"/>
  <c r="E23" i="57" s="1"/>
  <c r="F31" i="57"/>
  <c r="E31" i="57" s="1"/>
  <c r="G31" i="57"/>
  <c r="I31" i="57" s="1"/>
  <c r="G55" i="57"/>
  <c r="I55" i="57" s="1"/>
  <c r="F55" i="57"/>
  <c r="E55" i="57" s="1"/>
  <c r="G12" i="57"/>
  <c r="G24" i="57"/>
  <c r="I24" i="57" s="1"/>
  <c r="G36" i="57"/>
  <c r="I36" i="57" s="1"/>
  <c r="F48" i="57"/>
  <c r="E48" i="57" s="1"/>
  <c r="F56" i="57"/>
  <c r="E56" i="57" s="1"/>
  <c r="F41" i="57"/>
  <c r="E41" i="57" s="1"/>
  <c r="G41" i="57"/>
  <c r="I41" i="57" s="1"/>
  <c r="F22" i="57"/>
  <c r="E22" i="57" s="1"/>
  <c r="G22" i="57"/>
  <c r="I22" i="57" s="1"/>
  <c r="F38" i="57"/>
  <c r="E38" i="57" s="1"/>
  <c r="G38" i="57"/>
  <c r="I38" i="57" s="1"/>
  <c r="F10" i="57"/>
  <c r="E10" i="57" s="1"/>
  <c r="G10" i="57"/>
  <c r="F29" i="57"/>
  <c r="E29" i="57" s="1"/>
  <c r="G29" i="57"/>
  <c r="I29" i="57" s="1"/>
  <c r="F6" i="57"/>
  <c r="E6" i="57" s="1"/>
  <c r="G6" i="57"/>
  <c r="F34" i="57"/>
  <c r="E34" i="57" s="1"/>
  <c r="G34" i="57"/>
  <c r="I34" i="57" s="1"/>
  <c r="F47" i="57"/>
  <c r="E47" i="57" s="1"/>
  <c r="G47" i="57"/>
  <c r="I47" i="57" s="1"/>
  <c r="F25" i="57"/>
  <c r="E25" i="57" s="1"/>
  <c r="G25" i="57"/>
  <c r="I25" i="57" s="1"/>
  <c r="F20" i="57"/>
  <c r="E20" i="57" s="1"/>
  <c r="G44" i="57"/>
  <c r="I44" i="57" s="1"/>
  <c r="F17" i="57"/>
  <c r="E17" i="57" s="1"/>
  <c r="G17" i="57"/>
  <c r="I17" i="57" s="1"/>
  <c r="F14" i="57"/>
  <c r="E14" i="57" s="1"/>
  <c r="G14" i="57"/>
  <c r="F26" i="57"/>
  <c r="E26" i="57" s="1"/>
  <c r="G26" i="57"/>
  <c r="I26" i="57" s="1"/>
  <c r="F42" i="57"/>
  <c r="E42" i="57" s="1"/>
  <c r="G42" i="57"/>
  <c r="I42" i="57" s="1"/>
  <c r="F3" i="57"/>
  <c r="E3" i="57" s="1"/>
  <c r="F43" i="57"/>
  <c r="E43" i="57" s="1"/>
  <c r="G43" i="57"/>
  <c r="I43" i="57" s="1"/>
  <c r="F51" i="57"/>
  <c r="E51" i="57" s="1"/>
  <c r="F8" i="57"/>
  <c r="E8" i="57" s="1"/>
  <c r="F16" i="57"/>
  <c r="E16" i="57" s="1"/>
  <c r="F28" i="57"/>
  <c r="E28" i="57" s="1"/>
  <c r="F40" i="57"/>
  <c r="E40" i="57" s="1"/>
  <c r="G52" i="57"/>
  <c r="I52" i="57" s="1"/>
  <c r="F5" i="57"/>
  <c r="E5" i="57" s="1"/>
  <c r="G5" i="57"/>
  <c r="G21" i="57"/>
  <c r="I21" i="57" s="1"/>
  <c r="F21" i="57"/>
  <c r="E21" i="57" s="1"/>
  <c r="G33" i="57"/>
  <c r="I33" i="57" s="1"/>
  <c r="F33" i="57"/>
  <c r="E33" i="57" s="1"/>
  <c r="F54" i="57"/>
  <c r="E54" i="57" s="1"/>
  <c r="G54" i="57"/>
  <c r="I54" i="57" s="1"/>
  <c r="E44" i="56"/>
  <c r="D44" i="56"/>
  <c r="C44" i="56" s="1"/>
  <c r="D44" i="54"/>
  <c r="D37" i="55"/>
  <c r="C37" i="55" s="1"/>
  <c r="E37" i="55"/>
  <c r="C37" i="54"/>
  <c r="D26" i="56"/>
  <c r="C26" i="56" s="1"/>
  <c r="E26" i="56"/>
  <c r="D26" i="54"/>
  <c r="E19" i="55"/>
  <c r="D19" i="55"/>
  <c r="C19" i="55" s="1"/>
  <c r="C19" i="54"/>
  <c r="E35" i="55"/>
  <c r="D35" i="55"/>
  <c r="C35" i="55" s="1"/>
  <c r="C35" i="54"/>
  <c r="D51" i="56"/>
  <c r="C51" i="56" s="1"/>
  <c r="E51" i="56"/>
  <c r="D51" i="54"/>
  <c r="E40" i="55"/>
  <c r="D40" i="55"/>
  <c r="C40" i="55" s="1"/>
  <c r="C40" i="54"/>
  <c r="E33" i="56"/>
  <c r="D33" i="56"/>
  <c r="C33" i="56" s="1"/>
  <c r="D33" i="54"/>
  <c r="E30" i="55"/>
  <c r="D30" i="55"/>
  <c r="C30" i="55" s="1"/>
  <c r="C30" i="54"/>
  <c r="E32" i="56"/>
  <c r="D32" i="56"/>
  <c r="C32" i="56" s="1"/>
  <c r="D32" i="54"/>
  <c r="D29" i="55"/>
  <c r="C29" i="55" s="1"/>
  <c r="E29" i="55"/>
  <c r="C29" i="54"/>
  <c r="E34" i="55"/>
  <c r="D34" i="55"/>
  <c r="C34" i="55" s="1"/>
  <c r="C34" i="54"/>
  <c r="D23" i="56"/>
  <c r="C23" i="56" s="1"/>
  <c r="E23" i="56"/>
  <c r="D23" i="54"/>
  <c r="D39" i="55"/>
  <c r="C39" i="55" s="1"/>
  <c r="E39" i="55"/>
  <c r="C39" i="54"/>
  <c r="E47" i="55"/>
  <c r="D47" i="55"/>
  <c r="C47" i="55" s="1"/>
  <c r="C47" i="54"/>
  <c r="D55" i="56"/>
  <c r="C55" i="56" s="1"/>
  <c r="E55" i="56"/>
  <c r="D55" i="54"/>
  <c r="E24" i="56"/>
  <c r="D24" i="56"/>
  <c r="C24" i="56" s="1"/>
  <c r="D24" i="54"/>
  <c r="E36" i="56"/>
  <c r="D36" i="56"/>
  <c r="C36" i="56" s="1"/>
  <c r="D36" i="54"/>
  <c r="D48" i="55"/>
  <c r="C48" i="55" s="1"/>
  <c r="E48" i="55"/>
  <c r="C48" i="54"/>
  <c r="D56" i="55"/>
  <c r="C56" i="55" s="1"/>
  <c r="E56" i="55"/>
  <c r="C56" i="54"/>
  <c r="D25" i="55"/>
  <c r="C25" i="55" s="1"/>
  <c r="E25" i="55"/>
  <c r="C25" i="54"/>
  <c r="D41" i="56"/>
  <c r="C41" i="56" s="1"/>
  <c r="E41" i="56"/>
  <c r="D41" i="54"/>
  <c r="D30" i="56"/>
  <c r="C30" i="56" s="1"/>
  <c r="E30" i="56"/>
  <c r="D30" i="54"/>
  <c r="E46" i="55"/>
  <c r="D46" i="55"/>
  <c r="C46" i="55" s="1"/>
  <c r="C46" i="54"/>
  <c r="D32" i="55"/>
  <c r="C32" i="55" s="1"/>
  <c r="E32" i="55"/>
  <c r="C32" i="54"/>
  <c r="D29" i="56"/>
  <c r="C29" i="56" s="1"/>
  <c r="E29" i="56"/>
  <c r="D29" i="54"/>
  <c r="D45" i="55"/>
  <c r="C45" i="55" s="1"/>
  <c r="E45" i="55"/>
  <c r="C45" i="54"/>
  <c r="E34" i="56"/>
  <c r="D34" i="56"/>
  <c r="C34" i="56" s="1"/>
  <c r="D34" i="54"/>
  <c r="E50" i="55"/>
  <c r="D50" i="55"/>
  <c r="C50" i="55" s="1"/>
  <c r="C50" i="54"/>
  <c r="D23" i="55"/>
  <c r="C23" i="55" s="1"/>
  <c r="E23" i="55"/>
  <c r="C23" i="54"/>
  <c r="E31" i="55"/>
  <c r="D31" i="55"/>
  <c r="C31" i="55" s="1"/>
  <c r="C31" i="54"/>
  <c r="D39" i="56"/>
  <c r="C39" i="56" s="1"/>
  <c r="E39" i="56"/>
  <c r="D39" i="54"/>
  <c r="D47" i="56"/>
  <c r="C47" i="56" s="1"/>
  <c r="E47" i="56"/>
  <c r="D47" i="54"/>
  <c r="E55" i="55"/>
  <c r="D55" i="55"/>
  <c r="C55" i="55" s="1"/>
  <c r="C55" i="54"/>
  <c r="E24" i="55"/>
  <c r="D24" i="55"/>
  <c r="C24" i="55" s="1"/>
  <c r="C24" i="54"/>
  <c r="E36" i="55"/>
  <c r="D36" i="55"/>
  <c r="C36" i="55" s="1"/>
  <c r="C36" i="54"/>
  <c r="E48" i="56"/>
  <c r="D48" i="56"/>
  <c r="C48" i="56" s="1"/>
  <c r="D48" i="54"/>
  <c r="E56" i="56"/>
  <c r="D56" i="56"/>
  <c r="C56" i="56" s="1"/>
  <c r="D56" i="54"/>
  <c r="D25" i="56"/>
  <c r="C25" i="56" s="1"/>
  <c r="E25" i="56"/>
  <c r="D25" i="54"/>
  <c r="D41" i="55"/>
  <c r="C41" i="55" s="1"/>
  <c r="E41" i="55"/>
  <c r="C41" i="54"/>
  <c r="E22" i="55"/>
  <c r="D22" i="55"/>
  <c r="C22" i="55" s="1"/>
  <c r="C22" i="54"/>
  <c r="E38" i="55"/>
  <c r="D38" i="55"/>
  <c r="C38" i="55" s="1"/>
  <c r="C38" i="54"/>
  <c r="D54" i="56"/>
  <c r="C54" i="56" s="1"/>
  <c r="E54" i="56"/>
  <c r="D54" i="54"/>
  <c r="E20" i="55"/>
  <c r="D20" i="55"/>
  <c r="C20" i="55" s="1"/>
  <c r="C20" i="54"/>
  <c r="D53" i="55"/>
  <c r="C53" i="55" s="1"/>
  <c r="E53" i="55"/>
  <c r="C53" i="54"/>
  <c r="E42" i="56"/>
  <c r="D42" i="56"/>
  <c r="C42" i="56" s="1"/>
  <c r="D42" i="54"/>
  <c r="D27" i="55"/>
  <c r="C27" i="55" s="1"/>
  <c r="E27" i="55"/>
  <c r="C27" i="54"/>
  <c r="D43" i="56"/>
  <c r="C43" i="56" s="1"/>
  <c r="E43" i="56"/>
  <c r="D43" i="54"/>
  <c r="D28" i="55"/>
  <c r="C28" i="55" s="1"/>
  <c r="E28" i="55"/>
  <c r="C28" i="54"/>
  <c r="E52" i="56"/>
  <c r="D52" i="56"/>
  <c r="C52" i="56" s="1"/>
  <c r="D52" i="54"/>
  <c r="E21" i="56"/>
  <c r="D21" i="56"/>
  <c r="C21" i="56" s="1"/>
  <c r="D21" i="54"/>
  <c r="D49" i="55"/>
  <c r="C49" i="55" s="1"/>
  <c r="E49" i="55"/>
  <c r="C49" i="54"/>
  <c r="D46" i="56"/>
  <c r="C46" i="56" s="1"/>
  <c r="E46" i="56"/>
  <c r="D46" i="54"/>
  <c r="E45" i="56"/>
  <c r="D45" i="56"/>
  <c r="C45" i="56" s="1"/>
  <c r="D45" i="54"/>
  <c r="D50" i="56"/>
  <c r="C50" i="56" s="1"/>
  <c r="E50" i="56"/>
  <c r="D50" i="54"/>
  <c r="D31" i="56"/>
  <c r="C31" i="56" s="1"/>
  <c r="E31" i="56"/>
  <c r="D31" i="54"/>
  <c r="E20" i="56"/>
  <c r="D20" i="56"/>
  <c r="C20" i="56" s="1"/>
  <c r="D20" i="54"/>
  <c r="D44" i="55"/>
  <c r="C44" i="55" s="1"/>
  <c r="E44" i="55"/>
  <c r="C44" i="54"/>
  <c r="D37" i="56"/>
  <c r="C37" i="56" s="1"/>
  <c r="E37" i="56"/>
  <c r="D37" i="54"/>
  <c r="E53" i="56"/>
  <c r="D53" i="56"/>
  <c r="C53" i="56" s="1"/>
  <c r="D53" i="54"/>
  <c r="E26" i="55"/>
  <c r="D26" i="55"/>
  <c r="C26" i="55" s="1"/>
  <c r="C26" i="54"/>
  <c r="E42" i="55"/>
  <c r="D42" i="55"/>
  <c r="C42" i="55" s="1"/>
  <c r="C42" i="54"/>
  <c r="D19" i="56"/>
  <c r="C19" i="56" s="1"/>
  <c r="E19" i="56"/>
  <c r="D19" i="54"/>
  <c r="D27" i="56"/>
  <c r="C27" i="56" s="1"/>
  <c r="E27" i="56"/>
  <c r="D27" i="54"/>
  <c r="D35" i="56"/>
  <c r="C35" i="56" s="1"/>
  <c r="E35" i="56"/>
  <c r="D35" i="54"/>
  <c r="D43" i="55"/>
  <c r="C43" i="55" s="1"/>
  <c r="E43" i="55"/>
  <c r="C43" i="54"/>
  <c r="E51" i="55"/>
  <c r="D51" i="55"/>
  <c r="C51" i="55" s="1"/>
  <c r="C51" i="54"/>
  <c r="E28" i="56"/>
  <c r="D28" i="56"/>
  <c r="C28" i="56" s="1"/>
  <c r="D28" i="54"/>
  <c r="E40" i="56"/>
  <c r="D40" i="56"/>
  <c r="C40" i="56" s="1"/>
  <c r="D40" i="54"/>
  <c r="E52" i="55"/>
  <c r="D52" i="55"/>
  <c r="C52" i="55" s="1"/>
  <c r="C52" i="54"/>
  <c r="D21" i="55"/>
  <c r="C21" i="55" s="1"/>
  <c r="E21" i="55"/>
  <c r="C21" i="54"/>
  <c r="D33" i="55"/>
  <c r="C33" i="55" s="1"/>
  <c r="E33" i="55"/>
  <c r="C33" i="54"/>
  <c r="E49" i="56"/>
  <c r="D49" i="56"/>
  <c r="C49" i="56" s="1"/>
  <c r="D49" i="54"/>
  <c r="E22" i="56"/>
  <c r="D22" i="56"/>
  <c r="C22" i="56" s="1"/>
  <c r="D22" i="54"/>
  <c r="E38" i="56"/>
  <c r="D38" i="56"/>
  <c r="C38" i="56" s="1"/>
  <c r="D38" i="54"/>
  <c r="D54" i="55"/>
  <c r="C54" i="55" s="1"/>
  <c r="E54" i="55"/>
  <c r="C54" i="54"/>
  <c r="E6" i="56"/>
  <c r="C6" i="54"/>
  <c r="E5" i="56"/>
  <c r="D14" i="56"/>
  <c r="E16" i="55"/>
  <c r="E7" i="55"/>
  <c r="D12" i="54"/>
  <c r="D9" i="54"/>
  <c r="D18" i="56"/>
  <c r="E7" i="56"/>
  <c r="E15" i="55"/>
  <c r="D13" i="56"/>
  <c r="C11" i="54"/>
  <c r="D8" i="55"/>
  <c r="D18" i="55"/>
  <c r="C14" i="54"/>
  <c r="D8" i="54"/>
  <c r="D11" i="56"/>
  <c r="D4" i="54"/>
  <c r="D5" i="56"/>
  <c r="E4" i="55"/>
  <c r="E14" i="56"/>
  <c r="C16" i="54"/>
  <c r="D18" i="54"/>
  <c r="C15" i="54"/>
  <c r="E13" i="56"/>
  <c r="C8" i="54"/>
  <c r="C18" i="54"/>
  <c r="D17" i="55"/>
  <c r="D6" i="54"/>
  <c r="D6" i="55"/>
  <c r="E6" i="55"/>
  <c r="D14" i="54"/>
  <c r="E12" i="56"/>
  <c r="D7" i="54"/>
  <c r="E12" i="55"/>
  <c r="D17" i="56"/>
  <c r="E15" i="56"/>
  <c r="E14" i="55"/>
  <c r="D8" i="56"/>
  <c r="D6" i="56"/>
  <c r="D5" i="54"/>
  <c r="D16" i="55"/>
  <c r="D7" i="55"/>
  <c r="D12" i="56"/>
  <c r="C13" i="54"/>
  <c r="D9" i="56"/>
  <c r="E18" i="56"/>
  <c r="D15" i="55"/>
  <c r="C12" i="54"/>
  <c r="D17" i="54"/>
  <c r="E11" i="55"/>
  <c r="E8" i="55"/>
  <c r="C9" i="54"/>
  <c r="E18" i="55"/>
  <c r="D15" i="54"/>
  <c r="C17" i="54"/>
  <c r="D14" i="55"/>
  <c r="E8" i="56"/>
  <c r="D16" i="54"/>
  <c r="E4" i="56"/>
  <c r="C7" i="54"/>
  <c r="D13" i="55"/>
  <c r="D7" i="56"/>
  <c r="D12" i="55"/>
  <c r="E17" i="56"/>
  <c r="D9" i="55"/>
  <c r="D15" i="56"/>
  <c r="E16" i="56"/>
  <c r="E11" i="56"/>
  <c r="D4" i="56"/>
  <c r="E13" i="55"/>
  <c r="E9" i="56"/>
  <c r="D13" i="54"/>
  <c r="D11" i="55"/>
  <c r="E9" i="55"/>
  <c r="E17" i="55"/>
  <c r="D16" i="56"/>
  <c r="D11" i="54"/>
  <c r="D2" i="55"/>
  <c r="E2" i="56"/>
  <c r="C2" i="54"/>
  <c r="C2" i="57"/>
  <c r="D2" i="56"/>
  <c r="D2" i="57"/>
  <c r="E2" i="55"/>
  <c r="D10" i="54"/>
  <c r="D10" i="56"/>
  <c r="E10" i="56"/>
  <c r="C10" i="54"/>
  <c r="E10" i="55"/>
  <c r="D10" i="55"/>
  <c r="D3" i="55"/>
  <c r="E3" i="55"/>
  <c r="C3" i="54"/>
  <c r="D3" i="54"/>
  <c r="D3" i="56"/>
  <c r="E3" i="56"/>
  <c r="C3" i="55" l="1"/>
  <c r="G4" i="57"/>
  <c r="I4" i="57" s="1"/>
  <c r="I14" i="57"/>
  <c r="I6" i="57"/>
  <c r="I10" i="57"/>
  <c r="I12" i="57"/>
  <c r="I9" i="57"/>
  <c r="C16" i="56"/>
  <c r="C11" i="55"/>
  <c r="C4" i="56"/>
  <c r="C15" i="56"/>
  <c r="C9" i="55"/>
  <c r="C12" i="55"/>
  <c r="C7" i="56"/>
  <c r="C13" i="55"/>
  <c r="C14" i="55"/>
  <c r="C15" i="55"/>
  <c r="C9" i="56"/>
  <c r="C12" i="56"/>
  <c r="C7" i="55"/>
  <c r="C16" i="55"/>
  <c r="F5" i="54"/>
  <c r="E5" i="54" s="1"/>
  <c r="C6" i="56"/>
  <c r="C8" i="56"/>
  <c r="C17" i="56"/>
  <c r="C10" i="56"/>
  <c r="C6" i="55"/>
  <c r="C17" i="55"/>
  <c r="C10" i="55"/>
  <c r="C3" i="56"/>
  <c r="C5" i="56"/>
  <c r="G4" i="54"/>
  <c r="C11" i="56"/>
  <c r="C18" i="55"/>
  <c r="C8" i="55"/>
  <c r="C13" i="56"/>
  <c r="C18" i="56"/>
  <c r="C14" i="56"/>
  <c r="F3" i="54"/>
  <c r="E3" i="54" s="1"/>
  <c r="G3" i="54"/>
  <c r="G6" i="54"/>
  <c r="F6" i="54"/>
  <c r="E6" i="54" s="1"/>
  <c r="I16" i="57"/>
  <c r="I5" i="57"/>
  <c r="I15" i="57"/>
  <c r="I13" i="57"/>
  <c r="I11" i="57"/>
  <c r="I8" i="57"/>
  <c r="F4" i="54"/>
  <c r="E4" i="54" s="1"/>
  <c r="G5" i="54"/>
  <c r="C2" i="56"/>
  <c r="G2" i="54"/>
  <c r="C2" i="55"/>
  <c r="F2" i="54"/>
  <c r="E2" i="54" s="1"/>
  <c r="F2" i="57"/>
  <c r="E2" i="57" s="1"/>
  <c r="G2" i="57"/>
  <c r="F18" i="54"/>
  <c r="E18" i="54" s="1"/>
  <c r="G18" i="54"/>
  <c r="F49" i="54"/>
  <c r="E49" i="54" s="1"/>
  <c r="G49" i="54"/>
  <c r="F15" i="54"/>
  <c r="E15" i="54" s="1"/>
  <c r="G15" i="54"/>
  <c r="G16" i="54"/>
  <c r="F16" i="54"/>
  <c r="E16" i="54" s="1"/>
  <c r="G52" i="54"/>
  <c r="F52" i="54"/>
  <c r="E52" i="54" s="1"/>
  <c r="G44" i="54"/>
  <c r="F44" i="54"/>
  <c r="E44" i="54" s="1"/>
  <c r="G28" i="54"/>
  <c r="F28" i="54"/>
  <c r="E28" i="54" s="1"/>
  <c r="G20" i="54"/>
  <c r="F20" i="54"/>
  <c r="E20" i="54" s="1"/>
  <c r="F41" i="54"/>
  <c r="E41" i="54" s="1"/>
  <c r="G41" i="54"/>
  <c r="F55" i="54"/>
  <c r="E55" i="54" s="1"/>
  <c r="G55" i="54"/>
  <c r="F23" i="54"/>
  <c r="E23" i="54" s="1"/>
  <c r="G23" i="54"/>
  <c r="G56" i="54"/>
  <c r="F56" i="54"/>
  <c r="E56" i="54" s="1"/>
  <c r="G40" i="54"/>
  <c r="F40" i="54"/>
  <c r="E40" i="54" s="1"/>
  <c r="F19" i="54"/>
  <c r="E19" i="54" s="1"/>
  <c r="G19" i="54"/>
  <c r="F21" i="54"/>
  <c r="E21" i="54" s="1"/>
  <c r="G21" i="54"/>
  <c r="G26" i="54"/>
  <c r="F26" i="54"/>
  <c r="E26" i="54" s="1"/>
  <c r="F17" i="54"/>
  <c r="E17" i="54" s="1"/>
  <c r="G17" i="54"/>
  <c r="F9" i="54"/>
  <c r="E9" i="54" s="1"/>
  <c r="G9" i="54"/>
  <c r="F27" i="54"/>
  <c r="E27" i="54" s="1"/>
  <c r="G27" i="54"/>
  <c r="F22" i="54"/>
  <c r="E22" i="54" s="1"/>
  <c r="G22" i="54"/>
  <c r="G12" i="54"/>
  <c r="F12" i="54"/>
  <c r="E12" i="54" s="1"/>
  <c r="F31" i="54"/>
  <c r="E31" i="54" s="1"/>
  <c r="G31" i="54"/>
  <c r="G50" i="54"/>
  <c r="F50" i="54"/>
  <c r="E50" i="54" s="1"/>
  <c r="F13" i="54"/>
  <c r="E13" i="54" s="1"/>
  <c r="G13" i="54"/>
  <c r="F39" i="54"/>
  <c r="E39" i="54" s="1"/>
  <c r="G39" i="54"/>
  <c r="F29" i="54"/>
  <c r="E29" i="54" s="1"/>
  <c r="G29" i="54"/>
  <c r="F35" i="54"/>
  <c r="E35" i="54" s="1"/>
  <c r="G35" i="54"/>
  <c r="F37" i="54"/>
  <c r="E37" i="54" s="1"/>
  <c r="G37" i="54"/>
  <c r="F51" i="54"/>
  <c r="E51" i="54" s="1"/>
  <c r="G51" i="54"/>
  <c r="G8" i="54"/>
  <c r="F8" i="54"/>
  <c r="E8" i="54" s="1"/>
  <c r="G36" i="54"/>
  <c r="F36" i="54"/>
  <c r="E36" i="54" s="1"/>
  <c r="G32" i="54"/>
  <c r="F32" i="54"/>
  <c r="E32" i="54" s="1"/>
  <c r="G48" i="54"/>
  <c r="F48" i="54"/>
  <c r="E48" i="54" s="1"/>
  <c r="F7" i="54"/>
  <c r="E7" i="54" s="1"/>
  <c r="G7" i="54"/>
  <c r="F30" i="54"/>
  <c r="E30" i="54" s="1"/>
  <c r="G30" i="54"/>
  <c r="G14" i="54"/>
  <c r="F14" i="54"/>
  <c r="E14" i="54" s="1"/>
  <c r="F54" i="54"/>
  <c r="E54" i="54" s="1"/>
  <c r="G54" i="54"/>
  <c r="F33" i="54"/>
  <c r="E33" i="54" s="1"/>
  <c r="G33" i="54"/>
  <c r="F43" i="54"/>
  <c r="E43" i="54" s="1"/>
  <c r="G43" i="54"/>
  <c r="G42" i="54"/>
  <c r="F42" i="54"/>
  <c r="E42" i="54" s="1"/>
  <c r="F53" i="54"/>
  <c r="E53" i="54" s="1"/>
  <c r="G53" i="54"/>
  <c r="F38" i="54"/>
  <c r="E38" i="54" s="1"/>
  <c r="G38" i="54"/>
  <c r="G24" i="54"/>
  <c r="F24" i="54"/>
  <c r="E24" i="54" s="1"/>
  <c r="F45" i="54"/>
  <c r="E45" i="54" s="1"/>
  <c r="G45" i="54"/>
  <c r="F46" i="54"/>
  <c r="E46" i="54" s="1"/>
  <c r="G46" i="54"/>
  <c r="F25" i="54"/>
  <c r="E25" i="54" s="1"/>
  <c r="G25" i="54"/>
  <c r="F47" i="54"/>
  <c r="E47" i="54" s="1"/>
  <c r="G47" i="54"/>
  <c r="G34" i="54"/>
  <c r="F34" i="54"/>
  <c r="E34" i="54" s="1"/>
  <c r="F10" i="54"/>
  <c r="E10" i="54" s="1"/>
  <c r="G10" i="54"/>
  <c r="F11" i="54"/>
  <c r="E11" i="54" s="1"/>
  <c r="G11" i="54"/>
  <c r="I2" i="57" l="1"/>
</calcChain>
</file>

<file path=xl/sharedStrings.xml><?xml version="1.0" encoding="utf-8"?>
<sst xmlns="http://schemas.openxmlformats.org/spreadsheetml/2006/main" count="74" uniqueCount="47">
  <si>
    <t>MUESTRA</t>
  </si>
  <si>
    <t>FECHA</t>
  </si>
  <si>
    <t>Técnico</t>
  </si>
  <si>
    <t>FC</t>
  </si>
  <si>
    <t>Observaciones</t>
  </si>
  <si>
    <t>DATOS DE CONEXIÓN</t>
  </si>
  <si>
    <t>Com Port</t>
  </si>
  <si>
    <t>Baud Rate</t>
  </si>
  <si>
    <t>Parity</t>
  </si>
  <si>
    <t>N</t>
  </si>
  <si>
    <t>Data Bits</t>
  </si>
  <si>
    <t>Stop Bits</t>
  </si>
  <si>
    <t>Cerrado</t>
  </si>
  <si>
    <t>Pesada muestras</t>
  </si>
  <si>
    <t>Balanza</t>
  </si>
  <si>
    <t>Fecha</t>
  </si>
  <si>
    <t>Nombre</t>
  </si>
  <si>
    <t>Firma</t>
  </si>
  <si>
    <t>Análisis de muestras</t>
  </si>
  <si>
    <t>Peso M
(g)</t>
  </si>
  <si>
    <t>Tª ext (ºC)</t>
  </si>
  <si>
    <t>Concentración de la muestra NH4+ (mg/L)</t>
  </si>
  <si>
    <r>
      <t>Concentración de la muestra NO</t>
    </r>
    <r>
      <rPr>
        <b/>
        <vertAlign val="subscript"/>
        <sz val="10"/>
        <color theme="1"/>
        <rFont val="Arial"/>
        <family val="2"/>
      </rPr>
      <t>3</t>
    </r>
    <r>
      <rPr>
        <b/>
        <vertAlign val="superscript"/>
        <sz val="10"/>
        <color theme="1"/>
        <rFont val="Arial"/>
        <family val="2"/>
      </rPr>
      <t xml:space="preserve">- </t>
    </r>
    <r>
      <rPr>
        <b/>
        <sz val="10"/>
        <color theme="1"/>
        <rFont val="Arial"/>
        <family val="2"/>
      </rPr>
      <t>(mg/l)</t>
    </r>
  </si>
  <si>
    <r>
      <t>N-NH</t>
    </r>
    <r>
      <rPr>
        <b/>
        <sz val="8"/>
        <color theme="1"/>
        <rFont val="Arial"/>
        <family val="2"/>
      </rPr>
      <t>4</t>
    </r>
    <r>
      <rPr>
        <b/>
        <sz val="10"/>
        <color theme="1"/>
        <rFont val="Arial"/>
        <family val="2"/>
      </rPr>
      <t>+
mg/Kg M.S. 105ºC
(024)</t>
    </r>
  </si>
  <si>
    <r>
      <t>N-NO</t>
    </r>
    <r>
      <rPr>
        <b/>
        <vertAlign val="subscript"/>
        <sz val="10"/>
        <color theme="1"/>
        <rFont val="Arial"/>
        <family val="2"/>
      </rPr>
      <t>3</t>
    </r>
    <r>
      <rPr>
        <b/>
        <vertAlign val="superscript"/>
        <sz val="10"/>
        <color theme="1"/>
        <rFont val="Arial"/>
        <family val="2"/>
      </rPr>
      <t>-</t>
    </r>
    <r>
      <rPr>
        <b/>
        <sz val="10"/>
        <color theme="1"/>
        <rFont val="Arial"/>
        <family val="2"/>
      </rPr>
      <t xml:space="preserve">
mg/Kg M.S. 105ºC
(024)</t>
    </r>
  </si>
  <si>
    <t>Controles</t>
  </si>
  <si>
    <t>NO3 (mg/l)</t>
  </si>
  <si>
    <t>NH4 (mg/l)</t>
  </si>
  <si>
    <t>P0,50</t>
  </si>
  <si>
    <t>P5</t>
  </si>
  <si>
    <t>Concentración de la muestra NH4+ 
mg/Kg sms 105ºC
(024)</t>
  </si>
  <si>
    <r>
      <t>Concentración de la muestra NO</t>
    </r>
    <r>
      <rPr>
        <b/>
        <vertAlign val="subscript"/>
        <sz val="10"/>
        <color theme="1"/>
        <rFont val="Arial"/>
        <family val="2"/>
      </rPr>
      <t>3</t>
    </r>
    <r>
      <rPr>
        <b/>
        <vertAlign val="superscript"/>
        <sz val="10"/>
        <color theme="1"/>
        <rFont val="Arial"/>
        <family val="2"/>
      </rPr>
      <t xml:space="preserve">- 
</t>
    </r>
    <r>
      <rPr>
        <b/>
        <sz val="10"/>
        <color theme="1"/>
        <rFont val="Arial"/>
        <family val="2"/>
      </rPr>
      <t>mg/Kg sms 105ºC
(024)</t>
    </r>
  </si>
  <si>
    <t>Concentración de la muestra NH4+ (mg/Kg sms 105ºC)</t>
  </si>
  <si>
    <r>
      <t>Concentración de la muestra NO</t>
    </r>
    <r>
      <rPr>
        <b/>
        <vertAlign val="subscript"/>
        <sz val="10"/>
        <color theme="1"/>
        <rFont val="Arial"/>
        <family val="2"/>
      </rPr>
      <t>3</t>
    </r>
    <r>
      <rPr>
        <b/>
        <vertAlign val="superscript"/>
        <sz val="10"/>
        <color theme="1"/>
        <rFont val="Arial"/>
        <family val="2"/>
      </rPr>
      <t xml:space="preserve">- </t>
    </r>
    <r>
      <rPr>
        <b/>
        <sz val="10"/>
        <color theme="1"/>
        <rFont val="Arial"/>
        <family val="2"/>
      </rPr>
      <t>(mg/Kg sms 105ºC)</t>
    </r>
  </si>
  <si>
    <t>Limites de cuantificación</t>
  </si>
  <si>
    <t>Analito</t>
  </si>
  <si>
    <t>NH4</t>
  </si>
  <si>
    <t>NO3</t>
  </si>
  <si>
    <t>Atr.</t>
  </si>
  <si>
    <t>Nmin</t>
  </si>
  <si>
    <t>Id atr.</t>
  </si>
  <si>
    <t>Id. Atr.</t>
  </si>
  <si>
    <t>Concentración de N. mineral [NH4+NO3]
mg/Kg sms 105ºC
(024)</t>
  </si>
  <si>
    <t>N. total
g/Kg sms 105ºC</t>
  </si>
  <si>
    <t>N. orgánico
g/Kg sms 105ºC
(014)</t>
  </si>
  <si>
    <t>R-</t>
  </si>
  <si>
    <t>PATRÓN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</si>
</sst>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12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indexed="9"/>
      <name val="Arial"/>
      <family val="2"/>
    </font>
    <font>
      <sz val="10"/>
      <color rgb="FFFF0000"/>
      <name val="Arial"/>
      <family val="2"/>
    </font>
    <font>
      <b/>
      <sz val="8"/>
      <color theme="1"/>
      <name val="Arial"/>
      <family val="2"/>
    </font>
    <font>
      <b/>
      <vertAlign val="sub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6337778862885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48">
    <xf numFmtId="0" fontId="0" fillId="0" borderId="0" xfId="0"/>
    <xf numFmtId="0" fontId="2" fillId="0" borderId="0" xfId="0" applyFont="1" applyAlignment="1" applyProtection="1">
      <alignment horizontal="center" vertical="center"/>
    </xf>
    <xf numFmtId="0" fontId="0" fillId="0" borderId="0" xfId="0" applyProtection="1"/>
    <xf numFmtId="0" fontId="0" fillId="0" borderId="0" xfId="0" applyAlignment="1" applyProtection="1">
      <alignment horizontal="center"/>
    </xf>
    <xf numFmtId="0" fontId="6" fillId="0" borderId="0" xfId="0" applyFont="1" applyFill="1" applyProtection="1"/>
    <xf numFmtId="1" fontId="0" fillId="0" borderId="0" xfId="0" applyNumberFormat="1" applyAlignment="1" applyProtection="1">
      <alignment horizontal="center"/>
    </xf>
    <xf numFmtId="0" fontId="1" fillId="0" borderId="0" xfId="1"/>
    <xf numFmtId="0" fontId="5" fillId="0" borderId="1" xfId="1" applyFont="1" applyBorder="1" applyAlignment="1">
      <alignment horizontal="center"/>
    </xf>
    <xf numFmtId="49" fontId="3" fillId="2" borderId="2" xfId="0" applyNumberFormat="1" applyFont="1" applyFill="1" applyBorder="1" applyAlignment="1">
      <alignment horizontal="center" vertical="center" wrapText="1"/>
    </xf>
    <xf numFmtId="0" fontId="0" fillId="0" borderId="1" xfId="0" applyBorder="1" applyAlignment="1" applyProtection="1">
      <alignment horizontal="center"/>
      <protection locked="0"/>
    </xf>
    <xf numFmtId="14" fontId="0" fillId="0" borderId="1" xfId="0" applyNumberFormat="1" applyBorder="1" applyAlignment="1" applyProtection="1">
      <alignment horizontal="center"/>
      <protection locked="0"/>
    </xf>
    <xf numFmtId="0" fontId="0" fillId="0" borderId="1" xfId="0" applyNumberFormat="1" applyBorder="1" applyAlignment="1" applyProtection="1">
      <alignment horizontal="center"/>
      <protection locked="0"/>
    </xf>
    <xf numFmtId="164" fontId="0" fillId="0" borderId="1" xfId="0" applyNumberFormat="1" applyBorder="1" applyAlignment="1" applyProtection="1">
      <alignment horizontal="center"/>
      <protection locked="0"/>
    </xf>
    <xf numFmtId="49" fontId="0" fillId="0" borderId="1" xfId="0" applyNumberForma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</xf>
    <xf numFmtId="14" fontId="0" fillId="0" borderId="1" xfId="0" applyNumberFormat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/>
    </xf>
    <xf numFmtId="0" fontId="0" fillId="0" borderId="1" xfId="0" applyNumberFormat="1" applyBorder="1" applyAlignment="1" applyProtection="1">
      <alignment horizontal="center"/>
    </xf>
    <xf numFmtId="0" fontId="4" fillId="0" borderId="1" xfId="0" applyNumberFormat="1" applyFont="1" applyBorder="1" applyAlignment="1" applyProtection="1">
      <alignment horizontal="center"/>
      <protection locked="0"/>
    </xf>
    <xf numFmtId="0" fontId="0" fillId="0" borderId="1" xfId="0" applyNumberFormat="1" applyBorder="1" applyProtection="1">
      <protection locked="0"/>
    </xf>
    <xf numFmtId="0" fontId="0" fillId="0" borderId="1" xfId="0" applyNumberFormat="1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/>
    </xf>
    <xf numFmtId="0" fontId="0" fillId="0" borderId="0" xfId="0" applyProtection="1">
      <protection locked="0"/>
    </xf>
    <xf numFmtId="0" fontId="4" fillId="0" borderId="1" xfId="0" applyFont="1" applyBorder="1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</xf>
    <xf numFmtId="0" fontId="0" fillId="0" borderId="0" xfId="0" applyNumberFormat="1" applyAlignment="1" applyProtection="1">
      <alignment horizontal="center"/>
    </xf>
    <xf numFmtId="164" fontId="0" fillId="0" borderId="0" xfId="0" applyNumberFormat="1" applyAlignment="1" applyProtection="1">
      <alignment horizontal="center"/>
    </xf>
    <xf numFmtId="49" fontId="0" fillId="0" borderId="0" xfId="0" applyNumberFormat="1" applyAlignment="1" applyProtection="1">
      <alignment horizontal="center"/>
    </xf>
    <xf numFmtId="0" fontId="5" fillId="0" borderId="1" xfId="0" applyFont="1" applyBorder="1" applyAlignment="1" applyProtection="1">
      <alignment horizontal="center" vertical="center"/>
    </xf>
    <xf numFmtId="49" fontId="3" fillId="2" borderId="1" xfId="0" applyNumberFormat="1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0" fontId="3" fillId="2" borderId="1" xfId="0" applyNumberFormat="1" applyFont="1" applyFill="1" applyBorder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 wrapText="1"/>
    </xf>
    <xf numFmtId="1" fontId="3" fillId="2" borderId="1" xfId="0" applyNumberFormat="1" applyFont="1" applyFill="1" applyBorder="1" applyAlignment="1">
      <alignment horizontal="center" vertical="center" wrapText="1"/>
    </xf>
    <xf numFmtId="0" fontId="0" fillId="0" borderId="1" xfId="0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/>
    </xf>
    <xf numFmtId="14" fontId="4" fillId="0" borderId="1" xfId="0" applyNumberFormat="1" applyFont="1" applyBorder="1" applyAlignment="1" applyProtection="1">
      <alignment horizontal="center"/>
    </xf>
    <xf numFmtId="1" fontId="0" fillId="0" borderId="1" xfId="0" applyNumberFormat="1" applyBorder="1" applyAlignment="1" applyProtection="1">
      <alignment horizontal="center"/>
      <protection locked="0"/>
    </xf>
    <xf numFmtId="0" fontId="11" fillId="0" borderId="1" xfId="1" applyFont="1" applyBorder="1"/>
    <xf numFmtId="0" fontId="1" fillId="0" borderId="1" xfId="1" applyBorder="1" applyProtection="1">
      <protection locked="0"/>
    </xf>
    <xf numFmtId="0" fontId="7" fillId="3" borderId="1" xfId="1" applyFont="1" applyFill="1" applyBorder="1" applyAlignment="1" applyProtection="1">
      <alignment horizontal="center"/>
      <protection locked="0"/>
    </xf>
    <xf numFmtId="165" fontId="4" fillId="0" borderId="1" xfId="0" applyNumberFormat="1" applyFont="1" applyBorder="1" applyAlignment="1" applyProtection="1">
      <alignment horizontal="center"/>
    </xf>
    <xf numFmtId="165" fontId="0" fillId="0" borderId="0" xfId="0" applyNumberFormat="1"/>
    <xf numFmtId="165" fontId="4" fillId="0" borderId="1" xfId="0" applyNumberFormat="1" applyFont="1" applyBorder="1" applyAlignment="1" applyProtection="1">
      <alignment horizontal="center"/>
      <protection locked="0"/>
    </xf>
    <xf numFmtId="0" fontId="0" fillId="0" borderId="1" xfId="0" applyBorder="1" applyProtection="1">
      <protection locked="0"/>
    </xf>
    <xf numFmtId="0" fontId="3" fillId="2" borderId="1" xfId="0" applyFont="1" applyFill="1" applyBorder="1" applyAlignment="1" applyProtection="1">
      <alignment horizontal="center" vertical="center"/>
    </xf>
    <xf numFmtId="0" fontId="5" fillId="0" borderId="1" xfId="1" applyFont="1" applyBorder="1" applyAlignment="1">
      <alignment horizontal="center"/>
    </xf>
  </cellXfs>
  <cellStyles count="2">
    <cellStyle name="Normal" xfId="0" builtinId="0"/>
    <cellStyle name="Normal 2" xfId="1"/>
  </cellStyles>
  <dxfs count="19"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Z56"/>
  <sheetViews>
    <sheetView tabSelected="1" zoomScaleNormal="100" workbookViewId="0">
      <selection activeCell="A3" sqref="A3"/>
    </sheetView>
  </sheetViews>
  <sheetFormatPr baseColWidth="10" defaultColWidth="11.44140625" defaultRowHeight="13.2" x14ac:dyDescent="0.25"/>
  <cols>
    <col min="1" max="1" width="14.44140625" style="3" bestFit="1" customWidth="1"/>
    <col min="2" max="2" width="10.88671875" style="24" hidden="1" customWidth="1"/>
    <col min="3" max="3" width="9" style="25" hidden="1" customWidth="1"/>
    <col min="4" max="4" width="8" style="26" customWidth="1"/>
    <col min="5" max="5" width="21" style="26" bestFit="1" customWidth="1"/>
    <col min="6" max="6" width="21" style="26" customWidth="1"/>
    <col min="7" max="7" width="7.5546875" style="26" bestFit="1" customWidth="1"/>
    <col min="8" max="8" width="16.5546875" style="27" bestFit="1" customWidth="1"/>
    <col min="9" max="10" width="17.5546875" style="5" customWidth="1"/>
    <col min="11" max="11" width="13.5546875" style="2" bestFit="1" customWidth="1"/>
    <col min="12" max="12" width="12.88671875" style="2" bestFit="1" customWidth="1"/>
    <col min="13" max="13" width="12" style="2" bestFit="1" customWidth="1"/>
    <col min="14" max="15" width="13.88671875" style="2" bestFit="1" customWidth="1"/>
    <col min="16" max="16" width="20.88671875" style="2" bestFit="1" customWidth="1"/>
    <col min="17" max="17" width="11.44140625" style="2"/>
    <col min="18" max="18" width="9.5546875" style="2" bestFit="1" customWidth="1"/>
    <col min="19" max="19" width="12.5546875" style="2" bestFit="1" customWidth="1"/>
    <col min="20" max="20" width="12.5546875" style="2" customWidth="1"/>
    <col min="21" max="16384" width="11.44140625" style="2"/>
  </cols>
  <sheetData>
    <row r="1" spans="1:16" s="1" customFormat="1" ht="43.2" x14ac:dyDescent="0.25">
      <c r="A1" s="30" t="s">
        <v>0</v>
      </c>
      <c r="B1" s="31" t="s">
        <v>1</v>
      </c>
      <c r="C1" s="32" t="s">
        <v>2</v>
      </c>
      <c r="D1" s="33" t="s">
        <v>19</v>
      </c>
      <c r="E1" s="33" t="s">
        <v>21</v>
      </c>
      <c r="F1" s="33" t="s">
        <v>22</v>
      </c>
      <c r="G1" s="33" t="s">
        <v>3</v>
      </c>
      <c r="H1" s="29" t="s">
        <v>4</v>
      </c>
      <c r="I1" s="34" t="s">
        <v>23</v>
      </c>
      <c r="J1" s="34" t="s">
        <v>24</v>
      </c>
    </row>
    <row r="2" spans="1:16" x14ac:dyDescent="0.25">
      <c r="A2" s="23" t="s">
        <v>46</v>
      </c>
      <c r="B2" s="15" t="str">
        <f>IF($L$4="","",$L$4)</f>
        <v/>
      </c>
      <c r="C2" s="17" t="str">
        <f>IF($L$5="","",$L$5)</f>
        <v/>
      </c>
      <c r="D2" s="11"/>
      <c r="E2" s="12"/>
      <c r="F2" s="12"/>
      <c r="G2" s="12"/>
      <c r="H2" s="13"/>
      <c r="I2" s="21" t="str">
        <f>IF(OR(NO3NH4!$A2="",B2="",C2="",NO3NH4!$D2="",OR(NO3NH4!$E2="",E2="NO LO PIDEN"),NO3NH4!$G2=""),"",(14/18)*(((NO3NH4!$E2*50)/NO3NH4!$D2)*NO3NH4!$G2))</f>
        <v/>
      </c>
      <c r="J2" s="21" t="str">
        <f>IF(OR(NO3NH4!$A2="",B2="",C2="",NO3NH4!$D2="",OR(NO3NH4!$F2="",F2="NO LO PIDEN"),NO3NH4!$G2=""),"",(14/62)*(((NO3NH4!$F2*50)/NO3NH4!$D2)*NO3NH4!$G2))</f>
        <v/>
      </c>
      <c r="K2" s="46" t="s">
        <v>13</v>
      </c>
      <c r="L2" s="46"/>
    </row>
    <row r="3" spans="1:16" x14ac:dyDescent="0.25">
      <c r="A3" s="9"/>
      <c r="B3" s="15" t="str">
        <f t="shared" ref="B3:B56" si="0">IF($L$4="","",$L$4)</f>
        <v/>
      </c>
      <c r="C3" s="17" t="str">
        <f t="shared" ref="C3:C56" si="1">IF($L$5="","",$L$5)</f>
        <v/>
      </c>
      <c r="D3" s="11"/>
      <c r="E3" s="12"/>
      <c r="F3" s="12"/>
      <c r="G3" s="12"/>
      <c r="H3" s="13"/>
      <c r="I3" s="21" t="str">
        <f>IF(OR(NO3NH4!$A3="",B3="",C3="",NO3NH4!$D3="",OR(NO3NH4!$E3="",E3="NO LO PIDEN"),NO3NH4!$G3=""),"",(14/18)*(((NO3NH4!$E3*50)/NO3NH4!$D3)*NO3NH4!$G3))</f>
        <v/>
      </c>
      <c r="J3" s="21" t="str">
        <f>IF(OR(NO3NH4!$A3="",B3="",C3="",NO3NH4!$D3="",OR(NO3NH4!$F3="",F3="NO LO PIDEN"),NO3NH4!$G3=""),"",(14/62)*(((NO3NH4!$F3*50)/NO3NH4!$D3)*NO3NH4!$G3))</f>
        <v/>
      </c>
      <c r="K3" s="14" t="s">
        <v>14</v>
      </c>
      <c r="L3" s="11"/>
    </row>
    <row r="4" spans="1:16" x14ac:dyDescent="0.25">
      <c r="A4" s="23"/>
      <c r="B4" s="15" t="str">
        <f t="shared" si="0"/>
        <v/>
      </c>
      <c r="C4" s="17" t="str">
        <f t="shared" si="1"/>
        <v/>
      </c>
      <c r="D4" s="11"/>
      <c r="E4" s="12"/>
      <c r="F4" s="12"/>
      <c r="G4" s="12"/>
      <c r="H4" s="13"/>
      <c r="I4" s="21" t="str">
        <f>IF(OR(NO3NH4!$A4="",B4="",C4="",NO3NH4!$D4="",OR(NO3NH4!$E4="",E4="NO LO PIDEN"),NO3NH4!$G4=""),"",(14/18)*(((NO3NH4!$E4*50)/NO3NH4!$D4)*NO3NH4!$G4))</f>
        <v/>
      </c>
      <c r="J4" s="21" t="str">
        <f>IF(OR(NO3NH4!$A4="",B4="",C4="",NO3NH4!$D4="",OR(NO3NH4!$F4="",F4="NO LO PIDEN"),NO3NH4!$G4=""),"",(14/62)*(((NO3NH4!$F4*50)/NO3NH4!$D4)*NO3NH4!$G4))</f>
        <v/>
      </c>
      <c r="K4" s="14" t="s">
        <v>15</v>
      </c>
      <c r="L4" s="10"/>
    </row>
    <row r="5" spans="1:16" x14ac:dyDescent="0.25">
      <c r="A5" s="9"/>
      <c r="B5" s="15" t="str">
        <f t="shared" si="0"/>
        <v/>
      </c>
      <c r="C5" s="17" t="str">
        <f t="shared" si="1"/>
        <v/>
      </c>
      <c r="D5" s="11"/>
      <c r="E5" s="12"/>
      <c r="F5" s="12"/>
      <c r="G5" s="12"/>
      <c r="H5" s="13"/>
      <c r="I5" s="21" t="str">
        <f>IF(OR(NO3NH4!$A5="",B5="",C5="",NO3NH4!$D5="",OR(NO3NH4!$E5="",E5="NO LO PIDEN"),NO3NH4!$G5=""),"",(14/18)*(((NO3NH4!$E5*50)/NO3NH4!$D5)*NO3NH4!$G5))</f>
        <v/>
      </c>
      <c r="J5" s="21" t="str">
        <f>IF(OR(NO3NH4!$A5="",B5="",C5="",NO3NH4!$D5="",OR(NO3NH4!$F5="",F5="NO LO PIDEN"),NO3NH4!$G5=""),"",(14/62)*(((NO3NH4!$F5*50)/NO3NH4!$D5)*NO3NH4!$G5))</f>
        <v/>
      </c>
      <c r="K5" s="14" t="s">
        <v>16</v>
      </c>
      <c r="L5" s="18"/>
    </row>
    <row r="6" spans="1:16" x14ac:dyDescent="0.25">
      <c r="A6" s="9"/>
      <c r="B6" s="15" t="str">
        <f t="shared" si="0"/>
        <v/>
      </c>
      <c r="C6" s="17" t="str">
        <f t="shared" si="1"/>
        <v/>
      </c>
      <c r="D6" s="11"/>
      <c r="E6" s="12"/>
      <c r="F6" s="12"/>
      <c r="G6" s="12"/>
      <c r="H6" s="13"/>
      <c r="I6" s="21" t="str">
        <f>IF(OR(NO3NH4!$A6="",B6="",C6="",NO3NH4!$D6="",OR(NO3NH4!$E6="",E6="NO LO PIDEN"),NO3NH4!$G6=""),"",(14/18)*(((NO3NH4!$E6*50)/NO3NH4!$D6)*NO3NH4!$G6))</f>
        <v/>
      </c>
      <c r="J6" s="21" t="str">
        <f>IF(OR(NO3NH4!$A6="",B6="",C6="",NO3NH4!$D6="",OR(NO3NH4!$F6="",F6="NO LO PIDEN"),NO3NH4!$G6=""),"",(14/62)*(((NO3NH4!$F6*50)/NO3NH4!$D6)*NO3NH4!$G6))</f>
        <v/>
      </c>
      <c r="K6" s="14" t="s">
        <v>17</v>
      </c>
      <c r="L6" s="11"/>
    </row>
    <row r="7" spans="1:16" x14ac:dyDescent="0.25">
      <c r="A7" s="9"/>
      <c r="B7" s="15" t="str">
        <f t="shared" si="0"/>
        <v/>
      </c>
      <c r="C7" s="17" t="str">
        <f t="shared" si="1"/>
        <v/>
      </c>
      <c r="D7" s="11"/>
      <c r="E7" s="12"/>
      <c r="F7" s="12"/>
      <c r="G7" s="12"/>
      <c r="H7" s="13"/>
      <c r="I7" s="21" t="str">
        <f>IF(OR(NO3NH4!$A7="",B7="",C7="",NO3NH4!$D7="",OR(NO3NH4!$E7="",E7="NO LO PIDEN"),NO3NH4!$G7=""),"",(14/18)*(((NO3NH4!$E7*50)/NO3NH4!$D7)*NO3NH4!$G7))</f>
        <v/>
      </c>
      <c r="J7" s="21" t="str">
        <f>IF(OR(NO3NH4!$A7="",B7="",C7="",NO3NH4!$D7="",OR(NO3NH4!$F7="",F7="NO LO PIDEN"),NO3NH4!$G7=""),"",(14/62)*(((NO3NH4!$F7*50)/NO3NH4!$D7)*NO3NH4!$G7))</f>
        <v/>
      </c>
      <c r="K7" s="46" t="s">
        <v>18</v>
      </c>
      <c r="L7" s="46"/>
    </row>
    <row r="8" spans="1:16" x14ac:dyDescent="0.25">
      <c r="A8" s="9"/>
      <c r="B8" s="15" t="str">
        <f t="shared" si="0"/>
        <v/>
      </c>
      <c r="C8" s="17" t="str">
        <f t="shared" si="1"/>
        <v/>
      </c>
      <c r="D8" s="11"/>
      <c r="E8" s="12"/>
      <c r="F8" s="12"/>
      <c r="G8" s="12"/>
      <c r="H8" s="13"/>
      <c r="I8" s="21" t="str">
        <f>IF(OR(NO3NH4!$A8="",B8="",C8="",NO3NH4!$D8="",OR(NO3NH4!$E8="",E8="NO LO PIDEN"),NO3NH4!$G8=""),"",(14/18)*(((NO3NH4!$E8*50)/NO3NH4!$D8)*NO3NH4!$G8))</f>
        <v/>
      </c>
      <c r="J8" s="21" t="str">
        <f>IF(OR(NO3NH4!$A8="",B8="",C8="",NO3NH4!$D8="",OR(NO3NH4!$F8="",F8="NO LO PIDEN"),NO3NH4!$G8=""),"",(14/62)*(((NO3NH4!$F8*50)/NO3NH4!$D8)*NO3NH4!$G8))</f>
        <v/>
      </c>
      <c r="K8" s="14" t="s">
        <v>20</v>
      </c>
      <c r="L8" s="38"/>
    </row>
    <row r="9" spans="1:16" x14ac:dyDescent="0.25">
      <c r="A9" s="9"/>
      <c r="B9" s="15" t="str">
        <f t="shared" si="0"/>
        <v/>
      </c>
      <c r="C9" s="17" t="str">
        <f t="shared" si="1"/>
        <v/>
      </c>
      <c r="D9" s="11"/>
      <c r="E9" s="12"/>
      <c r="F9" s="12"/>
      <c r="G9" s="12"/>
      <c r="H9" s="13"/>
      <c r="I9" s="21" t="str">
        <f>IF(OR(NO3NH4!$A9="",B9="",C9="",NO3NH4!$D9="",OR(NO3NH4!$E9="",E9="NO LO PIDEN"),NO3NH4!$G9=""),"",(14/18)*(((NO3NH4!$E9*50)/NO3NH4!$D9)*NO3NH4!$G9))</f>
        <v/>
      </c>
      <c r="J9" s="21" t="str">
        <f>IF(OR(NO3NH4!$A9="",B9="",C9="",NO3NH4!$D9="",OR(NO3NH4!$F9="",F9="NO LO PIDEN"),NO3NH4!$G9=""),"",(14/62)*(((NO3NH4!$F9*50)/NO3NH4!$D9)*NO3NH4!$G9))</f>
        <v/>
      </c>
      <c r="K9" s="14" t="s">
        <v>15</v>
      </c>
      <c r="L9" s="10"/>
    </row>
    <row r="10" spans="1:16" x14ac:dyDescent="0.25">
      <c r="A10" s="9"/>
      <c r="B10" s="15" t="str">
        <f t="shared" si="0"/>
        <v/>
      </c>
      <c r="C10" s="17" t="str">
        <f t="shared" si="1"/>
        <v/>
      </c>
      <c r="D10" s="11"/>
      <c r="E10" s="12"/>
      <c r="F10" s="12"/>
      <c r="G10" s="12"/>
      <c r="H10" s="13"/>
      <c r="I10" s="21" t="str">
        <f>IF(OR(NO3NH4!$A10="",B10="",C10="",NO3NH4!$D10="",OR(NO3NH4!$E10="",E10="NO LO PIDEN"),NO3NH4!$G10=""),"",(14/18)*(((NO3NH4!$E10*50)/NO3NH4!$D10)*NO3NH4!$G10))</f>
        <v/>
      </c>
      <c r="J10" s="21" t="str">
        <f>IF(OR(NO3NH4!$A10="",B10="",C10="",NO3NH4!$D10="",OR(NO3NH4!$F10="",F10="NO LO PIDEN"),NO3NH4!$G10=""),"",(14/62)*(((NO3NH4!$F10*50)/NO3NH4!$D10)*NO3NH4!$G10))</f>
        <v/>
      </c>
      <c r="K10" s="14" t="s">
        <v>16</v>
      </c>
      <c r="L10" s="20"/>
    </row>
    <row r="11" spans="1:16" ht="12.6" customHeight="1" x14ac:dyDescent="0.25">
      <c r="A11" s="9"/>
      <c r="B11" s="15" t="str">
        <f t="shared" si="0"/>
        <v/>
      </c>
      <c r="C11" s="17" t="str">
        <f t="shared" si="1"/>
        <v/>
      </c>
      <c r="D11" s="11"/>
      <c r="E11" s="12"/>
      <c r="F11" s="12"/>
      <c r="G11" s="12"/>
      <c r="H11" s="13"/>
      <c r="I11" s="21" t="str">
        <f>IF(OR(NO3NH4!$A11="",B11="",C11="",NO3NH4!$D11="",OR(NO3NH4!$E11="",E11="NO LO PIDEN"),NO3NH4!$G11=""),"",(14/18)*(((NO3NH4!$E11*50)/NO3NH4!$D11)*NO3NH4!$G11))</f>
        <v/>
      </c>
      <c r="J11" s="21" t="str">
        <f>IF(OR(NO3NH4!$A11="",B11="",C11="",NO3NH4!$D11="",OR(NO3NH4!$F11="",F11="NO LO PIDEN"),NO3NH4!$G11=""),"",(14/62)*(((NO3NH4!$F11*50)/NO3NH4!$D11)*NO3NH4!$G11))</f>
        <v/>
      </c>
      <c r="K11" s="16" t="s">
        <v>17</v>
      </c>
      <c r="L11" s="19"/>
    </row>
    <row r="12" spans="1:16" x14ac:dyDescent="0.25">
      <c r="A12" s="9"/>
      <c r="B12" s="15" t="str">
        <f t="shared" si="0"/>
        <v/>
      </c>
      <c r="C12" s="17" t="str">
        <f t="shared" si="1"/>
        <v/>
      </c>
      <c r="D12" s="11"/>
      <c r="E12" s="12"/>
      <c r="F12" s="12"/>
      <c r="G12" s="12"/>
      <c r="H12" s="13"/>
      <c r="I12" s="21" t="str">
        <f>IF(OR(NO3NH4!$A12="",B12="",C12="",NO3NH4!$D12="",OR(NO3NH4!$E12="",E12="NO LO PIDEN"),NO3NH4!$G12=""),"",(14/18)*(((NO3NH4!$E12*50)/NO3NH4!$D12)*NO3NH4!$G12))</f>
        <v/>
      </c>
      <c r="J12" s="21" t="str">
        <f>IF(OR(NO3NH4!$A12="",B12="",C12="",NO3NH4!$D12="",OR(NO3NH4!$F12="",F12="NO LO PIDEN"),NO3NH4!$G12=""),"",(14/62)*(((NO3NH4!$F12*50)/NO3NH4!$D12)*NO3NH4!$G12))</f>
        <v/>
      </c>
    </row>
    <row r="13" spans="1:16" x14ac:dyDescent="0.25">
      <c r="A13" s="9"/>
      <c r="B13" s="15" t="str">
        <f t="shared" si="0"/>
        <v/>
      </c>
      <c r="C13" s="17" t="str">
        <f t="shared" si="1"/>
        <v/>
      </c>
      <c r="D13" s="11"/>
      <c r="E13" s="12"/>
      <c r="F13" s="12"/>
      <c r="G13" s="12"/>
      <c r="H13" s="13"/>
      <c r="I13" s="21" t="str">
        <f>IF(OR(NO3NH4!$A13="",B13="",C13="",NO3NH4!$D13="",OR(NO3NH4!$E13="",E13="NO LO PIDEN"),NO3NH4!$G13=""),"",(14/18)*(((NO3NH4!$E13*50)/NO3NH4!$D13)*NO3NH4!$G13))</f>
        <v/>
      </c>
      <c r="J13" s="21" t="str">
        <f>IF(OR(NO3NH4!$A13="",B13="",C13="",NO3NH4!$D13="",OR(NO3NH4!$F13="",F13="NO LO PIDEN"),NO3NH4!$G13=""),"",(14/62)*(((NO3NH4!$F13*50)/NO3NH4!$D13)*NO3NH4!$G13))</f>
        <v/>
      </c>
      <c r="K13" s="8" t="s">
        <v>25</v>
      </c>
      <c r="L13" s="29" t="s">
        <v>26</v>
      </c>
      <c r="P13" s="22" t="s">
        <v>12</v>
      </c>
    </row>
    <row r="14" spans="1:16" x14ac:dyDescent="0.25">
      <c r="A14" s="9"/>
      <c r="B14" s="15" t="str">
        <f t="shared" si="0"/>
        <v/>
      </c>
      <c r="C14" s="17" t="str">
        <f t="shared" si="1"/>
        <v/>
      </c>
      <c r="D14" s="11"/>
      <c r="E14" s="12"/>
      <c r="F14" s="12"/>
      <c r="G14" s="12"/>
      <c r="H14" s="13"/>
      <c r="I14" s="21" t="str">
        <f>IF(OR(NO3NH4!$A14="",B14="",C14="",NO3NH4!$D14="",OR(NO3NH4!$E14="",E14="NO LO PIDEN"),NO3NH4!$G14=""),"",(14/18)*(((NO3NH4!$E14*50)/NO3NH4!$D14)*NO3NH4!$G14))</f>
        <v/>
      </c>
      <c r="J14" s="21" t="str">
        <f>IF(OR(NO3NH4!$A14="",B14="",C14="",NO3NH4!$D14="",OR(NO3NH4!$F14="",F14="NO LO PIDEN"),NO3NH4!$G14=""),"",(14/62)*(((NO3NH4!$F14*50)/NO3NH4!$D14)*NO3NH4!$G14))</f>
        <v/>
      </c>
      <c r="K14" s="28" t="s">
        <v>29</v>
      </c>
      <c r="L14" s="35"/>
    </row>
    <row r="15" spans="1:16" x14ac:dyDescent="0.25">
      <c r="A15" s="9"/>
      <c r="B15" s="15" t="str">
        <f t="shared" si="0"/>
        <v/>
      </c>
      <c r="C15" s="17" t="str">
        <f t="shared" si="1"/>
        <v/>
      </c>
      <c r="D15" s="11"/>
      <c r="E15" s="12"/>
      <c r="F15" s="12"/>
      <c r="G15" s="12"/>
      <c r="H15" s="13"/>
      <c r="I15" s="21" t="str">
        <f>IF(OR(NO3NH4!$A15="",B15="",C15="",NO3NH4!$D15="",OR(NO3NH4!$E15="",E15="NO LO PIDEN"),NO3NH4!$G15=""),"",(14/18)*(((NO3NH4!$E15*50)/NO3NH4!$D15)*NO3NH4!$G15))</f>
        <v/>
      </c>
      <c r="J15" s="21" t="str">
        <f>IF(OR(NO3NH4!$A15="",B15="",C15="",NO3NH4!$D15="",OR(NO3NH4!$F15="",F15="NO LO PIDEN"),NO3NH4!$G15=""),"",(14/62)*(((NO3NH4!$F15*50)/NO3NH4!$D15)*NO3NH4!$G15))</f>
        <v/>
      </c>
      <c r="K15" s="28" t="s">
        <v>29</v>
      </c>
      <c r="L15" s="35"/>
    </row>
    <row r="16" spans="1:16" x14ac:dyDescent="0.25">
      <c r="A16" s="9"/>
      <c r="B16" s="15" t="str">
        <f t="shared" si="0"/>
        <v/>
      </c>
      <c r="C16" s="17" t="str">
        <f t="shared" si="1"/>
        <v/>
      </c>
      <c r="D16" s="11"/>
      <c r="E16" s="12"/>
      <c r="F16" s="12"/>
      <c r="G16" s="12"/>
      <c r="H16" s="13"/>
      <c r="I16" s="21" t="str">
        <f>IF(OR(NO3NH4!$A16="",B16="",C16="",NO3NH4!$D16="",OR(NO3NH4!$E16="",E16="NO LO PIDEN"),NO3NH4!$G16=""),"",(14/18)*(((NO3NH4!$E16*50)/NO3NH4!$D16)*NO3NH4!$G16))</f>
        <v/>
      </c>
      <c r="J16" s="21" t="str">
        <f>IF(OR(NO3NH4!$A16="",B16="",C16="",NO3NH4!$D16="",OR(NO3NH4!$F16="",F16="NO LO PIDEN"),NO3NH4!$G16=""),"",(14/62)*(((NO3NH4!$F16*50)/NO3NH4!$D16)*NO3NH4!$G16))</f>
        <v/>
      </c>
      <c r="K16" s="8" t="s">
        <v>25</v>
      </c>
      <c r="L16" s="29" t="s">
        <v>27</v>
      </c>
    </row>
    <row r="17" spans="1:26" x14ac:dyDescent="0.25">
      <c r="A17" s="9"/>
      <c r="B17" s="15" t="str">
        <f t="shared" si="0"/>
        <v/>
      </c>
      <c r="C17" s="17" t="str">
        <f t="shared" si="1"/>
        <v/>
      </c>
      <c r="D17" s="11"/>
      <c r="E17" s="12"/>
      <c r="F17" s="12"/>
      <c r="G17" s="12"/>
      <c r="H17" s="13"/>
      <c r="I17" s="21" t="str">
        <f>IF(OR(NO3NH4!$A17="",B17="",C17="",NO3NH4!$D17="",OR(NO3NH4!$E17="",E17="NO LO PIDEN"),NO3NH4!$G17=""),"",(14/18)*(((NO3NH4!$E17*50)/NO3NH4!$D17)*NO3NH4!$G17))</f>
        <v/>
      </c>
      <c r="J17" s="21" t="str">
        <f>IF(OR(NO3NH4!$A17="",B17="",C17="",NO3NH4!$D17="",OR(NO3NH4!$F17="",F17="NO LO PIDEN"),NO3NH4!$G17=""),"",(14/62)*(((NO3NH4!$F17*50)/NO3NH4!$D17)*NO3NH4!$G17))</f>
        <v/>
      </c>
      <c r="K17" s="28" t="s">
        <v>28</v>
      </c>
      <c r="L17" s="35"/>
    </row>
    <row r="18" spans="1:26" x14ac:dyDescent="0.25">
      <c r="A18" s="9"/>
      <c r="B18" s="15" t="str">
        <f t="shared" si="0"/>
        <v/>
      </c>
      <c r="C18" s="17" t="str">
        <f t="shared" si="1"/>
        <v/>
      </c>
      <c r="D18" s="11"/>
      <c r="E18" s="12"/>
      <c r="F18" s="12"/>
      <c r="G18" s="12"/>
      <c r="H18" s="13"/>
      <c r="I18" s="21" t="str">
        <f>IF(OR(NO3NH4!$A18="",B18="",C18="",NO3NH4!$D18="",OR(NO3NH4!$E18="",E18="NO LO PIDEN"),NO3NH4!$G18=""),"",(14/18)*(((NO3NH4!$E18*50)/NO3NH4!$D18)*NO3NH4!$G18))</f>
        <v/>
      </c>
      <c r="J18" s="21" t="str">
        <f>IF(OR(NO3NH4!$A18="",B18="",C18="",NO3NH4!$D18="",OR(NO3NH4!$F18="",F18="NO LO PIDEN"),NO3NH4!$G18=""),"",(14/62)*(((NO3NH4!$F18*50)/NO3NH4!$D18)*NO3NH4!$G18))</f>
        <v/>
      </c>
      <c r="K18" s="28" t="s">
        <v>28</v>
      </c>
      <c r="L18" s="35"/>
    </row>
    <row r="19" spans="1:26" x14ac:dyDescent="0.25">
      <c r="A19" s="9"/>
      <c r="B19" s="15" t="str">
        <f t="shared" si="0"/>
        <v/>
      </c>
      <c r="C19" s="17" t="str">
        <f t="shared" si="1"/>
        <v/>
      </c>
      <c r="D19" s="11"/>
      <c r="E19" s="12"/>
      <c r="F19" s="12"/>
      <c r="G19" s="12"/>
      <c r="H19" s="13"/>
      <c r="I19" s="21" t="str">
        <f>IF(OR(NO3NH4!$A19="",B19="",C19="",NO3NH4!$D19="",OR(NO3NH4!$E19="",E19="NO LO PIDEN"),NO3NH4!$G19=""),"",(14/18)*(((NO3NH4!$E19*50)/NO3NH4!$D19)*NO3NH4!$G19))</f>
        <v/>
      </c>
      <c r="J19" s="21" t="str">
        <f>IF(OR(NO3NH4!$A19="",B19="",C19="",NO3NH4!$D19="",OR(NO3NH4!$F19="",F19="NO LO PIDEN"),NO3NH4!$G19=""),"",(14/62)*(((NO3NH4!$F19*50)/NO3NH4!$D19)*NO3NH4!$G19))</f>
        <v/>
      </c>
      <c r="K19" s="28" t="s">
        <v>28</v>
      </c>
      <c r="L19" s="35"/>
    </row>
    <row r="20" spans="1:26" x14ac:dyDescent="0.25">
      <c r="A20" s="9"/>
      <c r="B20" s="15" t="str">
        <f t="shared" si="0"/>
        <v/>
      </c>
      <c r="C20" s="17" t="str">
        <f t="shared" si="1"/>
        <v/>
      </c>
      <c r="D20" s="11"/>
      <c r="E20" s="12"/>
      <c r="F20" s="12"/>
      <c r="G20" s="12"/>
      <c r="H20" s="13"/>
      <c r="I20" s="21" t="str">
        <f>IF(OR(NO3NH4!$A20="",B20="",C20="",NO3NH4!$D20="",OR(NO3NH4!$E20="",E20="NO LO PIDEN"),NO3NH4!$G20=""),"",(14/18)*(((NO3NH4!$E20*50)/NO3NH4!$D20)*NO3NH4!$G20))</f>
        <v/>
      </c>
      <c r="J20" s="21" t="str">
        <f>IF(OR(NO3NH4!$A20="",B20="",C20="",NO3NH4!$D20="",OR(NO3NH4!$F20="",F20="NO LO PIDEN"),NO3NH4!$G20=""),"",(14/62)*(((NO3NH4!$F20*50)/NO3NH4!$D20)*NO3NH4!$G20))</f>
        <v/>
      </c>
    </row>
    <row r="21" spans="1:26" x14ac:dyDescent="0.25">
      <c r="A21" s="9"/>
      <c r="B21" s="15" t="str">
        <f t="shared" si="0"/>
        <v/>
      </c>
      <c r="C21" s="17" t="str">
        <f t="shared" si="1"/>
        <v/>
      </c>
      <c r="D21" s="11"/>
      <c r="E21" s="12"/>
      <c r="F21" s="12"/>
      <c r="G21" s="12"/>
      <c r="H21" s="13"/>
      <c r="I21" s="21" t="str">
        <f>IF(OR(NO3NH4!$A21="",B21="",C21="",NO3NH4!$D21="",OR(NO3NH4!$E21="",E21="NO LO PIDEN"),NO3NH4!$G21=""),"",(14/18)*(((NO3NH4!$E21*50)/NO3NH4!$D21)*NO3NH4!$G21))</f>
        <v/>
      </c>
      <c r="J21" s="21" t="str">
        <f>IF(OR(NO3NH4!$A21="",B21="",C21="",NO3NH4!$D21="",OR(NO3NH4!$F21="",F21="NO LO PIDEN"),NO3NH4!$G21=""),"",(14/62)*(((NO3NH4!$F21*50)/NO3NH4!$D21)*NO3NH4!$G21))</f>
        <v/>
      </c>
      <c r="X21" s="4"/>
      <c r="Y21" s="3"/>
      <c r="Z21" s="3"/>
    </row>
    <row r="22" spans="1:26" ht="12.6" customHeight="1" x14ac:dyDescent="0.25">
      <c r="A22" s="9"/>
      <c r="B22" s="15" t="str">
        <f t="shared" si="0"/>
        <v/>
      </c>
      <c r="C22" s="17" t="str">
        <f t="shared" si="1"/>
        <v/>
      </c>
      <c r="D22" s="11"/>
      <c r="E22" s="12"/>
      <c r="F22" s="12"/>
      <c r="G22" s="12"/>
      <c r="H22" s="13"/>
      <c r="I22" s="21" t="str">
        <f>IF(OR(NO3NH4!$A22="",B22="",C22="",NO3NH4!$D22="",OR(NO3NH4!$E22="",E22="NO LO PIDEN"),NO3NH4!$G22=""),"",(14/18)*(((NO3NH4!$E22*50)/NO3NH4!$D22)*NO3NH4!$G22))</f>
        <v/>
      </c>
      <c r="J22" s="21" t="str">
        <f>IF(OR(NO3NH4!$A22="",B22="",C22="",NO3NH4!$D22="",OR(NO3NH4!$F22="",F22="NO LO PIDEN"),NO3NH4!$G22=""),"",(14/62)*(((NO3NH4!$F22*50)/NO3NH4!$D22)*NO3NH4!$G22))</f>
        <v/>
      </c>
    </row>
    <row r="23" spans="1:26" ht="12.6" customHeight="1" x14ac:dyDescent="0.25">
      <c r="A23" s="9"/>
      <c r="B23" s="15" t="str">
        <f t="shared" si="0"/>
        <v/>
      </c>
      <c r="C23" s="17" t="str">
        <f t="shared" si="1"/>
        <v/>
      </c>
      <c r="D23" s="11"/>
      <c r="E23" s="12"/>
      <c r="F23" s="12"/>
      <c r="G23" s="12"/>
      <c r="H23" s="13"/>
      <c r="I23" s="21" t="str">
        <f>IF(OR(NO3NH4!$A23="",B23="",C23="",NO3NH4!$D23="",OR(NO3NH4!$E23="",E23="NO LO PIDEN"),NO3NH4!$G23=""),"",(14/18)*(((NO3NH4!$E23*50)/NO3NH4!$D23)*NO3NH4!$G23))</f>
        <v/>
      </c>
      <c r="J23" s="21" t="str">
        <f>IF(OR(NO3NH4!$A23="",B23="",C23="",NO3NH4!$D23="",OR(NO3NH4!$F23="",F23="NO LO PIDEN"),NO3NH4!$G23=""),"",(14/62)*(((NO3NH4!$F23*50)/NO3NH4!$D23)*NO3NH4!$G23))</f>
        <v/>
      </c>
    </row>
    <row r="24" spans="1:26" x14ac:dyDescent="0.25">
      <c r="A24" s="9"/>
      <c r="B24" s="15" t="str">
        <f t="shared" si="0"/>
        <v/>
      </c>
      <c r="C24" s="17" t="str">
        <f t="shared" si="1"/>
        <v/>
      </c>
      <c r="D24" s="11"/>
      <c r="E24" s="12"/>
      <c r="F24" s="12"/>
      <c r="G24" s="12"/>
      <c r="H24" s="13"/>
      <c r="I24" s="21" t="str">
        <f>IF(OR(NO3NH4!$A24="",B24="",C24="",NO3NH4!$D24="",OR(NO3NH4!$E24="",E24="NO LO PIDEN"),NO3NH4!$G24=""),"",(14/18)*(((NO3NH4!$E24*50)/NO3NH4!$D24)*NO3NH4!$G24))</f>
        <v/>
      </c>
      <c r="J24" s="21" t="str">
        <f>IF(OR(NO3NH4!$A24="",B24="",C24="",NO3NH4!$D24="",OR(NO3NH4!$F24="",F24="NO LO PIDEN"),NO3NH4!$G24=""),"",(14/62)*(((NO3NH4!$F24*50)/NO3NH4!$D24)*NO3NH4!$G24))</f>
        <v/>
      </c>
    </row>
    <row r="25" spans="1:26" x14ac:dyDescent="0.25">
      <c r="A25" s="9"/>
      <c r="B25" s="15" t="str">
        <f t="shared" si="0"/>
        <v/>
      </c>
      <c r="C25" s="17" t="str">
        <f t="shared" si="1"/>
        <v/>
      </c>
      <c r="D25" s="11"/>
      <c r="E25" s="12"/>
      <c r="F25" s="12"/>
      <c r="G25" s="12"/>
      <c r="H25" s="13"/>
      <c r="I25" s="21" t="str">
        <f>IF(OR(NO3NH4!$A25="",B25="",C25="",NO3NH4!$D25="",OR(NO3NH4!$E25="",E25="NO LO PIDEN"),NO3NH4!$G25=""),"",(14/18)*(((NO3NH4!$E25*50)/NO3NH4!$D25)*NO3NH4!$G25))</f>
        <v/>
      </c>
      <c r="J25" s="21" t="str">
        <f>IF(OR(NO3NH4!$A25="",B25="",C25="",NO3NH4!$D25="",OR(NO3NH4!$F25="",F25="NO LO PIDEN"),NO3NH4!$G25=""),"",(14/62)*(((NO3NH4!$F25*50)/NO3NH4!$D25)*NO3NH4!$G25))</f>
        <v/>
      </c>
    </row>
    <row r="26" spans="1:26" x14ac:dyDescent="0.25">
      <c r="A26" s="9"/>
      <c r="B26" s="15" t="str">
        <f t="shared" si="0"/>
        <v/>
      </c>
      <c r="C26" s="17" t="str">
        <f t="shared" si="1"/>
        <v/>
      </c>
      <c r="D26" s="11"/>
      <c r="E26" s="12"/>
      <c r="F26" s="12"/>
      <c r="G26" s="12"/>
      <c r="H26" s="13"/>
      <c r="I26" s="21" t="str">
        <f>IF(OR(NO3NH4!$A26="",B26="",C26="",NO3NH4!$D26="",OR(NO3NH4!$E26="",E26="NO LO PIDEN"),NO3NH4!$G26=""),"",(14/18)*(((NO3NH4!$E26*50)/NO3NH4!$D26)*NO3NH4!$G26))</f>
        <v/>
      </c>
      <c r="J26" s="21" t="str">
        <f>IF(OR(NO3NH4!$A26="",B26="",C26="",NO3NH4!$D26="",OR(NO3NH4!$F26="",F26="NO LO PIDEN"),NO3NH4!$G26=""),"",(14/62)*(((NO3NH4!$F26*50)/NO3NH4!$D26)*NO3NH4!$G26))</f>
        <v/>
      </c>
    </row>
    <row r="27" spans="1:26" x14ac:dyDescent="0.25">
      <c r="A27" s="9"/>
      <c r="B27" s="15" t="str">
        <f t="shared" si="0"/>
        <v/>
      </c>
      <c r="C27" s="17" t="str">
        <f t="shared" si="1"/>
        <v/>
      </c>
      <c r="D27" s="11"/>
      <c r="E27" s="12"/>
      <c r="F27" s="12"/>
      <c r="G27" s="12"/>
      <c r="H27" s="13"/>
      <c r="I27" s="21" t="str">
        <f>IF(OR(NO3NH4!$A27="",B27="",C27="",NO3NH4!$D27="",OR(NO3NH4!$E27="",E27="NO LO PIDEN"),NO3NH4!$G27=""),"",(14/18)*(((NO3NH4!$E27*50)/NO3NH4!$D27)*NO3NH4!$G27))</f>
        <v/>
      </c>
      <c r="J27" s="21" t="str">
        <f>IF(OR(NO3NH4!$A27="",B27="",C27="",NO3NH4!$D27="",OR(NO3NH4!$F27="",F27="NO LO PIDEN"),NO3NH4!$G27=""),"",(14/62)*(((NO3NH4!$F27*50)/NO3NH4!$D27)*NO3NH4!$G27))</f>
        <v/>
      </c>
    </row>
    <row r="28" spans="1:26" x14ac:dyDescent="0.25">
      <c r="A28" s="9"/>
      <c r="B28" s="15" t="str">
        <f t="shared" si="0"/>
        <v/>
      </c>
      <c r="C28" s="17" t="str">
        <f t="shared" si="1"/>
        <v/>
      </c>
      <c r="D28" s="11"/>
      <c r="E28" s="12"/>
      <c r="F28" s="12"/>
      <c r="G28" s="12"/>
      <c r="H28" s="13"/>
      <c r="I28" s="21" t="str">
        <f>IF(OR(NO3NH4!$A28="",B28="",C28="",NO3NH4!$D28="",OR(NO3NH4!$E28="",E28="NO LO PIDEN"),NO3NH4!$G28=""),"",(14/18)*(((NO3NH4!$E28*50)/NO3NH4!$D28)*NO3NH4!$G28))</f>
        <v/>
      </c>
      <c r="J28" s="21" t="str">
        <f>IF(OR(NO3NH4!$A28="",B28="",C28="",NO3NH4!$D28="",OR(NO3NH4!$F28="",F28="NO LO PIDEN"),NO3NH4!$G28=""),"",(14/62)*(((NO3NH4!$F28*50)/NO3NH4!$D28)*NO3NH4!$G28))</f>
        <v/>
      </c>
    </row>
    <row r="29" spans="1:26" x14ac:dyDescent="0.25">
      <c r="A29" s="9"/>
      <c r="B29" s="15" t="str">
        <f t="shared" si="0"/>
        <v/>
      </c>
      <c r="C29" s="17" t="str">
        <f t="shared" si="1"/>
        <v/>
      </c>
      <c r="D29" s="11"/>
      <c r="E29" s="12"/>
      <c r="F29" s="12"/>
      <c r="G29" s="12"/>
      <c r="H29" s="13"/>
      <c r="I29" s="21" t="str">
        <f>IF(OR(NO3NH4!$A29="",B29="",C29="",NO3NH4!$D29="",OR(NO3NH4!$E29="",E29="NO LO PIDEN"),NO3NH4!$G29=""),"",(14/18)*(((NO3NH4!$E29*50)/NO3NH4!$D29)*NO3NH4!$G29))</f>
        <v/>
      </c>
      <c r="J29" s="21" t="str">
        <f>IF(OR(NO3NH4!$A29="",B29="",C29="",NO3NH4!$D29="",OR(NO3NH4!$F29="",F29="NO LO PIDEN"),NO3NH4!$G29=""),"",(14/62)*(((NO3NH4!$F29*50)/NO3NH4!$D29)*NO3NH4!$G29))</f>
        <v/>
      </c>
    </row>
    <row r="30" spans="1:26" x14ac:dyDescent="0.25">
      <c r="A30" s="9"/>
      <c r="B30" s="15" t="str">
        <f t="shared" si="0"/>
        <v/>
      </c>
      <c r="C30" s="17" t="str">
        <f t="shared" si="1"/>
        <v/>
      </c>
      <c r="D30" s="11"/>
      <c r="E30" s="12"/>
      <c r="F30" s="12"/>
      <c r="G30" s="12"/>
      <c r="H30" s="13"/>
      <c r="I30" s="21" t="str">
        <f>IF(OR(NO3NH4!$A30="",B30="",C30="",NO3NH4!$D30="",OR(NO3NH4!$E30="",E30="NO LO PIDEN"),NO3NH4!$G30=""),"",(14/18)*(((NO3NH4!$E30*50)/NO3NH4!$D30)*NO3NH4!$G30))</f>
        <v/>
      </c>
      <c r="J30" s="21" t="str">
        <f>IF(OR(NO3NH4!$A30="",B30="",C30="",NO3NH4!$D30="",OR(NO3NH4!$F30="",F30="NO LO PIDEN"),NO3NH4!$G30=""),"",(14/62)*(((NO3NH4!$F30*50)/NO3NH4!$D30)*NO3NH4!$G30))</f>
        <v/>
      </c>
    </row>
    <row r="31" spans="1:26" x14ac:dyDescent="0.25">
      <c r="A31" s="9"/>
      <c r="B31" s="15" t="str">
        <f t="shared" si="0"/>
        <v/>
      </c>
      <c r="C31" s="17" t="str">
        <f t="shared" si="1"/>
        <v/>
      </c>
      <c r="D31" s="11"/>
      <c r="E31" s="12"/>
      <c r="F31" s="12"/>
      <c r="G31" s="12"/>
      <c r="H31" s="13"/>
      <c r="I31" s="21" t="str">
        <f>IF(OR(NO3NH4!$A31="",B31="",C31="",NO3NH4!$D31="",OR(NO3NH4!$E31="",E31="NO LO PIDEN"),NO3NH4!$G31=""),"",(14/18)*(((NO3NH4!$E31*50)/NO3NH4!$D31)*NO3NH4!$G31))</f>
        <v/>
      </c>
      <c r="J31" s="21" t="str">
        <f>IF(OR(NO3NH4!$A31="",B31="",C31="",NO3NH4!$D31="",OR(NO3NH4!$F31="",F31="NO LO PIDEN"),NO3NH4!$G31=""),"",(14/62)*(((NO3NH4!$F31*50)/NO3NH4!$D31)*NO3NH4!$G31))</f>
        <v/>
      </c>
    </row>
    <row r="32" spans="1:26" x14ac:dyDescent="0.25">
      <c r="A32" s="9"/>
      <c r="B32" s="15" t="str">
        <f t="shared" si="0"/>
        <v/>
      </c>
      <c r="C32" s="17" t="str">
        <f t="shared" si="1"/>
        <v/>
      </c>
      <c r="D32" s="11"/>
      <c r="E32" s="12"/>
      <c r="F32" s="12"/>
      <c r="G32" s="12"/>
      <c r="H32" s="13"/>
      <c r="I32" s="21" t="str">
        <f>IF(OR(NO3NH4!$A32="",B32="",C32="",NO3NH4!$D32="",OR(NO3NH4!$E32="",E32="NO LO PIDEN"),NO3NH4!$G32=""),"",(14/18)*(((NO3NH4!$E32*50)/NO3NH4!$D32)*NO3NH4!$G32))</f>
        <v/>
      </c>
      <c r="J32" s="21" t="str">
        <f>IF(OR(NO3NH4!$A32="",B32="",C32="",NO3NH4!$D32="",OR(NO3NH4!$F32="",F32="NO LO PIDEN"),NO3NH4!$G32=""),"",(14/62)*(((NO3NH4!$F32*50)/NO3NH4!$D32)*NO3NH4!$G32))</f>
        <v/>
      </c>
    </row>
    <row r="33" spans="1:10" x14ac:dyDescent="0.25">
      <c r="A33" s="9"/>
      <c r="B33" s="15" t="str">
        <f t="shared" si="0"/>
        <v/>
      </c>
      <c r="C33" s="17" t="str">
        <f t="shared" si="1"/>
        <v/>
      </c>
      <c r="D33" s="11"/>
      <c r="E33" s="12"/>
      <c r="F33" s="12"/>
      <c r="G33" s="12"/>
      <c r="H33" s="13"/>
      <c r="I33" s="21" t="str">
        <f>IF(OR(NO3NH4!$A33="",B33="",C33="",NO3NH4!$D33="",OR(NO3NH4!$E33="",E33="NO LO PIDEN"),NO3NH4!$G33=""),"",(14/18)*(((NO3NH4!$E33*50)/NO3NH4!$D33)*NO3NH4!$G33))</f>
        <v/>
      </c>
      <c r="J33" s="21" t="str">
        <f>IF(OR(NO3NH4!$A33="",B33="",C33="",NO3NH4!$D33="",OR(NO3NH4!$F33="",F33="NO LO PIDEN"),NO3NH4!$G33=""),"",(14/62)*(((NO3NH4!$F33*50)/NO3NH4!$D33)*NO3NH4!$G33))</f>
        <v/>
      </c>
    </row>
    <row r="34" spans="1:10" x14ac:dyDescent="0.25">
      <c r="A34" s="9"/>
      <c r="B34" s="15" t="str">
        <f t="shared" si="0"/>
        <v/>
      </c>
      <c r="C34" s="17" t="str">
        <f t="shared" si="1"/>
        <v/>
      </c>
      <c r="D34" s="11"/>
      <c r="E34" s="12"/>
      <c r="F34" s="12"/>
      <c r="G34" s="12"/>
      <c r="H34" s="13"/>
      <c r="I34" s="21" t="str">
        <f>IF(OR(NO3NH4!$A34="",B34="",C34="",NO3NH4!$D34="",OR(NO3NH4!$E34="",E34="NO LO PIDEN"),NO3NH4!$G34=""),"",(14/18)*(((NO3NH4!$E34*50)/NO3NH4!$D34)*NO3NH4!$G34))</f>
        <v/>
      </c>
      <c r="J34" s="21" t="str">
        <f>IF(OR(NO3NH4!$A34="",B34="",C34="",NO3NH4!$D34="",OR(NO3NH4!$F34="",F34="NO LO PIDEN"),NO3NH4!$G34=""),"",(14/62)*(((NO3NH4!$F34*50)/NO3NH4!$D34)*NO3NH4!$G34))</f>
        <v/>
      </c>
    </row>
    <row r="35" spans="1:10" x14ac:dyDescent="0.25">
      <c r="A35" s="9"/>
      <c r="B35" s="15" t="str">
        <f t="shared" si="0"/>
        <v/>
      </c>
      <c r="C35" s="17" t="str">
        <f t="shared" si="1"/>
        <v/>
      </c>
      <c r="D35" s="11"/>
      <c r="E35" s="12"/>
      <c r="F35" s="12"/>
      <c r="G35" s="12"/>
      <c r="H35" s="13"/>
      <c r="I35" s="21" t="str">
        <f>IF(OR(NO3NH4!$A35="",B35="",C35="",NO3NH4!$D35="",OR(NO3NH4!$E35="",E35="NO LO PIDEN"),NO3NH4!$G35=""),"",(14/18)*(((NO3NH4!$E35*50)/NO3NH4!$D35)*NO3NH4!$G35))</f>
        <v/>
      </c>
      <c r="J35" s="21" t="str">
        <f>IF(OR(NO3NH4!$A35="",B35="",C35="",NO3NH4!$D35="",OR(NO3NH4!$F35="",F35="NO LO PIDEN"),NO3NH4!$G35=""),"",(14/62)*(((NO3NH4!$F35*50)/NO3NH4!$D35)*NO3NH4!$G35))</f>
        <v/>
      </c>
    </row>
    <row r="36" spans="1:10" x14ac:dyDescent="0.25">
      <c r="A36" s="9"/>
      <c r="B36" s="15" t="str">
        <f t="shared" si="0"/>
        <v/>
      </c>
      <c r="C36" s="17" t="str">
        <f t="shared" si="1"/>
        <v/>
      </c>
      <c r="D36" s="11"/>
      <c r="E36" s="12"/>
      <c r="F36" s="12"/>
      <c r="G36" s="12"/>
      <c r="H36" s="13"/>
      <c r="I36" s="21" t="str">
        <f>IF(OR(NO3NH4!$A36="",B36="",C36="",NO3NH4!$D36="",OR(NO3NH4!$E36="",E36="NO LO PIDEN"),NO3NH4!$G36=""),"",(14/18)*(((NO3NH4!$E36*50)/NO3NH4!$D36)*NO3NH4!$G36))</f>
        <v/>
      </c>
      <c r="J36" s="21" t="str">
        <f>IF(OR(NO3NH4!$A36="",B36="",C36="",NO3NH4!$D36="",OR(NO3NH4!$F36="",F36="NO LO PIDEN"),NO3NH4!$G36=""),"",(14/62)*(((NO3NH4!$F36*50)/NO3NH4!$D36)*NO3NH4!$G36))</f>
        <v/>
      </c>
    </row>
    <row r="37" spans="1:10" x14ac:dyDescent="0.25">
      <c r="A37" s="9"/>
      <c r="B37" s="15" t="str">
        <f t="shared" si="0"/>
        <v/>
      </c>
      <c r="C37" s="17" t="str">
        <f t="shared" si="1"/>
        <v/>
      </c>
      <c r="D37" s="11"/>
      <c r="E37" s="12"/>
      <c r="F37" s="12"/>
      <c r="G37" s="12"/>
      <c r="H37" s="13"/>
      <c r="I37" s="21" t="str">
        <f>IF(OR(NO3NH4!$A37="",B37="",C37="",NO3NH4!$D37="",OR(NO3NH4!$E37="",E37="NO LO PIDEN"),NO3NH4!$G37=""),"",(14/18)*(((NO3NH4!$E37*50)/NO3NH4!$D37)*NO3NH4!$G37))</f>
        <v/>
      </c>
      <c r="J37" s="21" t="str">
        <f>IF(OR(NO3NH4!$A37="",B37="",C37="",NO3NH4!$D37="",OR(NO3NH4!$F37="",F37="NO LO PIDEN"),NO3NH4!$G37=""),"",(14/62)*(((NO3NH4!$F37*50)/NO3NH4!$D37)*NO3NH4!$G37))</f>
        <v/>
      </c>
    </row>
    <row r="38" spans="1:10" x14ac:dyDescent="0.25">
      <c r="A38" s="9"/>
      <c r="B38" s="15" t="str">
        <f t="shared" si="0"/>
        <v/>
      </c>
      <c r="C38" s="17" t="str">
        <f t="shared" si="1"/>
        <v/>
      </c>
      <c r="D38" s="11"/>
      <c r="E38" s="12"/>
      <c r="F38" s="12"/>
      <c r="G38" s="12"/>
      <c r="H38" s="13"/>
      <c r="I38" s="21" t="str">
        <f>IF(OR(NO3NH4!$A38="",B38="",C38="",NO3NH4!$D38="",OR(NO3NH4!$E38="",E38="NO LO PIDEN"),NO3NH4!$G38=""),"",(14/18)*(((NO3NH4!$E38*50)/NO3NH4!$D38)*NO3NH4!$G38))</f>
        <v/>
      </c>
      <c r="J38" s="21" t="str">
        <f>IF(OR(NO3NH4!$A38="",B38="",C38="",NO3NH4!$D38="",OR(NO3NH4!$F38="",F38="NO LO PIDEN"),NO3NH4!$G38=""),"",(14/62)*(((NO3NH4!$F38*50)/NO3NH4!$D38)*NO3NH4!$G38))</f>
        <v/>
      </c>
    </row>
    <row r="39" spans="1:10" x14ac:dyDescent="0.25">
      <c r="A39" s="9"/>
      <c r="B39" s="15" t="str">
        <f t="shared" si="0"/>
        <v/>
      </c>
      <c r="C39" s="17" t="str">
        <f t="shared" si="1"/>
        <v/>
      </c>
      <c r="D39" s="11"/>
      <c r="E39" s="12"/>
      <c r="F39" s="12"/>
      <c r="G39" s="12"/>
      <c r="H39" s="13"/>
      <c r="I39" s="21" t="str">
        <f>IF(OR(NO3NH4!$A39="",B39="",C39="",NO3NH4!$D39="",OR(NO3NH4!$E39="",E39="NO LO PIDEN"),NO3NH4!$G39=""),"",(14/18)*(((NO3NH4!$E39*50)/NO3NH4!$D39)*NO3NH4!$G39))</f>
        <v/>
      </c>
      <c r="J39" s="21" t="str">
        <f>IF(OR(NO3NH4!$A39="",B39="",C39="",NO3NH4!$D39="",OR(NO3NH4!$F39="",F39="NO LO PIDEN"),NO3NH4!$G39=""),"",(14/62)*(((NO3NH4!$F39*50)/NO3NH4!$D39)*NO3NH4!$G39))</f>
        <v/>
      </c>
    </row>
    <row r="40" spans="1:10" x14ac:dyDescent="0.25">
      <c r="A40" s="9"/>
      <c r="B40" s="15" t="str">
        <f t="shared" si="0"/>
        <v/>
      </c>
      <c r="C40" s="17" t="str">
        <f t="shared" si="1"/>
        <v/>
      </c>
      <c r="D40" s="11"/>
      <c r="E40" s="12"/>
      <c r="F40" s="12"/>
      <c r="G40" s="12"/>
      <c r="H40" s="13"/>
      <c r="I40" s="21" t="str">
        <f>IF(OR(NO3NH4!$A40="",B40="",C40="",NO3NH4!$D40="",OR(NO3NH4!$E40="",E40="NO LO PIDEN"),NO3NH4!$G40=""),"",(14/18)*(((NO3NH4!$E40*50)/NO3NH4!$D40)*NO3NH4!$G40))</f>
        <v/>
      </c>
      <c r="J40" s="21" t="str">
        <f>IF(OR(NO3NH4!$A40="",B40="",C40="",NO3NH4!$D40="",OR(NO3NH4!$F40="",F40="NO LO PIDEN"),NO3NH4!$G40=""),"",(14/62)*(((NO3NH4!$F40*50)/NO3NH4!$D40)*NO3NH4!$G40))</f>
        <v/>
      </c>
    </row>
    <row r="41" spans="1:10" x14ac:dyDescent="0.25">
      <c r="A41" s="9"/>
      <c r="B41" s="15" t="str">
        <f t="shared" si="0"/>
        <v/>
      </c>
      <c r="C41" s="17" t="str">
        <f t="shared" si="1"/>
        <v/>
      </c>
      <c r="D41" s="11"/>
      <c r="E41" s="12"/>
      <c r="F41" s="12"/>
      <c r="G41" s="12"/>
      <c r="H41" s="13"/>
      <c r="I41" s="21" t="str">
        <f>IF(OR(NO3NH4!$A41="",B41="",C41="",NO3NH4!$D41="",OR(NO3NH4!$E41="",E41="NO LO PIDEN"),NO3NH4!$G41=""),"",(14/18)*(((NO3NH4!$E41*50)/NO3NH4!$D41)*NO3NH4!$G41))</f>
        <v/>
      </c>
      <c r="J41" s="21" t="str">
        <f>IF(OR(NO3NH4!$A41="",B41="",C41="",NO3NH4!$D41="",OR(NO3NH4!$F41="",F41="NO LO PIDEN"),NO3NH4!$G41=""),"",(14/62)*(((NO3NH4!$F41*50)/NO3NH4!$D41)*NO3NH4!$G41))</f>
        <v/>
      </c>
    </row>
    <row r="42" spans="1:10" x14ac:dyDescent="0.25">
      <c r="A42" s="9"/>
      <c r="B42" s="15" t="str">
        <f t="shared" si="0"/>
        <v/>
      </c>
      <c r="C42" s="17" t="str">
        <f t="shared" si="1"/>
        <v/>
      </c>
      <c r="D42" s="11"/>
      <c r="E42" s="12"/>
      <c r="F42" s="12"/>
      <c r="G42" s="12"/>
      <c r="H42" s="13"/>
      <c r="I42" s="21" t="str">
        <f>IF(OR(NO3NH4!$A42="",B42="",C42="",NO3NH4!$D42="",OR(NO3NH4!$E42="",E42="NO LO PIDEN"),NO3NH4!$G42=""),"",(14/18)*(((NO3NH4!$E42*50)/NO3NH4!$D42)*NO3NH4!$G42))</f>
        <v/>
      </c>
      <c r="J42" s="21" t="str">
        <f>IF(OR(NO3NH4!$A42="",B42="",C42="",NO3NH4!$D42="",OR(NO3NH4!$F42="",F42="NO LO PIDEN"),NO3NH4!$G42=""),"",(14/62)*(((NO3NH4!$F42*50)/NO3NH4!$D42)*NO3NH4!$G42))</f>
        <v/>
      </c>
    </row>
    <row r="43" spans="1:10" x14ac:dyDescent="0.25">
      <c r="A43" s="9"/>
      <c r="B43" s="15" t="str">
        <f t="shared" si="0"/>
        <v/>
      </c>
      <c r="C43" s="17" t="str">
        <f t="shared" si="1"/>
        <v/>
      </c>
      <c r="D43" s="11"/>
      <c r="E43" s="12"/>
      <c r="F43" s="12"/>
      <c r="G43" s="12"/>
      <c r="H43" s="13"/>
      <c r="I43" s="21" t="str">
        <f>IF(OR(NO3NH4!$A43="",B43="",C43="",NO3NH4!$D43="",OR(NO3NH4!$E43="",E43="NO LO PIDEN"),NO3NH4!$G43=""),"",(14/18)*(((NO3NH4!$E43*50)/NO3NH4!$D43)*NO3NH4!$G43))</f>
        <v/>
      </c>
      <c r="J43" s="21" t="str">
        <f>IF(OR(NO3NH4!$A43="",B43="",C43="",NO3NH4!$D43="",OR(NO3NH4!$F43="",F43="NO LO PIDEN"),NO3NH4!$G43=""),"",(14/62)*(((NO3NH4!$F43*50)/NO3NH4!$D43)*NO3NH4!$G43))</f>
        <v/>
      </c>
    </row>
    <row r="44" spans="1:10" x14ac:dyDescent="0.25">
      <c r="A44" s="9"/>
      <c r="B44" s="15" t="str">
        <f t="shared" si="0"/>
        <v/>
      </c>
      <c r="C44" s="17" t="str">
        <f t="shared" si="1"/>
        <v/>
      </c>
      <c r="D44" s="11"/>
      <c r="E44" s="12"/>
      <c r="F44" s="12"/>
      <c r="G44" s="12"/>
      <c r="H44" s="13"/>
      <c r="I44" s="21" t="str">
        <f>IF(OR(NO3NH4!$A44="",B44="",C44="",NO3NH4!$D44="",OR(NO3NH4!$E44="",E44="NO LO PIDEN"),NO3NH4!$G44=""),"",(14/18)*(((NO3NH4!$E44*50)/NO3NH4!$D44)*NO3NH4!$G44))</f>
        <v/>
      </c>
      <c r="J44" s="21" t="str">
        <f>IF(OR(NO3NH4!$A44="",B44="",C44="",NO3NH4!$D44="",OR(NO3NH4!$F44="",F44="NO LO PIDEN"),NO3NH4!$G44=""),"",(14/62)*(((NO3NH4!$F44*50)/NO3NH4!$D44)*NO3NH4!$G44))</f>
        <v/>
      </c>
    </row>
    <row r="45" spans="1:10" x14ac:dyDescent="0.25">
      <c r="A45" s="9"/>
      <c r="B45" s="15" t="str">
        <f t="shared" si="0"/>
        <v/>
      </c>
      <c r="C45" s="17" t="str">
        <f t="shared" si="1"/>
        <v/>
      </c>
      <c r="D45" s="11"/>
      <c r="E45" s="12"/>
      <c r="F45" s="12"/>
      <c r="G45" s="12"/>
      <c r="H45" s="13"/>
      <c r="I45" s="21" t="str">
        <f>IF(OR(NO3NH4!$A45="",B45="",C45="",NO3NH4!$D45="",OR(NO3NH4!$E45="",E45="NO LO PIDEN"),NO3NH4!$G45=""),"",(14/18)*(((NO3NH4!$E45*50)/NO3NH4!$D45)*NO3NH4!$G45))</f>
        <v/>
      </c>
      <c r="J45" s="21" t="str">
        <f>IF(OR(NO3NH4!$A45="",B45="",C45="",NO3NH4!$D45="",OR(NO3NH4!$F45="",F45="NO LO PIDEN"),NO3NH4!$G45=""),"",(14/62)*(((NO3NH4!$F45*50)/NO3NH4!$D45)*NO3NH4!$G45))</f>
        <v/>
      </c>
    </row>
    <row r="46" spans="1:10" x14ac:dyDescent="0.25">
      <c r="A46" s="9"/>
      <c r="B46" s="15" t="str">
        <f t="shared" si="0"/>
        <v/>
      </c>
      <c r="C46" s="17" t="str">
        <f t="shared" si="1"/>
        <v/>
      </c>
      <c r="D46" s="11"/>
      <c r="E46" s="12"/>
      <c r="F46" s="12"/>
      <c r="G46" s="12"/>
      <c r="H46" s="13"/>
      <c r="I46" s="21" t="str">
        <f>IF(OR(NO3NH4!$A46="",B46="",C46="",NO3NH4!$D46="",OR(NO3NH4!$E46="",E46="NO LO PIDEN"),NO3NH4!$G46=""),"",(14/18)*(((NO3NH4!$E46*50)/NO3NH4!$D46)*NO3NH4!$G46))</f>
        <v/>
      </c>
      <c r="J46" s="21" t="str">
        <f>IF(OR(NO3NH4!$A46="",B46="",C46="",NO3NH4!$D46="",OR(NO3NH4!$F46="",F46="NO LO PIDEN"),NO3NH4!$G46=""),"",(14/62)*(((NO3NH4!$F46*50)/NO3NH4!$D46)*NO3NH4!$G46))</f>
        <v/>
      </c>
    </row>
    <row r="47" spans="1:10" x14ac:dyDescent="0.25">
      <c r="A47" s="9"/>
      <c r="B47" s="15" t="str">
        <f t="shared" si="0"/>
        <v/>
      </c>
      <c r="C47" s="17" t="str">
        <f t="shared" si="1"/>
        <v/>
      </c>
      <c r="D47" s="11"/>
      <c r="E47" s="12"/>
      <c r="F47" s="12"/>
      <c r="G47" s="12"/>
      <c r="H47" s="13"/>
      <c r="I47" s="21" t="str">
        <f>IF(OR(NO3NH4!$A47="",B47="",C47="",NO3NH4!$D47="",OR(NO3NH4!$E47="",E47="NO LO PIDEN"),NO3NH4!$G47=""),"",(14/18)*(((NO3NH4!$E47*50)/NO3NH4!$D47)*NO3NH4!$G47))</f>
        <v/>
      </c>
      <c r="J47" s="21" t="str">
        <f>IF(OR(NO3NH4!$A47="",B47="",C47="",NO3NH4!$D47="",OR(NO3NH4!$F47="",F47="NO LO PIDEN"),NO3NH4!$G47=""),"",(14/62)*(((NO3NH4!$F47*50)/NO3NH4!$D47)*NO3NH4!$G47))</f>
        <v/>
      </c>
    </row>
    <row r="48" spans="1:10" x14ac:dyDescent="0.25">
      <c r="A48" s="9"/>
      <c r="B48" s="15" t="str">
        <f t="shared" si="0"/>
        <v/>
      </c>
      <c r="C48" s="17" t="str">
        <f t="shared" si="1"/>
        <v/>
      </c>
      <c r="D48" s="11"/>
      <c r="E48" s="12"/>
      <c r="F48" s="12"/>
      <c r="G48" s="12"/>
      <c r="H48" s="13"/>
      <c r="I48" s="21" t="str">
        <f>IF(OR(NO3NH4!$A48="",B48="",C48="",NO3NH4!$D48="",OR(NO3NH4!$E48="",E48="NO LO PIDEN"),NO3NH4!$G48=""),"",(14/18)*(((NO3NH4!$E48*50)/NO3NH4!$D48)*NO3NH4!$G48))</f>
        <v/>
      </c>
      <c r="J48" s="21" t="str">
        <f>IF(OR(NO3NH4!$A48="",B48="",C48="",NO3NH4!$D48="",OR(NO3NH4!$F48="",F48="NO LO PIDEN"),NO3NH4!$G48=""),"",(14/62)*(((NO3NH4!$F48*50)/NO3NH4!$D48)*NO3NH4!$G48))</f>
        <v/>
      </c>
    </row>
    <row r="49" spans="1:10" x14ac:dyDescent="0.25">
      <c r="A49" s="9"/>
      <c r="B49" s="15" t="str">
        <f t="shared" si="0"/>
        <v/>
      </c>
      <c r="C49" s="17" t="str">
        <f t="shared" si="1"/>
        <v/>
      </c>
      <c r="D49" s="11"/>
      <c r="E49" s="12"/>
      <c r="F49" s="12"/>
      <c r="G49" s="12"/>
      <c r="H49" s="13"/>
      <c r="I49" s="21" t="str">
        <f>IF(OR(NO3NH4!$A49="",B49="",C49="",NO3NH4!$D49="",OR(NO3NH4!$E49="",E49="NO LO PIDEN"),NO3NH4!$G49=""),"",(14/18)*(((NO3NH4!$E49*50)/NO3NH4!$D49)*NO3NH4!$G49))</f>
        <v/>
      </c>
      <c r="J49" s="21" t="str">
        <f>IF(OR(NO3NH4!$A49="",B49="",C49="",NO3NH4!$D49="",OR(NO3NH4!$F49="",F49="NO LO PIDEN"),NO3NH4!$G49=""),"",(14/62)*(((NO3NH4!$F49*50)/NO3NH4!$D49)*NO3NH4!$G49))</f>
        <v/>
      </c>
    </row>
    <row r="50" spans="1:10" x14ac:dyDescent="0.25">
      <c r="A50" s="9"/>
      <c r="B50" s="15" t="str">
        <f t="shared" si="0"/>
        <v/>
      </c>
      <c r="C50" s="17" t="str">
        <f t="shared" si="1"/>
        <v/>
      </c>
      <c r="D50" s="11"/>
      <c r="E50" s="12"/>
      <c r="F50" s="12"/>
      <c r="G50" s="12"/>
      <c r="H50" s="13"/>
      <c r="I50" s="21" t="str">
        <f>IF(OR(NO3NH4!$A50="",B50="",C50="",NO3NH4!$D50="",OR(NO3NH4!$E50="",E50="NO LO PIDEN"),NO3NH4!$G50=""),"",(14/18)*(((NO3NH4!$E50*50)/NO3NH4!$D50)*NO3NH4!$G50))</f>
        <v/>
      </c>
      <c r="J50" s="21" t="str">
        <f>IF(OR(NO3NH4!$A50="",B50="",C50="",NO3NH4!$D50="",OR(NO3NH4!$F50="",F50="NO LO PIDEN"),NO3NH4!$G50=""),"",(14/62)*(((NO3NH4!$F50*50)/NO3NH4!$D50)*NO3NH4!$G50))</f>
        <v/>
      </c>
    </row>
    <row r="51" spans="1:10" x14ac:dyDescent="0.25">
      <c r="A51" s="23"/>
      <c r="B51" s="15" t="str">
        <f t="shared" si="0"/>
        <v/>
      </c>
      <c r="C51" s="17" t="str">
        <f t="shared" si="1"/>
        <v/>
      </c>
      <c r="D51" s="11"/>
      <c r="E51" s="12"/>
      <c r="F51" s="12"/>
      <c r="G51" s="12"/>
      <c r="H51" s="13"/>
      <c r="I51" s="21" t="str">
        <f>IF(OR(NO3NH4!$A51="",B51="",C51="",NO3NH4!$D51="",OR(NO3NH4!$E51="",E51="NO LO PIDEN"),NO3NH4!$G51=""),"",(14/18)*(((NO3NH4!$E51*50)/NO3NH4!$D51)*NO3NH4!$G51))</f>
        <v/>
      </c>
      <c r="J51" s="21" t="str">
        <f>IF(OR(NO3NH4!$A51="",B51="",C51="",NO3NH4!$D51="",OR(NO3NH4!$F51="",F51="NO LO PIDEN"),NO3NH4!$G51=""),"",(14/62)*(((NO3NH4!$F51*50)/NO3NH4!$D51)*NO3NH4!$G51))</f>
        <v/>
      </c>
    </row>
    <row r="52" spans="1:10" x14ac:dyDescent="0.25">
      <c r="A52" s="23" t="s">
        <v>45</v>
      </c>
      <c r="B52" s="15" t="str">
        <f t="shared" si="0"/>
        <v/>
      </c>
      <c r="C52" s="17" t="str">
        <f t="shared" si="1"/>
        <v/>
      </c>
      <c r="D52" s="11"/>
      <c r="E52" s="12"/>
      <c r="F52" s="12"/>
      <c r="G52" s="12"/>
      <c r="H52" s="13"/>
      <c r="I52" s="21" t="str">
        <f>IF(OR(NO3NH4!$A52="",B52="",C52="",NO3NH4!$D52="",OR(NO3NH4!$E52="",E52="NO LO PIDEN"),NO3NH4!$G52=""),"",(14/18)*(((NO3NH4!$E52*50)/NO3NH4!$D52)*NO3NH4!$G52))</f>
        <v/>
      </c>
      <c r="J52" s="21" t="str">
        <f>IF(OR(NO3NH4!$A52="",B52="",C52="",NO3NH4!$D52="",OR(NO3NH4!$F52="",F52="NO LO PIDEN"),NO3NH4!$G52=""),"",(14/62)*(((NO3NH4!$F52*50)/NO3NH4!$D52)*NO3NH4!$G52))</f>
        <v/>
      </c>
    </row>
    <row r="53" spans="1:10" x14ac:dyDescent="0.25">
      <c r="A53" s="23" t="s">
        <v>45</v>
      </c>
      <c r="B53" s="15" t="str">
        <f t="shared" si="0"/>
        <v/>
      </c>
      <c r="C53" s="17" t="str">
        <f t="shared" si="1"/>
        <v/>
      </c>
      <c r="D53" s="11"/>
      <c r="E53" s="12"/>
      <c r="F53" s="12"/>
      <c r="G53" s="12"/>
      <c r="H53" s="13"/>
      <c r="I53" s="21" t="str">
        <f>IF(OR(NO3NH4!$A53="",B53="",C53="",NO3NH4!$D53="",OR(NO3NH4!$E53="",E53="NO LO PIDEN"),NO3NH4!$G53=""),"",(14/18)*(((NO3NH4!$E53*50)/NO3NH4!$D53)*NO3NH4!$G53))</f>
        <v/>
      </c>
      <c r="J53" s="21" t="str">
        <f>IF(OR(NO3NH4!$A53="",B53="",C53="",NO3NH4!$D53="",OR(NO3NH4!$F53="",F53="NO LO PIDEN"),NO3NH4!$G53=""),"",(14/62)*(((NO3NH4!$F53*50)/NO3NH4!$D53)*NO3NH4!$G53))</f>
        <v/>
      </c>
    </row>
    <row r="54" spans="1:10" x14ac:dyDescent="0.25">
      <c r="A54" s="23" t="s">
        <v>45</v>
      </c>
      <c r="B54" s="15" t="str">
        <f t="shared" si="0"/>
        <v/>
      </c>
      <c r="C54" s="17" t="str">
        <f t="shared" si="1"/>
        <v/>
      </c>
      <c r="D54" s="11"/>
      <c r="E54" s="12"/>
      <c r="F54" s="12"/>
      <c r="G54" s="12"/>
      <c r="H54" s="13"/>
      <c r="I54" s="21" t="str">
        <f>IF(OR(NO3NH4!$A54="",B54="",C54="",NO3NH4!$D54="",OR(NO3NH4!$E54="",E54="NO LO PIDEN"),NO3NH4!$G54=""),"",(14/18)*(((NO3NH4!$E54*50)/NO3NH4!$D54)*NO3NH4!$G54))</f>
        <v/>
      </c>
      <c r="J54" s="21" t="str">
        <f>IF(OR(NO3NH4!$A54="",B54="",C54="",NO3NH4!$D54="",OR(NO3NH4!$F54="",F54="NO LO PIDEN"),NO3NH4!$G54=""),"",(14/62)*(((NO3NH4!$F54*50)/NO3NH4!$D54)*NO3NH4!$G54))</f>
        <v/>
      </c>
    </row>
    <row r="55" spans="1:10" x14ac:dyDescent="0.25">
      <c r="A55" s="23" t="s">
        <v>45</v>
      </c>
      <c r="B55" s="15" t="str">
        <f t="shared" si="0"/>
        <v/>
      </c>
      <c r="C55" s="17" t="str">
        <f t="shared" si="1"/>
        <v/>
      </c>
      <c r="D55" s="11"/>
      <c r="E55" s="12"/>
      <c r="F55" s="12"/>
      <c r="G55" s="12"/>
      <c r="H55" s="13"/>
      <c r="I55" s="21" t="str">
        <f>IF(OR(NO3NH4!$A55="",B55="",C55="",NO3NH4!$D55="",OR(NO3NH4!$E55="",E55="NO LO PIDEN"),NO3NH4!$G55=""),"",(14/18)*(((NO3NH4!$E55*50)/NO3NH4!$D55)*NO3NH4!$G55))</f>
        <v/>
      </c>
      <c r="J55" s="21" t="str">
        <f>IF(OR(NO3NH4!$A55="",B55="",C55="",NO3NH4!$D55="",OR(NO3NH4!$F55="",F55="NO LO PIDEN"),NO3NH4!$G55=""),"",(14/62)*(((NO3NH4!$F55*50)/NO3NH4!$D55)*NO3NH4!$G55))</f>
        <v/>
      </c>
    </row>
    <row r="56" spans="1:10" x14ac:dyDescent="0.25">
      <c r="A56" s="23" t="s">
        <v>45</v>
      </c>
      <c r="B56" s="15" t="str">
        <f t="shared" si="0"/>
        <v/>
      </c>
      <c r="C56" s="17" t="str">
        <f t="shared" si="1"/>
        <v/>
      </c>
      <c r="D56" s="11"/>
      <c r="E56" s="12"/>
      <c r="F56" s="12"/>
      <c r="G56" s="12"/>
      <c r="H56" s="13"/>
      <c r="I56" s="21" t="str">
        <f>IF(OR(NO3NH4!$A56="",B56="",C56="",NO3NH4!$D56="",OR(NO3NH4!$E56="",E56="NO LO PIDEN"),NO3NH4!$G56=""),"",(14/18)*(((NO3NH4!$E56*50)/NO3NH4!$D56)*NO3NH4!$G56))</f>
        <v/>
      </c>
      <c r="J56" s="21" t="str">
        <f>IF(OR(NO3NH4!$A56="",B56="",C56="",NO3NH4!$D56="",OR(NO3NH4!$F56="",F56="NO LO PIDEN"),NO3NH4!$G56=""),"",(14/62)*(((NO3NH4!$F56*50)/NO3NH4!$D56)*NO3NH4!$G56))</f>
        <v/>
      </c>
    </row>
  </sheetData>
  <sheetProtection password="D1D1" sheet="1" objects="1" scenarios="1" formatCells="0" formatColumns="0" selectLockedCells="1" autoFilter="0"/>
  <mergeCells count="2">
    <mergeCell ref="K2:L2"/>
    <mergeCell ref="K7:L7"/>
  </mergeCells>
  <conditionalFormatting sqref="N3">
    <cfRule type="cellIs" dxfId="18" priority="35" operator="greaterThan">
      <formula>0.01</formula>
    </cfRule>
  </conditionalFormatting>
  <conditionalFormatting sqref="N4 N6 N8">
    <cfRule type="cellIs" dxfId="17" priority="34" operator="notBetween">
      <formula>0.918</formula>
      <formula>1.122</formula>
    </cfRule>
  </conditionalFormatting>
  <conditionalFormatting sqref="N5 N7 N9">
    <cfRule type="cellIs" dxfId="16" priority="33" operator="notBetween">
      <formula>3.663</formula>
      <formula>4.477</formula>
    </cfRule>
  </conditionalFormatting>
  <conditionalFormatting sqref="N3:N9">
    <cfRule type="cellIs" priority="17" stopIfTrue="1" operator="equal">
      <formula>""</formula>
    </cfRule>
  </conditionalFormatting>
  <conditionalFormatting sqref="N10 N12">
    <cfRule type="cellIs" dxfId="15" priority="28" operator="notBetween">
      <formula>0.918</formula>
      <formula>1.122</formula>
    </cfRule>
  </conditionalFormatting>
  <conditionalFormatting sqref="N11 N13">
    <cfRule type="cellIs" dxfId="14" priority="27" operator="notBetween">
      <formula>3.663</formula>
      <formula>4.477</formula>
    </cfRule>
  </conditionalFormatting>
  <conditionalFormatting sqref="N10:N13">
    <cfRule type="cellIs" priority="26" stopIfTrue="1" operator="equal">
      <formula>""</formula>
    </cfRule>
  </conditionalFormatting>
  <conditionalFormatting sqref="D2:D56">
    <cfRule type="containsBlanks" priority="13" stopIfTrue="1">
      <formula>LEN(TRIM(D2))=0</formula>
    </cfRule>
    <cfRule type="cellIs" dxfId="13" priority="14" operator="notBetween">
      <formula>9.95</formula>
      <formula>10.05</formula>
    </cfRule>
  </conditionalFormatting>
  <conditionalFormatting sqref="L14:L15 L17:L19">
    <cfRule type="containsBlanks" priority="3" stopIfTrue="1">
      <formula>LEN(TRIM(L14))=0</formula>
    </cfRule>
  </conditionalFormatting>
  <conditionalFormatting sqref="A2:A56">
    <cfRule type="containsBlanks" priority="9" stopIfTrue="1">
      <formula>LEN(TRIM(A2))=0</formula>
    </cfRule>
    <cfRule type="expression" dxfId="12" priority="10">
      <formula>IF(A2=MATCH("R-"&amp;A2,$A$2:$A$56,0),FALSE,TRUE)</formula>
    </cfRule>
  </conditionalFormatting>
  <conditionalFormatting sqref="I2:I56">
    <cfRule type="containsBlanks" priority="7" stopIfTrue="1">
      <formula>LEN(TRIM(I2))=0</formula>
    </cfRule>
    <cfRule type="expression" dxfId="11" priority="8">
      <formula>IF(A2=MATCH("R-"&amp;A2,$A$2:$A$56,0),FALSE,TRUE)</formula>
    </cfRule>
  </conditionalFormatting>
  <conditionalFormatting sqref="J2:J56">
    <cfRule type="containsBlanks" priority="5" stopIfTrue="1">
      <formula>LEN(TRIM(J2))=0</formula>
    </cfRule>
    <cfRule type="expression" dxfId="10" priority="6">
      <formula>IF(A2=MATCH("R-"&amp;A2,$A$2:$A$56,0),FALSE,TRUE)</formula>
    </cfRule>
  </conditionalFormatting>
  <conditionalFormatting sqref="L14:L15">
    <cfRule type="cellIs" dxfId="9" priority="11" operator="notBetween">
      <formula>4.5</formula>
      <formula>5.5</formula>
    </cfRule>
  </conditionalFormatting>
  <conditionalFormatting sqref="L17:L19">
    <cfRule type="cellIs" dxfId="8" priority="4" operator="notBetween">
      <formula>0.4</formula>
      <formula>0.6</formula>
    </cfRule>
  </conditionalFormatting>
  <conditionalFormatting sqref="L8">
    <cfRule type="containsBlanks" priority="1" stopIfTrue="1">
      <formula>LEN(TRIM(L8))=0</formula>
    </cfRule>
    <cfRule type="cellIs" dxfId="7" priority="2" operator="notBetween">
      <formula>18</formula>
      <formula>22</formula>
    </cfRule>
  </conditionalFormatting>
  <pageMargins left="0.74803149606299213" right="0.74803149606299213" top="0.59055118110236227" bottom="0.19685039370078741" header="0" footer="0"/>
  <pageSetup paperSize="9" scale="75" fitToHeight="50" orientation="landscape" r:id="rId1"/>
  <headerFooter alignWithMargins="0">
    <oddHeader>&amp;L&amp;"Arial,Negrita"&amp;24LAFIGA&amp;C&amp;"Arial,Negrita"ANÁLISIS DE SUELOS    
HOJA DE CÁLCULO DE LA DETERMINACIÓN DE    
NITRÓGENO NITRICO Y AMONIACAL EN KCl 1 M    
&amp;R&amp;"Arial,Negrita"PE/LAFIGA/SU54
&amp;18Hoja:______________
Siguiente:______________</oddHeader>
    <oddFooter xml:space="preserve">&amp;R&amp;"Arial,Negrita"ESU5408-0    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G6"/>
  <sheetViews>
    <sheetView workbookViewId="0">
      <selection activeCell="E17" sqref="E17"/>
    </sheetView>
  </sheetViews>
  <sheetFormatPr baseColWidth="10" defaultColWidth="10.88671875" defaultRowHeight="14.4" x14ac:dyDescent="0.3"/>
  <cols>
    <col min="1" max="6" width="10.88671875" style="6"/>
    <col min="7" max="7" width="21.33203125" style="6" bestFit="1" customWidth="1"/>
    <col min="8" max="16384" width="10.88671875" style="6"/>
  </cols>
  <sheetData>
    <row r="1" spans="1:7" x14ac:dyDescent="0.3">
      <c r="A1" s="47" t="s">
        <v>5</v>
      </c>
      <c r="B1" s="47"/>
      <c r="F1" s="39" t="s">
        <v>35</v>
      </c>
      <c r="G1" s="39" t="s">
        <v>34</v>
      </c>
    </row>
    <row r="2" spans="1:7" x14ac:dyDescent="0.3">
      <c r="A2" s="7" t="s">
        <v>6</v>
      </c>
      <c r="B2" s="41">
        <v>3</v>
      </c>
      <c r="F2" s="39" t="s">
        <v>36</v>
      </c>
      <c r="G2" s="40">
        <v>0</v>
      </c>
    </row>
    <row r="3" spans="1:7" x14ac:dyDescent="0.3">
      <c r="A3" s="7" t="s">
        <v>7</v>
      </c>
      <c r="B3" s="41">
        <v>9600</v>
      </c>
      <c r="F3" s="39" t="s">
        <v>37</v>
      </c>
      <c r="G3" s="40">
        <v>0</v>
      </c>
    </row>
    <row r="4" spans="1:7" x14ac:dyDescent="0.3">
      <c r="A4" s="7" t="s">
        <v>8</v>
      </c>
      <c r="B4" s="41" t="s">
        <v>9</v>
      </c>
      <c r="F4" s="39" t="s">
        <v>39</v>
      </c>
      <c r="G4" s="40">
        <v>0</v>
      </c>
    </row>
    <row r="5" spans="1:7" x14ac:dyDescent="0.3">
      <c r="A5" s="7" t="s">
        <v>10</v>
      </c>
      <c r="B5" s="41">
        <v>8</v>
      </c>
    </row>
    <row r="6" spans="1:7" x14ac:dyDescent="0.3">
      <c r="A6" s="7" t="s">
        <v>11</v>
      </c>
      <c r="B6" s="41">
        <v>1</v>
      </c>
    </row>
  </sheetData>
  <sheetProtection password="D1D1" sheet="1" objects="1" scenarios="1"/>
  <mergeCells count="1">
    <mergeCell ref="A1:B1"/>
  </mergeCells>
  <dataValidations count="3">
    <dataValidation type="list" allowBlank="1" showInputMessage="1" showErrorMessage="1" sqref="B3">
      <formula1>"1200,2400,4800,9600,19200,38400"</formula1>
    </dataValidation>
    <dataValidation type="list" allowBlank="1" showInputMessage="1" showErrorMessage="1" sqref="B2">
      <formula1>"1,2,3,4,5"</formula1>
    </dataValidation>
    <dataValidation type="list" allowBlank="1" showInputMessage="1" showErrorMessage="1" sqref="B4">
      <formula1>"N,O,E"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E56"/>
  <sheetViews>
    <sheetView workbookViewId="0"/>
  </sheetViews>
  <sheetFormatPr baseColWidth="10" defaultRowHeight="13.2" x14ac:dyDescent="0.25"/>
  <cols>
    <col min="4" max="4" width="11.5546875" style="43"/>
    <col min="5" max="5" width="20.21875" customWidth="1"/>
  </cols>
  <sheetData>
    <row r="1" spans="1:5" ht="52.8" x14ac:dyDescent="0.25">
      <c r="A1" s="30" t="s">
        <v>0</v>
      </c>
      <c r="B1" s="31" t="s">
        <v>1</v>
      </c>
      <c r="C1" s="31" t="s">
        <v>41</v>
      </c>
      <c r="D1" s="31" t="s">
        <v>38</v>
      </c>
      <c r="E1" s="33" t="s">
        <v>30</v>
      </c>
    </row>
    <row r="2" spans="1:5" x14ac:dyDescent="0.25">
      <c r="A2" s="36" t="str">
        <f>IF(NO3NH4!A2="","",NO3NH4!A2)</f>
        <v>PATRÓN</v>
      </c>
      <c r="B2" s="37" t="str">
        <f>IF(NO3NH4!B2="","",NO3NH4!B2)</f>
        <v/>
      </c>
      <c r="C2" s="37" t="str">
        <f>IF(D2="&lt;","003","")</f>
        <v/>
      </c>
      <c r="D2" s="42" t="str">
        <f>IF(NO3NH4!I2="","",IF(Mediapar((NO3NH4!I2),1)&lt;Datos!$G$2,"&lt;",""))</f>
        <v/>
      </c>
      <c r="E2" s="42" t="str">
        <f>IF(NO3NH4!I2="","",IF(Mediapar((NO3NH4!I2),1)&lt;Datos!$G$2,Datos!$G$2,Mediapar((NO3NH4!I2),1)))</f>
        <v/>
      </c>
    </row>
    <row r="3" spans="1:5" x14ac:dyDescent="0.25">
      <c r="A3" s="36" t="str">
        <f>IF(NO3NH4!A3="","",NO3NH4!A3)</f>
        <v/>
      </c>
      <c r="B3" s="37" t="str">
        <f>IF(NO3NH4!B3="","",NO3NH4!B3)</f>
        <v/>
      </c>
      <c r="C3" s="37" t="str">
        <f t="shared" ref="C3:C56" si="0">IF(D3="&lt;","003","")</f>
        <v/>
      </c>
      <c r="D3" s="42" t="str">
        <f>IF(NO3NH4!I3="","",IF(Mediapar((NO3NH4!I3),1)&lt;Datos!$G$2,"&lt;",""))</f>
        <v/>
      </c>
      <c r="E3" s="42" t="str">
        <f>IF(NO3NH4!I3="","",IF(Mediapar((NO3NH4!I3),1)&lt;Datos!$G$2,Datos!$G$2,Mediapar((NO3NH4!I3),1)))</f>
        <v/>
      </c>
    </row>
    <row r="4" spans="1:5" x14ac:dyDescent="0.25">
      <c r="A4" s="36" t="str">
        <f>IF(NO3NH4!A4="","",NO3NH4!A4)</f>
        <v/>
      </c>
      <c r="B4" s="37" t="str">
        <f>IF(NO3NH4!B4="","",NO3NH4!B4)</f>
        <v/>
      </c>
      <c r="C4" s="37" t="str">
        <f t="shared" si="0"/>
        <v/>
      </c>
      <c r="D4" s="42" t="str">
        <f>IF(NO3NH4!I4="","",IF(Mediapar((NO3NH4!I4),1)&lt;Datos!$G$2,"&lt;",""))</f>
        <v/>
      </c>
      <c r="E4" s="42" t="str">
        <f>IF(NO3NH4!I4="","",IF(Mediapar((NO3NH4!I4),1)&lt;Datos!$G$2,Datos!$G$2,Mediapar((NO3NH4!I4),1)))</f>
        <v/>
      </c>
    </row>
    <row r="5" spans="1:5" x14ac:dyDescent="0.25">
      <c r="A5" s="36" t="str">
        <f>IF(NO3NH4!A5="","",NO3NH4!A5)</f>
        <v/>
      </c>
      <c r="B5" s="37" t="str">
        <f>IF(NO3NH4!B5="","",NO3NH4!B5)</f>
        <v/>
      </c>
      <c r="C5" s="37" t="str">
        <f t="shared" si="0"/>
        <v/>
      </c>
      <c r="D5" s="42" t="str">
        <f>IF(NO3NH4!I5="","",IF(Mediapar((NO3NH4!I5),1)&lt;Datos!$G$2,"&lt;",""))</f>
        <v/>
      </c>
      <c r="E5" s="42" t="str">
        <f>IF(NO3NH4!I5="","",IF(Mediapar((NO3NH4!I5),1)&lt;Datos!$G$2,Datos!$G$2,Mediapar((NO3NH4!I5),1)))</f>
        <v/>
      </c>
    </row>
    <row r="6" spans="1:5" x14ac:dyDescent="0.25">
      <c r="A6" s="36" t="str">
        <f>IF(NO3NH4!A6="","",NO3NH4!A6)</f>
        <v/>
      </c>
      <c r="B6" s="37" t="str">
        <f>IF(NO3NH4!B6="","",NO3NH4!B6)</f>
        <v/>
      </c>
      <c r="C6" s="37" t="str">
        <f t="shared" si="0"/>
        <v/>
      </c>
      <c r="D6" s="42" t="str">
        <f>IF(NO3NH4!I6="","",IF(Mediapar((NO3NH4!I6),1)&lt;Datos!$G$2,"&lt;",""))</f>
        <v/>
      </c>
      <c r="E6" s="42" t="str">
        <f>IF(NO3NH4!I6="","",IF(Mediapar((NO3NH4!I6),1)&lt;Datos!$G$2,Datos!$G$2,Mediapar((NO3NH4!I6),1)))</f>
        <v/>
      </c>
    </row>
    <row r="7" spans="1:5" x14ac:dyDescent="0.25">
      <c r="A7" s="36" t="str">
        <f>IF(NO3NH4!A7="","",NO3NH4!A7)</f>
        <v/>
      </c>
      <c r="B7" s="37" t="str">
        <f>IF(NO3NH4!B7="","",NO3NH4!B7)</f>
        <v/>
      </c>
      <c r="C7" s="37" t="str">
        <f t="shared" si="0"/>
        <v/>
      </c>
      <c r="D7" s="42" t="str">
        <f>IF(NO3NH4!I7="","",IF(Mediapar((NO3NH4!I7),1)&lt;Datos!$G$2,"&lt;",""))</f>
        <v/>
      </c>
      <c r="E7" s="42" t="str">
        <f>IF(NO3NH4!I7="","",IF(Mediapar((NO3NH4!I7),1)&lt;Datos!$G$2,Datos!$G$2,Mediapar((NO3NH4!I7),1)))</f>
        <v/>
      </c>
    </row>
    <row r="8" spans="1:5" x14ac:dyDescent="0.25">
      <c r="A8" s="36" t="str">
        <f>IF(NO3NH4!A8="","",NO3NH4!A8)</f>
        <v/>
      </c>
      <c r="B8" s="37" t="str">
        <f>IF(NO3NH4!B8="","",NO3NH4!B8)</f>
        <v/>
      </c>
      <c r="C8" s="37" t="str">
        <f t="shared" si="0"/>
        <v/>
      </c>
      <c r="D8" s="42" t="str">
        <f>IF(NO3NH4!I8="","",IF(Mediapar((NO3NH4!I8),1)&lt;Datos!$G$2,"&lt;",""))</f>
        <v/>
      </c>
      <c r="E8" s="42" t="str">
        <f>IF(NO3NH4!I8="","",IF(Mediapar((NO3NH4!I8),1)&lt;Datos!$G$2,Datos!$G$2,Mediapar((NO3NH4!I8),1)))</f>
        <v/>
      </c>
    </row>
    <row r="9" spans="1:5" x14ac:dyDescent="0.25">
      <c r="A9" s="36" t="str">
        <f>IF(NO3NH4!A9="","",NO3NH4!A9)</f>
        <v/>
      </c>
      <c r="B9" s="37" t="str">
        <f>IF(NO3NH4!B9="","",NO3NH4!B9)</f>
        <v/>
      </c>
      <c r="C9" s="37" t="str">
        <f t="shared" si="0"/>
        <v/>
      </c>
      <c r="D9" s="42" t="str">
        <f>IF(NO3NH4!I9="","",IF(Mediapar((NO3NH4!I9),1)&lt;Datos!$G$2,"&lt;",""))</f>
        <v/>
      </c>
      <c r="E9" s="42" t="str">
        <f>IF(NO3NH4!I9="","",IF(Mediapar((NO3NH4!I9),1)&lt;Datos!$G$2,Datos!$G$2,Mediapar((NO3NH4!I9),1)))</f>
        <v/>
      </c>
    </row>
    <row r="10" spans="1:5" x14ac:dyDescent="0.25">
      <c r="A10" s="36" t="str">
        <f>IF(NO3NH4!A10="","",NO3NH4!A10)</f>
        <v/>
      </c>
      <c r="B10" s="37" t="str">
        <f>IF(NO3NH4!B10="","",NO3NH4!B10)</f>
        <v/>
      </c>
      <c r="C10" s="37" t="str">
        <f t="shared" si="0"/>
        <v/>
      </c>
      <c r="D10" s="42" t="str">
        <f>IF(NO3NH4!I10="","",IF(Mediapar((NO3NH4!I10),1)&lt;Datos!$G$2,"&lt;",""))</f>
        <v/>
      </c>
      <c r="E10" s="42" t="str">
        <f>IF(NO3NH4!I10="","",IF(Mediapar((NO3NH4!I10),1)&lt;Datos!$G$2,Datos!$G$2,Mediapar((NO3NH4!I10),1)))</f>
        <v/>
      </c>
    </row>
    <row r="11" spans="1:5" x14ac:dyDescent="0.25">
      <c r="A11" s="36" t="str">
        <f>IF(NO3NH4!A11="","",NO3NH4!A11)</f>
        <v/>
      </c>
      <c r="B11" s="37" t="str">
        <f>IF(NO3NH4!B11="","",NO3NH4!B11)</f>
        <v/>
      </c>
      <c r="C11" s="37" t="str">
        <f t="shared" si="0"/>
        <v/>
      </c>
      <c r="D11" s="42" t="str">
        <f>IF(NO3NH4!I11="","",IF(Mediapar((NO3NH4!I11),1)&lt;Datos!$G$2,"&lt;",""))</f>
        <v/>
      </c>
      <c r="E11" s="42" t="str">
        <f>IF(NO3NH4!I11="","",IF(Mediapar((NO3NH4!I11),1)&lt;Datos!$G$2,Datos!$G$2,Mediapar((NO3NH4!I11),1)))</f>
        <v/>
      </c>
    </row>
    <row r="12" spans="1:5" x14ac:dyDescent="0.25">
      <c r="A12" s="36" t="str">
        <f>IF(NO3NH4!A12="","",NO3NH4!A12)</f>
        <v/>
      </c>
      <c r="B12" s="37" t="str">
        <f>IF(NO3NH4!B12="","",NO3NH4!B12)</f>
        <v/>
      </c>
      <c r="C12" s="37" t="str">
        <f t="shared" si="0"/>
        <v/>
      </c>
      <c r="D12" s="42" t="str">
        <f>IF(NO3NH4!I12="","",IF(Mediapar((NO3NH4!I12),1)&lt;Datos!$G$2,"&lt;",""))</f>
        <v/>
      </c>
      <c r="E12" s="42" t="str">
        <f>IF(NO3NH4!I12="","",IF(Mediapar((NO3NH4!I12),1)&lt;Datos!$G$2,Datos!$G$2,Mediapar((NO3NH4!I12),1)))</f>
        <v/>
      </c>
    </row>
    <row r="13" spans="1:5" x14ac:dyDescent="0.25">
      <c r="A13" s="36" t="str">
        <f>IF(NO3NH4!A13="","",NO3NH4!A13)</f>
        <v/>
      </c>
      <c r="B13" s="37" t="str">
        <f>IF(NO3NH4!B13="","",NO3NH4!B13)</f>
        <v/>
      </c>
      <c r="C13" s="37" t="str">
        <f t="shared" si="0"/>
        <v/>
      </c>
      <c r="D13" s="42" t="str">
        <f>IF(NO3NH4!I13="","",IF(Mediapar((NO3NH4!I13),1)&lt;Datos!$G$2,"&lt;",""))</f>
        <v/>
      </c>
      <c r="E13" s="42" t="str">
        <f>IF(NO3NH4!I13="","",IF(Mediapar((NO3NH4!I13),1)&lt;Datos!$G$2,Datos!$G$2,Mediapar((NO3NH4!I13),1)))</f>
        <v/>
      </c>
    </row>
    <row r="14" spans="1:5" x14ac:dyDescent="0.25">
      <c r="A14" s="36" t="str">
        <f>IF(NO3NH4!A14="","",NO3NH4!A14)</f>
        <v/>
      </c>
      <c r="B14" s="37" t="str">
        <f>IF(NO3NH4!B14="","",NO3NH4!B14)</f>
        <v/>
      </c>
      <c r="C14" s="37" t="str">
        <f t="shared" si="0"/>
        <v/>
      </c>
      <c r="D14" s="42" t="str">
        <f>IF(NO3NH4!I14="","",IF(Mediapar((NO3NH4!I14),1)&lt;Datos!$G$2,"&lt;",""))</f>
        <v/>
      </c>
      <c r="E14" s="42" t="str">
        <f>IF(NO3NH4!I14="","",IF(Mediapar((NO3NH4!I14),1)&lt;Datos!$G$2,Datos!$G$2,Mediapar((NO3NH4!I14),1)))</f>
        <v/>
      </c>
    </row>
    <row r="15" spans="1:5" x14ac:dyDescent="0.25">
      <c r="A15" s="36" t="str">
        <f>IF(NO3NH4!A15="","",NO3NH4!A15)</f>
        <v/>
      </c>
      <c r="B15" s="37" t="str">
        <f>IF(NO3NH4!B15="","",NO3NH4!B15)</f>
        <v/>
      </c>
      <c r="C15" s="37" t="str">
        <f t="shared" si="0"/>
        <v/>
      </c>
      <c r="D15" s="42" t="str">
        <f>IF(NO3NH4!I15="","",IF(Mediapar((NO3NH4!I15),1)&lt;Datos!$G$2,"&lt;",""))</f>
        <v/>
      </c>
      <c r="E15" s="42" t="str">
        <f>IF(NO3NH4!I15="","",IF(Mediapar((NO3NH4!I15),1)&lt;Datos!$G$2,Datos!$G$2,Mediapar((NO3NH4!I15),1)))</f>
        <v/>
      </c>
    </row>
    <row r="16" spans="1:5" x14ac:dyDescent="0.25">
      <c r="A16" s="36" t="str">
        <f>IF(NO3NH4!A16="","",NO3NH4!A16)</f>
        <v/>
      </c>
      <c r="B16" s="37" t="str">
        <f>IF(NO3NH4!B16="","",NO3NH4!B16)</f>
        <v/>
      </c>
      <c r="C16" s="37" t="str">
        <f t="shared" si="0"/>
        <v/>
      </c>
      <c r="D16" s="42" t="str">
        <f>IF(NO3NH4!I16="","",IF(Mediapar((NO3NH4!I16),1)&lt;Datos!$G$2,"&lt;",""))</f>
        <v/>
      </c>
      <c r="E16" s="42" t="str">
        <f>IF(NO3NH4!I16="","",IF(Mediapar((NO3NH4!I16),1)&lt;Datos!$G$2,Datos!$G$2,Mediapar((NO3NH4!I16),1)))</f>
        <v/>
      </c>
    </row>
    <row r="17" spans="1:5" x14ac:dyDescent="0.25">
      <c r="A17" s="36" t="str">
        <f>IF(NO3NH4!A17="","",NO3NH4!A17)</f>
        <v/>
      </c>
      <c r="B17" s="37" t="str">
        <f>IF(NO3NH4!B17="","",NO3NH4!B17)</f>
        <v/>
      </c>
      <c r="C17" s="37" t="str">
        <f t="shared" si="0"/>
        <v/>
      </c>
      <c r="D17" s="42" t="str">
        <f>IF(NO3NH4!I17="","",IF(Mediapar((NO3NH4!I17),1)&lt;Datos!$G$2,"&lt;",""))</f>
        <v/>
      </c>
      <c r="E17" s="42" t="str">
        <f>IF(NO3NH4!I17="","",IF(Mediapar((NO3NH4!I17),1)&lt;Datos!$G$2,Datos!$G$2,Mediapar((NO3NH4!I17),1)))</f>
        <v/>
      </c>
    </row>
    <row r="18" spans="1:5" x14ac:dyDescent="0.25">
      <c r="A18" s="36" t="str">
        <f>IF(NO3NH4!A18="","",NO3NH4!A18)</f>
        <v/>
      </c>
      <c r="B18" s="37" t="str">
        <f>IF(NO3NH4!B18="","",NO3NH4!B18)</f>
        <v/>
      </c>
      <c r="C18" s="37" t="str">
        <f t="shared" si="0"/>
        <v/>
      </c>
      <c r="D18" s="42" t="str">
        <f>IF(NO3NH4!I18="","",IF(Mediapar((NO3NH4!I18),1)&lt;Datos!$G$2,"&lt;",""))</f>
        <v/>
      </c>
      <c r="E18" s="42" t="str">
        <f>IF(NO3NH4!I18="","",IF(Mediapar((NO3NH4!I18),1)&lt;Datos!$G$2,Datos!$G$2,Mediapar((NO3NH4!I18),1)))</f>
        <v/>
      </c>
    </row>
    <row r="19" spans="1:5" x14ac:dyDescent="0.25">
      <c r="A19" s="36" t="str">
        <f>IF(NO3NH4!A19="","",NO3NH4!A19)</f>
        <v/>
      </c>
      <c r="B19" s="37" t="str">
        <f>IF(NO3NH4!B19="","",NO3NH4!B19)</f>
        <v/>
      </c>
      <c r="C19" s="37" t="str">
        <f t="shared" si="0"/>
        <v/>
      </c>
      <c r="D19" s="42" t="str">
        <f>IF(NO3NH4!I19="","",IF(Mediapar((NO3NH4!I19),1)&lt;Datos!$G$2,"&lt;",""))</f>
        <v/>
      </c>
      <c r="E19" s="42" t="str">
        <f>IF(NO3NH4!I19="","",IF(Mediapar((NO3NH4!I19),1)&lt;Datos!$G$2,Datos!$G$2,Mediapar((NO3NH4!I19),1)))</f>
        <v/>
      </c>
    </row>
    <row r="20" spans="1:5" x14ac:dyDescent="0.25">
      <c r="A20" s="36" t="str">
        <f>IF(NO3NH4!A20="","",NO3NH4!A20)</f>
        <v/>
      </c>
      <c r="B20" s="37" t="str">
        <f>IF(NO3NH4!B20="","",NO3NH4!B20)</f>
        <v/>
      </c>
      <c r="C20" s="37" t="str">
        <f t="shared" si="0"/>
        <v/>
      </c>
      <c r="D20" s="42" t="str">
        <f>IF(NO3NH4!I20="","",IF(Mediapar((NO3NH4!I20),1)&lt;Datos!$G$2,"&lt;",""))</f>
        <v/>
      </c>
      <c r="E20" s="42" t="str">
        <f>IF(NO3NH4!I20="","",IF(Mediapar((NO3NH4!I20),1)&lt;Datos!$G$2,Datos!$G$2,Mediapar((NO3NH4!I20),1)))</f>
        <v/>
      </c>
    </row>
    <row r="21" spans="1:5" x14ac:dyDescent="0.25">
      <c r="A21" s="36" t="str">
        <f>IF(NO3NH4!A21="","",NO3NH4!A21)</f>
        <v/>
      </c>
      <c r="B21" s="37" t="str">
        <f>IF(NO3NH4!B21="","",NO3NH4!B21)</f>
        <v/>
      </c>
      <c r="C21" s="37" t="str">
        <f t="shared" si="0"/>
        <v/>
      </c>
      <c r="D21" s="42" t="str">
        <f>IF(NO3NH4!I21="","",IF(Mediapar((NO3NH4!I21),1)&lt;Datos!$G$2,"&lt;",""))</f>
        <v/>
      </c>
      <c r="E21" s="42" t="str">
        <f>IF(NO3NH4!I21="","",IF(Mediapar((NO3NH4!I21),1)&lt;Datos!$G$2,Datos!$G$2,Mediapar((NO3NH4!I21),1)))</f>
        <v/>
      </c>
    </row>
    <row r="22" spans="1:5" x14ac:dyDescent="0.25">
      <c r="A22" s="36" t="str">
        <f>IF(NO3NH4!A22="","",NO3NH4!A22)</f>
        <v/>
      </c>
      <c r="B22" s="37" t="str">
        <f>IF(NO3NH4!B22="","",NO3NH4!B22)</f>
        <v/>
      </c>
      <c r="C22" s="37" t="str">
        <f t="shared" si="0"/>
        <v/>
      </c>
      <c r="D22" s="42" t="str">
        <f>IF(NO3NH4!I22="","",IF(Mediapar((NO3NH4!I22),1)&lt;Datos!$G$2,"&lt;",""))</f>
        <v/>
      </c>
      <c r="E22" s="42" t="str">
        <f>IF(NO3NH4!I22="","",IF(Mediapar((NO3NH4!I22),1)&lt;Datos!$G$2,Datos!$G$2,Mediapar((NO3NH4!I22),1)))</f>
        <v/>
      </c>
    </row>
    <row r="23" spans="1:5" x14ac:dyDescent="0.25">
      <c r="A23" s="36" t="str">
        <f>IF(NO3NH4!A23="","",NO3NH4!A23)</f>
        <v/>
      </c>
      <c r="B23" s="37" t="str">
        <f>IF(NO3NH4!B23="","",NO3NH4!B23)</f>
        <v/>
      </c>
      <c r="C23" s="37" t="str">
        <f t="shared" si="0"/>
        <v/>
      </c>
      <c r="D23" s="42" t="str">
        <f>IF(NO3NH4!I23="","",IF(Mediapar((NO3NH4!I23),1)&lt;Datos!$G$2,"&lt;",""))</f>
        <v/>
      </c>
      <c r="E23" s="42" t="str">
        <f>IF(NO3NH4!I23="","",IF(Mediapar((NO3NH4!I23),1)&lt;Datos!$G$2,Datos!$G$2,Mediapar((NO3NH4!I23),1)))</f>
        <v/>
      </c>
    </row>
    <row r="24" spans="1:5" x14ac:dyDescent="0.25">
      <c r="A24" s="36" t="str">
        <f>IF(NO3NH4!A24="","",NO3NH4!A24)</f>
        <v/>
      </c>
      <c r="B24" s="37" t="str">
        <f>IF(NO3NH4!B24="","",NO3NH4!B24)</f>
        <v/>
      </c>
      <c r="C24" s="37" t="str">
        <f t="shared" si="0"/>
        <v/>
      </c>
      <c r="D24" s="42" t="str">
        <f>IF(NO3NH4!I24="","",IF(Mediapar((NO3NH4!I24),1)&lt;Datos!$G$2,"&lt;",""))</f>
        <v/>
      </c>
      <c r="E24" s="42" t="str">
        <f>IF(NO3NH4!I24="","",IF(Mediapar((NO3NH4!I24),1)&lt;Datos!$G$2,Datos!$G$2,Mediapar((NO3NH4!I24),1)))</f>
        <v/>
      </c>
    </row>
    <row r="25" spans="1:5" x14ac:dyDescent="0.25">
      <c r="A25" s="36" t="str">
        <f>IF(NO3NH4!A25="","",NO3NH4!A25)</f>
        <v/>
      </c>
      <c r="B25" s="37" t="str">
        <f>IF(NO3NH4!B25="","",NO3NH4!B25)</f>
        <v/>
      </c>
      <c r="C25" s="37" t="str">
        <f t="shared" si="0"/>
        <v/>
      </c>
      <c r="D25" s="42" t="str">
        <f>IF(NO3NH4!I25="","",IF(Mediapar((NO3NH4!I25),1)&lt;Datos!$G$2,"&lt;",""))</f>
        <v/>
      </c>
      <c r="E25" s="42" t="str">
        <f>IF(NO3NH4!I25="","",IF(Mediapar((NO3NH4!I25),1)&lt;Datos!$G$2,Datos!$G$2,Mediapar((NO3NH4!I25),1)))</f>
        <v/>
      </c>
    </row>
    <row r="26" spans="1:5" x14ac:dyDescent="0.25">
      <c r="A26" s="36" t="str">
        <f>IF(NO3NH4!A26="","",NO3NH4!A26)</f>
        <v/>
      </c>
      <c r="B26" s="37" t="str">
        <f>IF(NO3NH4!B26="","",NO3NH4!B26)</f>
        <v/>
      </c>
      <c r="C26" s="37" t="str">
        <f t="shared" si="0"/>
        <v/>
      </c>
      <c r="D26" s="42" t="str">
        <f>IF(NO3NH4!I26="","",IF(Mediapar((NO3NH4!I26),1)&lt;Datos!$G$2,"&lt;",""))</f>
        <v/>
      </c>
      <c r="E26" s="42" t="str">
        <f>IF(NO3NH4!I26="","",IF(Mediapar((NO3NH4!I26),1)&lt;Datos!$G$2,Datos!$G$2,Mediapar((NO3NH4!I26),1)))</f>
        <v/>
      </c>
    </row>
    <row r="27" spans="1:5" x14ac:dyDescent="0.25">
      <c r="A27" s="36" t="str">
        <f>IF(NO3NH4!A27="","",NO3NH4!A27)</f>
        <v/>
      </c>
      <c r="B27" s="37" t="str">
        <f>IF(NO3NH4!B27="","",NO3NH4!B27)</f>
        <v/>
      </c>
      <c r="C27" s="37" t="str">
        <f t="shared" si="0"/>
        <v/>
      </c>
      <c r="D27" s="42" t="str">
        <f>IF(NO3NH4!I27="","",IF(Mediapar((NO3NH4!I27),1)&lt;Datos!$G$2,"&lt;",""))</f>
        <v/>
      </c>
      <c r="E27" s="42" t="str">
        <f>IF(NO3NH4!I27="","",IF(Mediapar((NO3NH4!I27),1)&lt;Datos!$G$2,Datos!$G$2,Mediapar((NO3NH4!I27),1)))</f>
        <v/>
      </c>
    </row>
    <row r="28" spans="1:5" x14ac:dyDescent="0.25">
      <c r="A28" s="36" t="str">
        <f>IF(NO3NH4!A28="","",NO3NH4!A28)</f>
        <v/>
      </c>
      <c r="B28" s="37" t="str">
        <f>IF(NO3NH4!B28="","",NO3NH4!B28)</f>
        <v/>
      </c>
      <c r="C28" s="37" t="str">
        <f t="shared" si="0"/>
        <v/>
      </c>
      <c r="D28" s="42" t="str">
        <f>IF(NO3NH4!I28="","",IF(Mediapar((NO3NH4!I28),1)&lt;Datos!$G$2,"&lt;",""))</f>
        <v/>
      </c>
      <c r="E28" s="42" t="str">
        <f>IF(NO3NH4!I28="","",IF(Mediapar((NO3NH4!I28),1)&lt;Datos!$G$2,Datos!$G$2,Mediapar((NO3NH4!I28),1)))</f>
        <v/>
      </c>
    </row>
    <row r="29" spans="1:5" x14ac:dyDescent="0.25">
      <c r="A29" s="36" t="str">
        <f>IF(NO3NH4!A29="","",NO3NH4!A29)</f>
        <v/>
      </c>
      <c r="B29" s="37" t="str">
        <f>IF(NO3NH4!B29="","",NO3NH4!B29)</f>
        <v/>
      </c>
      <c r="C29" s="37" t="str">
        <f t="shared" si="0"/>
        <v/>
      </c>
      <c r="D29" s="42" t="str">
        <f>IF(NO3NH4!I29="","",IF(Mediapar((NO3NH4!I29),1)&lt;Datos!$G$2,"&lt;",""))</f>
        <v/>
      </c>
      <c r="E29" s="42" t="str">
        <f>IF(NO3NH4!I29="","",IF(Mediapar((NO3NH4!I29),1)&lt;Datos!$G$2,Datos!$G$2,Mediapar((NO3NH4!I29),1)))</f>
        <v/>
      </c>
    </row>
    <row r="30" spans="1:5" x14ac:dyDescent="0.25">
      <c r="A30" s="36" t="str">
        <f>IF(NO3NH4!A30="","",NO3NH4!A30)</f>
        <v/>
      </c>
      <c r="B30" s="37" t="str">
        <f>IF(NO3NH4!B30="","",NO3NH4!B30)</f>
        <v/>
      </c>
      <c r="C30" s="37" t="str">
        <f t="shared" si="0"/>
        <v/>
      </c>
      <c r="D30" s="42" t="str">
        <f>IF(NO3NH4!I30="","",IF(Mediapar((NO3NH4!I30),1)&lt;Datos!$G$2,"&lt;",""))</f>
        <v/>
      </c>
      <c r="E30" s="42" t="str">
        <f>IF(NO3NH4!I30="","",IF(Mediapar((NO3NH4!I30),1)&lt;Datos!$G$2,Datos!$G$2,Mediapar((NO3NH4!I30),1)))</f>
        <v/>
      </c>
    </row>
    <row r="31" spans="1:5" x14ac:dyDescent="0.25">
      <c r="A31" s="36" t="str">
        <f>IF(NO3NH4!A31="","",NO3NH4!A31)</f>
        <v/>
      </c>
      <c r="B31" s="37" t="str">
        <f>IF(NO3NH4!B31="","",NO3NH4!B31)</f>
        <v/>
      </c>
      <c r="C31" s="37" t="str">
        <f t="shared" si="0"/>
        <v/>
      </c>
      <c r="D31" s="42" t="str">
        <f>IF(NO3NH4!I31="","",IF(Mediapar((NO3NH4!I31),1)&lt;Datos!$G$2,"&lt;",""))</f>
        <v/>
      </c>
      <c r="E31" s="42" t="str">
        <f>IF(NO3NH4!I31="","",IF(Mediapar((NO3NH4!I31),1)&lt;Datos!$G$2,Datos!$G$2,Mediapar((NO3NH4!I31),1)))</f>
        <v/>
      </c>
    </row>
    <row r="32" spans="1:5" x14ac:dyDescent="0.25">
      <c r="A32" s="36" t="str">
        <f>IF(NO3NH4!A32="","",NO3NH4!A32)</f>
        <v/>
      </c>
      <c r="B32" s="37" t="str">
        <f>IF(NO3NH4!B32="","",NO3NH4!B32)</f>
        <v/>
      </c>
      <c r="C32" s="37" t="str">
        <f t="shared" si="0"/>
        <v/>
      </c>
      <c r="D32" s="42" t="str">
        <f>IF(NO3NH4!I32="","",IF(Mediapar((NO3NH4!I32),1)&lt;Datos!$G$2,"&lt;",""))</f>
        <v/>
      </c>
      <c r="E32" s="42" t="str">
        <f>IF(NO3NH4!I32="","",IF(Mediapar((NO3NH4!I32),1)&lt;Datos!$G$2,Datos!$G$2,Mediapar((NO3NH4!I32),1)))</f>
        <v/>
      </c>
    </row>
    <row r="33" spans="1:5" x14ac:dyDescent="0.25">
      <c r="A33" s="36" t="str">
        <f>IF(NO3NH4!A33="","",NO3NH4!A33)</f>
        <v/>
      </c>
      <c r="B33" s="37" t="str">
        <f>IF(NO3NH4!B33="","",NO3NH4!B33)</f>
        <v/>
      </c>
      <c r="C33" s="37" t="str">
        <f t="shared" si="0"/>
        <v/>
      </c>
      <c r="D33" s="42" t="str">
        <f>IF(NO3NH4!I33="","",IF(Mediapar((NO3NH4!I33),1)&lt;Datos!$G$2,"&lt;",""))</f>
        <v/>
      </c>
      <c r="E33" s="42" t="str">
        <f>IF(NO3NH4!I33="","",IF(Mediapar((NO3NH4!I33),1)&lt;Datos!$G$2,Datos!$G$2,Mediapar((NO3NH4!I33),1)))</f>
        <v/>
      </c>
    </row>
    <row r="34" spans="1:5" x14ac:dyDescent="0.25">
      <c r="A34" s="36" t="str">
        <f>IF(NO3NH4!A34="","",NO3NH4!A34)</f>
        <v/>
      </c>
      <c r="B34" s="37" t="str">
        <f>IF(NO3NH4!B34="","",NO3NH4!B34)</f>
        <v/>
      </c>
      <c r="C34" s="37" t="str">
        <f t="shared" si="0"/>
        <v/>
      </c>
      <c r="D34" s="42" t="str">
        <f>IF(NO3NH4!I34="","",IF(Mediapar((NO3NH4!I34),1)&lt;Datos!$G$2,"&lt;",""))</f>
        <v/>
      </c>
      <c r="E34" s="42" t="str">
        <f>IF(NO3NH4!I34="","",IF(Mediapar((NO3NH4!I34),1)&lt;Datos!$G$2,Datos!$G$2,Mediapar((NO3NH4!I34),1)))</f>
        <v/>
      </c>
    </row>
    <row r="35" spans="1:5" x14ac:dyDescent="0.25">
      <c r="A35" s="36" t="str">
        <f>IF(NO3NH4!A35="","",NO3NH4!A35)</f>
        <v/>
      </c>
      <c r="B35" s="37" t="str">
        <f>IF(NO3NH4!B35="","",NO3NH4!B35)</f>
        <v/>
      </c>
      <c r="C35" s="37" t="str">
        <f t="shared" si="0"/>
        <v/>
      </c>
      <c r="D35" s="42" t="str">
        <f>IF(NO3NH4!I35="","",IF(Mediapar((NO3NH4!I35),1)&lt;Datos!$G$2,"&lt;",""))</f>
        <v/>
      </c>
      <c r="E35" s="42" t="str">
        <f>IF(NO3NH4!I35="","",IF(Mediapar((NO3NH4!I35),1)&lt;Datos!$G$2,Datos!$G$2,Mediapar((NO3NH4!I35),1)))</f>
        <v/>
      </c>
    </row>
    <row r="36" spans="1:5" x14ac:dyDescent="0.25">
      <c r="A36" s="36" t="str">
        <f>IF(NO3NH4!A36="","",NO3NH4!A36)</f>
        <v/>
      </c>
      <c r="B36" s="37" t="str">
        <f>IF(NO3NH4!B36="","",NO3NH4!B36)</f>
        <v/>
      </c>
      <c r="C36" s="37" t="str">
        <f t="shared" si="0"/>
        <v/>
      </c>
      <c r="D36" s="42" t="str">
        <f>IF(NO3NH4!I36="","",IF(Mediapar((NO3NH4!I36),1)&lt;Datos!$G$2,"&lt;",""))</f>
        <v/>
      </c>
      <c r="E36" s="42" t="str">
        <f>IF(NO3NH4!I36="","",IF(Mediapar((NO3NH4!I36),1)&lt;Datos!$G$2,Datos!$G$2,Mediapar((NO3NH4!I36),1)))</f>
        <v/>
      </c>
    </row>
    <row r="37" spans="1:5" x14ac:dyDescent="0.25">
      <c r="A37" s="36" t="str">
        <f>IF(NO3NH4!A37="","",NO3NH4!A37)</f>
        <v/>
      </c>
      <c r="B37" s="37" t="str">
        <f>IF(NO3NH4!B37="","",NO3NH4!B37)</f>
        <v/>
      </c>
      <c r="C37" s="37" t="str">
        <f t="shared" si="0"/>
        <v/>
      </c>
      <c r="D37" s="42" t="str">
        <f>IF(NO3NH4!I37="","",IF(Mediapar((NO3NH4!I37),1)&lt;Datos!$G$2,"&lt;",""))</f>
        <v/>
      </c>
      <c r="E37" s="42" t="str">
        <f>IF(NO3NH4!I37="","",IF(Mediapar((NO3NH4!I37),1)&lt;Datos!$G$2,Datos!$G$2,Mediapar((NO3NH4!I37),1)))</f>
        <v/>
      </c>
    </row>
    <row r="38" spans="1:5" x14ac:dyDescent="0.25">
      <c r="A38" s="36" t="str">
        <f>IF(NO3NH4!A38="","",NO3NH4!A38)</f>
        <v/>
      </c>
      <c r="B38" s="37" t="str">
        <f>IF(NO3NH4!B38="","",NO3NH4!B38)</f>
        <v/>
      </c>
      <c r="C38" s="37" t="str">
        <f t="shared" si="0"/>
        <v/>
      </c>
      <c r="D38" s="42" t="str">
        <f>IF(NO3NH4!I38="","",IF(Mediapar((NO3NH4!I38),1)&lt;Datos!$G$2,"&lt;",""))</f>
        <v/>
      </c>
      <c r="E38" s="42" t="str">
        <f>IF(NO3NH4!I38="","",IF(Mediapar((NO3NH4!I38),1)&lt;Datos!$G$2,Datos!$G$2,Mediapar((NO3NH4!I38),1)))</f>
        <v/>
      </c>
    </row>
    <row r="39" spans="1:5" x14ac:dyDescent="0.25">
      <c r="A39" s="36" t="str">
        <f>IF(NO3NH4!A39="","",NO3NH4!A39)</f>
        <v/>
      </c>
      <c r="B39" s="37" t="str">
        <f>IF(NO3NH4!B39="","",NO3NH4!B39)</f>
        <v/>
      </c>
      <c r="C39" s="37" t="str">
        <f t="shared" si="0"/>
        <v/>
      </c>
      <c r="D39" s="42" t="str">
        <f>IF(NO3NH4!I39="","",IF(Mediapar((NO3NH4!I39),1)&lt;Datos!$G$2,"&lt;",""))</f>
        <v/>
      </c>
      <c r="E39" s="42" t="str">
        <f>IF(NO3NH4!I39="","",IF(Mediapar((NO3NH4!I39),1)&lt;Datos!$G$2,Datos!$G$2,Mediapar((NO3NH4!I39),1)))</f>
        <v/>
      </c>
    </row>
    <row r="40" spans="1:5" x14ac:dyDescent="0.25">
      <c r="A40" s="36" t="str">
        <f>IF(NO3NH4!A40="","",NO3NH4!A40)</f>
        <v/>
      </c>
      <c r="B40" s="37" t="str">
        <f>IF(NO3NH4!B40="","",NO3NH4!B40)</f>
        <v/>
      </c>
      <c r="C40" s="37" t="str">
        <f t="shared" si="0"/>
        <v/>
      </c>
      <c r="D40" s="42" t="str">
        <f>IF(NO3NH4!I40="","",IF(Mediapar((NO3NH4!I40),1)&lt;Datos!$G$2,"&lt;",""))</f>
        <v/>
      </c>
      <c r="E40" s="42" t="str">
        <f>IF(NO3NH4!I40="","",IF(Mediapar((NO3NH4!I40),1)&lt;Datos!$G$2,Datos!$G$2,Mediapar((NO3NH4!I40),1)))</f>
        <v/>
      </c>
    </row>
    <row r="41" spans="1:5" x14ac:dyDescent="0.25">
      <c r="A41" s="36" t="str">
        <f>IF(NO3NH4!A41="","",NO3NH4!A41)</f>
        <v/>
      </c>
      <c r="B41" s="37" t="str">
        <f>IF(NO3NH4!B41="","",NO3NH4!B41)</f>
        <v/>
      </c>
      <c r="C41" s="37" t="str">
        <f t="shared" si="0"/>
        <v/>
      </c>
      <c r="D41" s="42" t="str">
        <f>IF(NO3NH4!I41="","",IF(Mediapar((NO3NH4!I41),1)&lt;Datos!$G$2,"&lt;",""))</f>
        <v/>
      </c>
      <c r="E41" s="42" t="str">
        <f>IF(NO3NH4!I41="","",IF(Mediapar((NO3NH4!I41),1)&lt;Datos!$G$2,Datos!$G$2,Mediapar((NO3NH4!I41),1)))</f>
        <v/>
      </c>
    </row>
    <row r="42" spans="1:5" x14ac:dyDescent="0.25">
      <c r="A42" s="36" t="str">
        <f>IF(NO3NH4!A42="","",NO3NH4!A42)</f>
        <v/>
      </c>
      <c r="B42" s="37" t="str">
        <f>IF(NO3NH4!B42="","",NO3NH4!B42)</f>
        <v/>
      </c>
      <c r="C42" s="37" t="str">
        <f t="shared" si="0"/>
        <v/>
      </c>
      <c r="D42" s="42" t="str">
        <f>IF(NO3NH4!I42="","",IF(Mediapar((NO3NH4!I42),1)&lt;Datos!$G$2,"&lt;",""))</f>
        <v/>
      </c>
      <c r="E42" s="42" t="str">
        <f>IF(NO3NH4!I42="","",IF(Mediapar((NO3NH4!I42),1)&lt;Datos!$G$2,Datos!$G$2,Mediapar((NO3NH4!I42),1)))</f>
        <v/>
      </c>
    </row>
    <row r="43" spans="1:5" x14ac:dyDescent="0.25">
      <c r="A43" s="36" t="str">
        <f>IF(NO3NH4!A43="","",NO3NH4!A43)</f>
        <v/>
      </c>
      <c r="B43" s="37" t="str">
        <f>IF(NO3NH4!B43="","",NO3NH4!B43)</f>
        <v/>
      </c>
      <c r="C43" s="37" t="str">
        <f t="shared" si="0"/>
        <v/>
      </c>
      <c r="D43" s="42" t="str">
        <f>IF(NO3NH4!I43="","",IF(Mediapar((NO3NH4!I43),1)&lt;Datos!$G$2,"&lt;",""))</f>
        <v/>
      </c>
      <c r="E43" s="42" t="str">
        <f>IF(NO3NH4!I43="","",IF(Mediapar((NO3NH4!I43),1)&lt;Datos!$G$2,Datos!$G$2,Mediapar((NO3NH4!I43),1)))</f>
        <v/>
      </c>
    </row>
    <row r="44" spans="1:5" x14ac:dyDescent="0.25">
      <c r="A44" s="36" t="str">
        <f>IF(NO3NH4!A44="","",NO3NH4!A44)</f>
        <v/>
      </c>
      <c r="B44" s="37" t="str">
        <f>IF(NO3NH4!B44="","",NO3NH4!B44)</f>
        <v/>
      </c>
      <c r="C44" s="37" t="str">
        <f t="shared" si="0"/>
        <v/>
      </c>
      <c r="D44" s="42" t="str">
        <f>IF(NO3NH4!I44="","",IF(Mediapar((NO3NH4!I44),1)&lt;Datos!$G$2,"&lt;",""))</f>
        <v/>
      </c>
      <c r="E44" s="42" t="str">
        <f>IF(NO3NH4!I44="","",IF(Mediapar((NO3NH4!I44),1)&lt;Datos!$G$2,Datos!$G$2,Mediapar((NO3NH4!I44),1)))</f>
        <v/>
      </c>
    </row>
    <row r="45" spans="1:5" x14ac:dyDescent="0.25">
      <c r="A45" s="36" t="str">
        <f>IF(NO3NH4!A45="","",NO3NH4!A45)</f>
        <v/>
      </c>
      <c r="B45" s="37" t="str">
        <f>IF(NO3NH4!B45="","",NO3NH4!B45)</f>
        <v/>
      </c>
      <c r="C45" s="37" t="str">
        <f t="shared" si="0"/>
        <v/>
      </c>
      <c r="D45" s="42" t="str">
        <f>IF(NO3NH4!I45="","",IF(Mediapar((NO3NH4!I45),1)&lt;Datos!$G$2,"&lt;",""))</f>
        <v/>
      </c>
      <c r="E45" s="42" t="str">
        <f>IF(NO3NH4!I45="","",IF(Mediapar((NO3NH4!I45),1)&lt;Datos!$G$2,Datos!$G$2,Mediapar((NO3NH4!I45),1)))</f>
        <v/>
      </c>
    </row>
    <row r="46" spans="1:5" x14ac:dyDescent="0.25">
      <c r="A46" s="36" t="str">
        <f>IF(NO3NH4!A46="","",NO3NH4!A46)</f>
        <v/>
      </c>
      <c r="B46" s="37" t="str">
        <f>IF(NO3NH4!B46="","",NO3NH4!B46)</f>
        <v/>
      </c>
      <c r="C46" s="37" t="str">
        <f t="shared" si="0"/>
        <v/>
      </c>
      <c r="D46" s="42" t="str">
        <f>IF(NO3NH4!I46="","",IF(Mediapar((NO3NH4!I46),1)&lt;Datos!$G$2,"&lt;",""))</f>
        <v/>
      </c>
      <c r="E46" s="42" t="str">
        <f>IF(NO3NH4!I46="","",IF(Mediapar((NO3NH4!I46),1)&lt;Datos!$G$2,Datos!$G$2,Mediapar((NO3NH4!I46),1)))</f>
        <v/>
      </c>
    </row>
    <row r="47" spans="1:5" x14ac:dyDescent="0.25">
      <c r="A47" s="36" t="str">
        <f>IF(NO3NH4!A47="","",NO3NH4!A47)</f>
        <v/>
      </c>
      <c r="B47" s="37" t="str">
        <f>IF(NO3NH4!B47="","",NO3NH4!B47)</f>
        <v/>
      </c>
      <c r="C47" s="37" t="str">
        <f t="shared" si="0"/>
        <v/>
      </c>
      <c r="D47" s="42" t="str">
        <f>IF(NO3NH4!I47="","",IF(Mediapar((NO3NH4!I47),1)&lt;Datos!$G$2,"&lt;",""))</f>
        <v/>
      </c>
      <c r="E47" s="42" t="str">
        <f>IF(NO3NH4!I47="","",IF(Mediapar((NO3NH4!I47),1)&lt;Datos!$G$2,Datos!$G$2,Mediapar((NO3NH4!I47),1)))</f>
        <v/>
      </c>
    </row>
    <row r="48" spans="1:5" x14ac:dyDescent="0.25">
      <c r="A48" s="36" t="str">
        <f>IF(NO3NH4!A48="","",NO3NH4!A48)</f>
        <v/>
      </c>
      <c r="B48" s="37" t="str">
        <f>IF(NO3NH4!B48="","",NO3NH4!B48)</f>
        <v/>
      </c>
      <c r="C48" s="37" t="str">
        <f t="shared" si="0"/>
        <v/>
      </c>
      <c r="D48" s="42" t="str">
        <f>IF(NO3NH4!I48="","",IF(Mediapar((NO3NH4!I48),1)&lt;Datos!$G$2,"&lt;",""))</f>
        <v/>
      </c>
      <c r="E48" s="42" t="str">
        <f>IF(NO3NH4!I48="","",IF(Mediapar((NO3NH4!I48),1)&lt;Datos!$G$2,Datos!$G$2,Mediapar((NO3NH4!I48),1)))</f>
        <v/>
      </c>
    </row>
    <row r="49" spans="1:5" x14ac:dyDescent="0.25">
      <c r="A49" s="36" t="str">
        <f>IF(NO3NH4!A49="","",NO3NH4!A49)</f>
        <v/>
      </c>
      <c r="B49" s="37" t="str">
        <f>IF(NO3NH4!B49="","",NO3NH4!B49)</f>
        <v/>
      </c>
      <c r="C49" s="37" t="str">
        <f t="shared" si="0"/>
        <v/>
      </c>
      <c r="D49" s="42" t="str">
        <f>IF(NO3NH4!I49="","",IF(Mediapar((NO3NH4!I49),1)&lt;Datos!$G$2,"&lt;",""))</f>
        <v/>
      </c>
      <c r="E49" s="42" t="str">
        <f>IF(NO3NH4!I49="","",IF(Mediapar((NO3NH4!I49),1)&lt;Datos!$G$2,Datos!$G$2,Mediapar((NO3NH4!I49),1)))</f>
        <v/>
      </c>
    </row>
    <row r="50" spans="1:5" x14ac:dyDescent="0.25">
      <c r="A50" s="36" t="str">
        <f>IF(NO3NH4!A50="","",NO3NH4!A50)</f>
        <v/>
      </c>
      <c r="B50" s="37" t="str">
        <f>IF(NO3NH4!B50="","",NO3NH4!B50)</f>
        <v/>
      </c>
      <c r="C50" s="37" t="str">
        <f t="shared" si="0"/>
        <v/>
      </c>
      <c r="D50" s="42" t="str">
        <f>IF(NO3NH4!I50="","",IF(Mediapar((NO3NH4!I50),1)&lt;Datos!$G$2,"&lt;",""))</f>
        <v/>
      </c>
      <c r="E50" s="42" t="str">
        <f>IF(NO3NH4!I50="","",IF(Mediapar((NO3NH4!I50),1)&lt;Datos!$G$2,Datos!$G$2,Mediapar((NO3NH4!I50),1)))</f>
        <v/>
      </c>
    </row>
    <row r="51" spans="1:5" x14ac:dyDescent="0.25">
      <c r="A51" s="36" t="str">
        <f>IF(NO3NH4!A51="","",NO3NH4!A51)</f>
        <v/>
      </c>
      <c r="B51" s="37" t="str">
        <f>IF(NO3NH4!B51="","",NO3NH4!B51)</f>
        <v/>
      </c>
      <c r="C51" s="37" t="str">
        <f t="shared" si="0"/>
        <v/>
      </c>
      <c r="D51" s="42" t="str">
        <f>IF(NO3NH4!I51="","",IF(Mediapar((NO3NH4!I51),1)&lt;Datos!$G$2,"&lt;",""))</f>
        <v/>
      </c>
      <c r="E51" s="42" t="str">
        <f>IF(NO3NH4!I51="","",IF(Mediapar((NO3NH4!I51),1)&lt;Datos!$G$2,Datos!$G$2,Mediapar((NO3NH4!I51),1)))</f>
        <v/>
      </c>
    </row>
    <row r="52" spans="1:5" x14ac:dyDescent="0.25">
      <c r="A52" s="36" t="str">
        <f>IF(NO3NH4!A52="","",NO3NH4!A52)</f>
        <v>R-</v>
      </c>
      <c r="B52" s="37" t="str">
        <f>IF(NO3NH4!B52="","",NO3NH4!B52)</f>
        <v/>
      </c>
      <c r="C52" s="37" t="str">
        <f t="shared" si="0"/>
        <v/>
      </c>
      <c r="D52" s="42" t="str">
        <f>IF(NO3NH4!I52="","",IF(Mediapar((NO3NH4!I52),1)&lt;Datos!$G$2,"&lt;",""))</f>
        <v/>
      </c>
      <c r="E52" s="42" t="str">
        <f>IF(NO3NH4!I52="","",IF(Mediapar((NO3NH4!I52),1)&lt;Datos!$G$2,Datos!$G$2,Mediapar((NO3NH4!I52),1)))</f>
        <v/>
      </c>
    </row>
    <row r="53" spans="1:5" x14ac:dyDescent="0.25">
      <c r="A53" s="36" t="str">
        <f>IF(NO3NH4!A53="","",NO3NH4!A53)</f>
        <v>R-</v>
      </c>
      <c r="B53" s="37" t="str">
        <f>IF(NO3NH4!B53="","",NO3NH4!B53)</f>
        <v/>
      </c>
      <c r="C53" s="37" t="str">
        <f t="shared" si="0"/>
        <v/>
      </c>
      <c r="D53" s="42" t="str">
        <f>IF(NO3NH4!I53="","",IF(Mediapar((NO3NH4!I53),1)&lt;Datos!$G$2,"&lt;",""))</f>
        <v/>
      </c>
      <c r="E53" s="42" t="str">
        <f>IF(NO3NH4!I53="","",IF(Mediapar((NO3NH4!I53),1)&lt;Datos!$G$2,Datos!$G$2,Mediapar((NO3NH4!I53),1)))</f>
        <v/>
      </c>
    </row>
    <row r="54" spans="1:5" x14ac:dyDescent="0.25">
      <c r="A54" s="36" t="str">
        <f>IF(NO3NH4!A54="","",NO3NH4!A54)</f>
        <v>R-</v>
      </c>
      <c r="B54" s="37" t="str">
        <f>IF(NO3NH4!B54="","",NO3NH4!B54)</f>
        <v/>
      </c>
      <c r="C54" s="37" t="str">
        <f t="shared" si="0"/>
        <v/>
      </c>
      <c r="D54" s="42" t="str">
        <f>IF(NO3NH4!I54="","",IF(Mediapar((NO3NH4!I54),1)&lt;Datos!$G$2,"&lt;",""))</f>
        <v/>
      </c>
      <c r="E54" s="42" t="str">
        <f>IF(NO3NH4!I54="","",IF(Mediapar((NO3NH4!I54),1)&lt;Datos!$G$2,Datos!$G$2,Mediapar((NO3NH4!I54),1)))</f>
        <v/>
      </c>
    </row>
    <row r="55" spans="1:5" x14ac:dyDescent="0.25">
      <c r="A55" s="36" t="str">
        <f>IF(NO3NH4!A55="","",NO3NH4!A55)</f>
        <v>R-</v>
      </c>
      <c r="B55" s="37" t="str">
        <f>IF(NO3NH4!B55="","",NO3NH4!B55)</f>
        <v/>
      </c>
      <c r="C55" s="37" t="str">
        <f t="shared" si="0"/>
        <v/>
      </c>
      <c r="D55" s="42" t="str">
        <f>IF(NO3NH4!I55="","",IF(Mediapar((NO3NH4!I55),1)&lt;Datos!$G$2,"&lt;",""))</f>
        <v/>
      </c>
      <c r="E55" s="42" t="str">
        <f>IF(NO3NH4!I55="","",IF(Mediapar((NO3NH4!I55),1)&lt;Datos!$G$2,Datos!$G$2,Mediapar((NO3NH4!I55),1)))</f>
        <v/>
      </c>
    </row>
    <row r="56" spans="1:5" x14ac:dyDescent="0.25">
      <c r="A56" s="36" t="str">
        <f>IF(NO3NH4!A56="","",NO3NH4!A56)</f>
        <v>R-</v>
      </c>
      <c r="B56" s="37" t="str">
        <f>IF(NO3NH4!B56="","",NO3NH4!B56)</f>
        <v/>
      </c>
      <c r="C56" s="37" t="str">
        <f t="shared" si="0"/>
        <v/>
      </c>
      <c r="D56" s="42" t="str">
        <f>IF(NO3NH4!I56="","",IF(Mediapar((NO3NH4!I56),1)&lt;Datos!$G$2,"&lt;",""))</f>
        <v/>
      </c>
      <c r="E56" s="42" t="str">
        <f>IF(NO3NH4!I56="","",IF(Mediapar((NO3NH4!I56),1)&lt;Datos!$G$2,Datos!$G$2,Mediapar((NO3NH4!I56),1)))</f>
        <v/>
      </c>
    </row>
  </sheetData>
  <sheetProtection password="D1D1" sheet="1" objects="1" scenarios="1"/>
  <conditionalFormatting sqref="A2:E56">
    <cfRule type="containsBlanks" priority="1" stopIfTrue="1">
      <formula>LEN(TRIM(A2))=0</formula>
    </cfRule>
    <cfRule type="expression" dxfId="6" priority="2">
      <formula>IF(A2=MATCH("R-"&amp;A2,$A$2:$A$56,0),FALSE,TRUE)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E56"/>
  <sheetViews>
    <sheetView workbookViewId="0"/>
  </sheetViews>
  <sheetFormatPr baseColWidth="10" defaultRowHeight="13.2" x14ac:dyDescent="0.25"/>
  <cols>
    <col min="5" max="5" width="19.77734375" customWidth="1"/>
  </cols>
  <sheetData>
    <row r="1" spans="1:5" ht="56.4" x14ac:dyDescent="0.25">
      <c r="A1" s="30" t="s">
        <v>0</v>
      </c>
      <c r="B1" s="31" t="s">
        <v>1</v>
      </c>
      <c r="C1" s="31" t="s">
        <v>41</v>
      </c>
      <c r="D1" s="31" t="s">
        <v>38</v>
      </c>
      <c r="E1" s="33" t="s">
        <v>31</v>
      </c>
    </row>
    <row r="2" spans="1:5" x14ac:dyDescent="0.25">
      <c r="A2" s="36" t="str">
        <f>IF(NO3NH4!A2="","",NO3NH4!A2)</f>
        <v>PATRÓN</v>
      </c>
      <c r="B2" s="37" t="str">
        <f>IF(NO3NH4!B2="","",NO3NH4!B2)</f>
        <v/>
      </c>
      <c r="C2" s="37" t="str">
        <f>IF(D2="&lt;","003","")</f>
        <v/>
      </c>
      <c r="D2" s="37" t="str">
        <f>IF(NO3NH4!J2="","",IF(Mediapar((NO3NH4!J2),1)&lt;Datos!$G$3,"&lt;",""))</f>
        <v/>
      </c>
      <c r="E2" s="42" t="str">
        <f>IF(NO3NH4!J2="","",IF(Mediapar((NO3NH4!J2),1)&lt;Datos!$G$3,Datos!$G$3,Mediapar((NO3NH4!J2),1)))</f>
        <v/>
      </c>
    </row>
    <row r="3" spans="1:5" x14ac:dyDescent="0.25">
      <c r="A3" s="36" t="str">
        <f>IF(NO3NH4!A3="","",NO3NH4!A3)</f>
        <v/>
      </c>
      <c r="B3" s="37" t="str">
        <f>IF(NO3NH4!B3="","",NO3NH4!B3)</f>
        <v/>
      </c>
      <c r="C3" s="37" t="str">
        <f t="shared" ref="C3:C56" si="0">IF(D3="&lt;","003","")</f>
        <v/>
      </c>
      <c r="D3" s="37" t="str">
        <f>IF(NO3NH4!J3="","",IF(Mediapar((NO3NH4!J3),1)&lt;Datos!$G$3,"&lt;",""))</f>
        <v/>
      </c>
      <c r="E3" s="42" t="str">
        <f>IF(NO3NH4!J3="","",IF(Mediapar((NO3NH4!J3),1)&lt;Datos!$G$3,Datos!$G$3,Mediapar((NO3NH4!J3),1)))</f>
        <v/>
      </c>
    </row>
    <row r="4" spans="1:5" x14ac:dyDescent="0.25">
      <c r="A4" s="36" t="str">
        <f>IF(NO3NH4!A4="","",NO3NH4!A4)</f>
        <v/>
      </c>
      <c r="B4" s="37" t="str">
        <f>IF(NO3NH4!B4="","",NO3NH4!B4)</f>
        <v/>
      </c>
      <c r="C4" s="37" t="str">
        <f t="shared" si="0"/>
        <v/>
      </c>
      <c r="D4" s="37" t="str">
        <f>IF(NO3NH4!J4="","",IF(Mediapar((NO3NH4!J4),1)&lt;Datos!$G$3,"&lt;",""))</f>
        <v/>
      </c>
      <c r="E4" s="42" t="str">
        <f>IF(NO3NH4!J4="","",IF(Mediapar((NO3NH4!J4),1)&lt;Datos!$G$3,Datos!$G$3,Mediapar((NO3NH4!J4),1)))</f>
        <v/>
      </c>
    </row>
    <row r="5" spans="1:5" x14ac:dyDescent="0.25">
      <c r="A5" s="36" t="str">
        <f>IF(NO3NH4!A5="","",NO3NH4!A5)</f>
        <v/>
      </c>
      <c r="B5" s="37" t="str">
        <f>IF(NO3NH4!B5="","",NO3NH4!B5)</f>
        <v/>
      </c>
      <c r="C5" s="37" t="str">
        <f t="shared" si="0"/>
        <v/>
      </c>
      <c r="D5" s="37" t="str">
        <f>IF(NO3NH4!J5="","",IF(Mediapar((NO3NH4!J5),1)&lt;Datos!$G$3,"&lt;",""))</f>
        <v/>
      </c>
      <c r="E5" s="42" t="str">
        <f>IF(NO3NH4!J5="","",IF(Mediapar((NO3NH4!J5),1)&lt;Datos!$G$3,Datos!$G$3,Mediapar((NO3NH4!J5),1)))</f>
        <v/>
      </c>
    </row>
    <row r="6" spans="1:5" x14ac:dyDescent="0.25">
      <c r="A6" s="36" t="str">
        <f>IF(NO3NH4!A6="","",NO3NH4!A6)</f>
        <v/>
      </c>
      <c r="B6" s="37" t="str">
        <f>IF(NO3NH4!B6="","",NO3NH4!B6)</f>
        <v/>
      </c>
      <c r="C6" s="37" t="str">
        <f t="shared" si="0"/>
        <v/>
      </c>
      <c r="D6" s="37" t="str">
        <f>IF(NO3NH4!J6="","",IF(Mediapar((NO3NH4!J6),1)&lt;Datos!$G$3,"&lt;",""))</f>
        <v/>
      </c>
      <c r="E6" s="42" t="str">
        <f>IF(NO3NH4!J6="","",IF(Mediapar((NO3NH4!J6),1)&lt;Datos!$G$3,Datos!$G$3,Mediapar((NO3NH4!J6),1)))</f>
        <v/>
      </c>
    </row>
    <row r="7" spans="1:5" x14ac:dyDescent="0.25">
      <c r="A7" s="36" t="str">
        <f>IF(NO3NH4!A7="","",NO3NH4!A7)</f>
        <v/>
      </c>
      <c r="B7" s="37" t="str">
        <f>IF(NO3NH4!B7="","",NO3NH4!B7)</f>
        <v/>
      </c>
      <c r="C7" s="37" t="str">
        <f t="shared" si="0"/>
        <v/>
      </c>
      <c r="D7" s="37" t="str">
        <f>IF(NO3NH4!J7="","",IF(Mediapar((NO3NH4!J7),1)&lt;Datos!$G$3,"&lt;",""))</f>
        <v/>
      </c>
      <c r="E7" s="42" t="str">
        <f>IF(NO3NH4!J7="","",IF(Mediapar((NO3NH4!J7),1)&lt;Datos!$G$3,Datos!$G$3,Mediapar((NO3NH4!J7),1)))</f>
        <v/>
      </c>
    </row>
    <row r="8" spans="1:5" x14ac:dyDescent="0.25">
      <c r="A8" s="36" t="str">
        <f>IF(NO3NH4!A8="","",NO3NH4!A8)</f>
        <v/>
      </c>
      <c r="B8" s="37" t="str">
        <f>IF(NO3NH4!B8="","",NO3NH4!B8)</f>
        <v/>
      </c>
      <c r="C8" s="37" t="str">
        <f t="shared" si="0"/>
        <v/>
      </c>
      <c r="D8" s="37" t="str">
        <f>IF(NO3NH4!J8="","",IF(Mediapar((NO3NH4!J8),1)&lt;Datos!$G$3,"&lt;",""))</f>
        <v/>
      </c>
      <c r="E8" s="42" t="str">
        <f>IF(NO3NH4!J8="","",IF(Mediapar((NO3NH4!J8),1)&lt;Datos!$G$3,Datos!$G$3,Mediapar((NO3NH4!J8),1)))</f>
        <v/>
      </c>
    </row>
    <row r="9" spans="1:5" x14ac:dyDescent="0.25">
      <c r="A9" s="36" t="str">
        <f>IF(NO3NH4!A9="","",NO3NH4!A9)</f>
        <v/>
      </c>
      <c r="B9" s="37" t="str">
        <f>IF(NO3NH4!B9="","",NO3NH4!B9)</f>
        <v/>
      </c>
      <c r="C9" s="37" t="str">
        <f t="shared" si="0"/>
        <v/>
      </c>
      <c r="D9" s="37" t="str">
        <f>IF(NO3NH4!J9="","",IF(Mediapar((NO3NH4!J9),1)&lt;Datos!$G$3,"&lt;",""))</f>
        <v/>
      </c>
      <c r="E9" s="42" t="str">
        <f>IF(NO3NH4!J9="","",IF(Mediapar((NO3NH4!J9),1)&lt;Datos!$G$3,Datos!$G$3,Mediapar((NO3NH4!J9),1)))</f>
        <v/>
      </c>
    </row>
    <row r="10" spans="1:5" x14ac:dyDescent="0.25">
      <c r="A10" s="36" t="str">
        <f>IF(NO3NH4!A10="","",NO3NH4!A10)</f>
        <v/>
      </c>
      <c r="B10" s="37" t="str">
        <f>IF(NO3NH4!B10="","",NO3NH4!B10)</f>
        <v/>
      </c>
      <c r="C10" s="37" t="str">
        <f t="shared" si="0"/>
        <v/>
      </c>
      <c r="D10" s="37" t="str">
        <f>IF(NO3NH4!J10="","",IF(Mediapar((NO3NH4!J10),1)&lt;Datos!$G$3,"&lt;",""))</f>
        <v/>
      </c>
      <c r="E10" s="42" t="str">
        <f>IF(NO3NH4!J10="","",IF(Mediapar((NO3NH4!J10),1)&lt;Datos!$G$3,Datos!$G$3,Mediapar((NO3NH4!J10),1)))</f>
        <v/>
      </c>
    </row>
    <row r="11" spans="1:5" x14ac:dyDescent="0.25">
      <c r="A11" s="36" t="str">
        <f>IF(NO3NH4!A11="","",NO3NH4!A11)</f>
        <v/>
      </c>
      <c r="B11" s="37" t="str">
        <f>IF(NO3NH4!B11="","",NO3NH4!B11)</f>
        <v/>
      </c>
      <c r="C11" s="37" t="str">
        <f t="shared" si="0"/>
        <v/>
      </c>
      <c r="D11" s="37" t="str">
        <f>IF(NO3NH4!J11="","",IF(Mediapar((NO3NH4!J11),1)&lt;Datos!$G$3,"&lt;",""))</f>
        <v/>
      </c>
      <c r="E11" s="42" t="str">
        <f>IF(NO3NH4!J11="","",IF(Mediapar((NO3NH4!J11),1)&lt;Datos!$G$3,Datos!$G$3,Mediapar((NO3NH4!J11),1)))</f>
        <v/>
      </c>
    </row>
    <row r="12" spans="1:5" x14ac:dyDescent="0.25">
      <c r="A12" s="36" t="str">
        <f>IF(NO3NH4!A12="","",NO3NH4!A12)</f>
        <v/>
      </c>
      <c r="B12" s="37" t="str">
        <f>IF(NO3NH4!B12="","",NO3NH4!B12)</f>
        <v/>
      </c>
      <c r="C12" s="37" t="str">
        <f t="shared" si="0"/>
        <v/>
      </c>
      <c r="D12" s="37" t="str">
        <f>IF(NO3NH4!J12="","",IF(Mediapar((NO3NH4!J12),1)&lt;Datos!$G$3,"&lt;",""))</f>
        <v/>
      </c>
      <c r="E12" s="42" t="str">
        <f>IF(NO3NH4!J12="","",IF(Mediapar((NO3NH4!J12),1)&lt;Datos!$G$3,Datos!$G$3,Mediapar((NO3NH4!J12),1)))</f>
        <v/>
      </c>
    </row>
    <row r="13" spans="1:5" x14ac:dyDescent="0.25">
      <c r="A13" s="36" t="str">
        <f>IF(NO3NH4!A13="","",NO3NH4!A13)</f>
        <v/>
      </c>
      <c r="B13" s="37" t="str">
        <f>IF(NO3NH4!B13="","",NO3NH4!B13)</f>
        <v/>
      </c>
      <c r="C13" s="37" t="str">
        <f t="shared" si="0"/>
        <v/>
      </c>
      <c r="D13" s="37" t="str">
        <f>IF(NO3NH4!J13="","",IF(Mediapar((NO3NH4!J13),1)&lt;Datos!$G$3,"&lt;",""))</f>
        <v/>
      </c>
      <c r="E13" s="42" t="str">
        <f>IF(NO3NH4!J13="","",IF(Mediapar((NO3NH4!J13),1)&lt;Datos!$G$3,Datos!$G$3,Mediapar((NO3NH4!J13),1)))</f>
        <v/>
      </c>
    </row>
    <row r="14" spans="1:5" x14ac:dyDescent="0.25">
      <c r="A14" s="36" t="str">
        <f>IF(NO3NH4!A14="","",NO3NH4!A14)</f>
        <v/>
      </c>
      <c r="B14" s="37" t="str">
        <f>IF(NO3NH4!B14="","",NO3NH4!B14)</f>
        <v/>
      </c>
      <c r="C14" s="37" t="str">
        <f t="shared" si="0"/>
        <v/>
      </c>
      <c r="D14" s="37" t="str">
        <f>IF(NO3NH4!J14="","",IF(Mediapar((NO3NH4!J14),1)&lt;Datos!$G$3,"&lt;",""))</f>
        <v/>
      </c>
      <c r="E14" s="42" t="str">
        <f>IF(NO3NH4!J14="","",IF(Mediapar((NO3NH4!J14),1)&lt;Datos!$G$3,Datos!$G$3,Mediapar((NO3NH4!J14),1)))</f>
        <v/>
      </c>
    </row>
    <row r="15" spans="1:5" x14ac:dyDescent="0.25">
      <c r="A15" s="36" t="str">
        <f>IF(NO3NH4!A15="","",NO3NH4!A15)</f>
        <v/>
      </c>
      <c r="B15" s="37" t="str">
        <f>IF(NO3NH4!B15="","",NO3NH4!B15)</f>
        <v/>
      </c>
      <c r="C15" s="37" t="str">
        <f t="shared" si="0"/>
        <v/>
      </c>
      <c r="D15" s="37" t="str">
        <f>IF(NO3NH4!J15="","",IF(Mediapar((NO3NH4!J15),1)&lt;Datos!$G$3,"&lt;",""))</f>
        <v/>
      </c>
      <c r="E15" s="42" t="str">
        <f>IF(NO3NH4!J15="","",IF(Mediapar((NO3NH4!J15),1)&lt;Datos!$G$3,Datos!$G$3,Mediapar((NO3NH4!J15),1)))</f>
        <v/>
      </c>
    </row>
    <row r="16" spans="1:5" x14ac:dyDescent="0.25">
      <c r="A16" s="36" t="str">
        <f>IF(NO3NH4!A16="","",NO3NH4!A16)</f>
        <v/>
      </c>
      <c r="B16" s="37" t="str">
        <f>IF(NO3NH4!B16="","",NO3NH4!B16)</f>
        <v/>
      </c>
      <c r="C16" s="37" t="str">
        <f t="shared" si="0"/>
        <v/>
      </c>
      <c r="D16" s="37" t="str">
        <f>IF(NO3NH4!J16="","",IF(Mediapar((NO3NH4!J16),1)&lt;Datos!$G$3,"&lt;",""))</f>
        <v/>
      </c>
      <c r="E16" s="42" t="str">
        <f>IF(NO3NH4!J16="","",IF(Mediapar((NO3NH4!J16),1)&lt;Datos!$G$3,Datos!$G$3,Mediapar((NO3NH4!J16),1)))</f>
        <v/>
      </c>
    </row>
    <row r="17" spans="1:5" x14ac:dyDescent="0.25">
      <c r="A17" s="36" t="str">
        <f>IF(NO3NH4!A17="","",NO3NH4!A17)</f>
        <v/>
      </c>
      <c r="B17" s="37" t="str">
        <f>IF(NO3NH4!B17="","",NO3NH4!B17)</f>
        <v/>
      </c>
      <c r="C17" s="37" t="str">
        <f t="shared" si="0"/>
        <v/>
      </c>
      <c r="D17" s="37" t="str">
        <f>IF(NO3NH4!J17="","",IF(Mediapar((NO3NH4!J17),1)&lt;Datos!$G$3,"&lt;",""))</f>
        <v/>
      </c>
      <c r="E17" s="42" t="str">
        <f>IF(NO3NH4!J17="","",IF(Mediapar((NO3NH4!J17),1)&lt;Datos!$G$3,Datos!$G$3,Mediapar((NO3NH4!J17),1)))</f>
        <v/>
      </c>
    </row>
    <row r="18" spans="1:5" x14ac:dyDescent="0.25">
      <c r="A18" s="36" t="str">
        <f>IF(NO3NH4!A18="","",NO3NH4!A18)</f>
        <v/>
      </c>
      <c r="B18" s="37" t="str">
        <f>IF(NO3NH4!B18="","",NO3NH4!B18)</f>
        <v/>
      </c>
      <c r="C18" s="37" t="str">
        <f t="shared" si="0"/>
        <v/>
      </c>
      <c r="D18" s="37" t="str">
        <f>IF(NO3NH4!J18="","",IF(Mediapar((NO3NH4!J18),1)&lt;Datos!$G$3,"&lt;",""))</f>
        <v/>
      </c>
      <c r="E18" s="42" t="str">
        <f>IF(NO3NH4!J18="","",IF(Mediapar((NO3NH4!J18),1)&lt;Datos!$G$3,Datos!$G$3,Mediapar((NO3NH4!J18),1)))</f>
        <v/>
      </c>
    </row>
    <row r="19" spans="1:5" x14ac:dyDescent="0.25">
      <c r="A19" s="36" t="str">
        <f>IF(NO3NH4!A19="","",NO3NH4!A19)</f>
        <v/>
      </c>
      <c r="B19" s="37" t="str">
        <f>IF(NO3NH4!B19="","",NO3NH4!B19)</f>
        <v/>
      </c>
      <c r="C19" s="37" t="str">
        <f t="shared" si="0"/>
        <v/>
      </c>
      <c r="D19" s="37" t="str">
        <f>IF(NO3NH4!J19="","",IF(Mediapar((NO3NH4!J19),1)&lt;Datos!$G$3,"&lt;",""))</f>
        <v/>
      </c>
      <c r="E19" s="42" t="str">
        <f>IF(NO3NH4!J19="","",IF(Mediapar((NO3NH4!J19),1)&lt;Datos!$G$3,Datos!$G$3,Mediapar((NO3NH4!J19),1)))</f>
        <v/>
      </c>
    </row>
    <row r="20" spans="1:5" x14ac:dyDescent="0.25">
      <c r="A20" s="36" t="str">
        <f>IF(NO3NH4!A20="","",NO3NH4!A20)</f>
        <v/>
      </c>
      <c r="B20" s="37" t="str">
        <f>IF(NO3NH4!B20="","",NO3NH4!B20)</f>
        <v/>
      </c>
      <c r="C20" s="37" t="str">
        <f t="shared" si="0"/>
        <v/>
      </c>
      <c r="D20" s="37" t="str">
        <f>IF(NO3NH4!J20="","",IF(Mediapar((NO3NH4!J20),1)&lt;Datos!$G$3,"&lt;",""))</f>
        <v/>
      </c>
      <c r="E20" s="42" t="str">
        <f>IF(NO3NH4!J20="","",IF(Mediapar((NO3NH4!J20),1)&lt;Datos!$G$3,Datos!$G$3,Mediapar((NO3NH4!J20),1)))</f>
        <v/>
      </c>
    </row>
    <row r="21" spans="1:5" x14ac:dyDescent="0.25">
      <c r="A21" s="36" t="str">
        <f>IF(NO3NH4!A21="","",NO3NH4!A21)</f>
        <v/>
      </c>
      <c r="B21" s="37" t="str">
        <f>IF(NO3NH4!B21="","",NO3NH4!B21)</f>
        <v/>
      </c>
      <c r="C21" s="37" t="str">
        <f t="shared" si="0"/>
        <v/>
      </c>
      <c r="D21" s="37" t="str">
        <f>IF(NO3NH4!J21="","",IF(Mediapar((NO3NH4!J21),1)&lt;Datos!$G$3,"&lt;",""))</f>
        <v/>
      </c>
      <c r="E21" s="42" t="str">
        <f>IF(NO3NH4!J21="","",IF(Mediapar((NO3NH4!J21),1)&lt;Datos!$G$3,Datos!$G$3,Mediapar((NO3NH4!J21),1)))</f>
        <v/>
      </c>
    </row>
    <row r="22" spans="1:5" x14ac:dyDescent="0.25">
      <c r="A22" s="36" t="str">
        <f>IF(NO3NH4!A22="","",NO3NH4!A22)</f>
        <v/>
      </c>
      <c r="B22" s="37" t="str">
        <f>IF(NO3NH4!B22="","",NO3NH4!B22)</f>
        <v/>
      </c>
      <c r="C22" s="37" t="str">
        <f t="shared" si="0"/>
        <v/>
      </c>
      <c r="D22" s="37" t="str">
        <f>IF(NO3NH4!J22="","",IF(Mediapar((NO3NH4!J22),1)&lt;Datos!$G$3,"&lt;",""))</f>
        <v/>
      </c>
      <c r="E22" s="42" t="str">
        <f>IF(NO3NH4!J22="","",IF(Mediapar((NO3NH4!J22),1)&lt;Datos!$G$3,Datos!$G$3,Mediapar((NO3NH4!J22),1)))</f>
        <v/>
      </c>
    </row>
    <row r="23" spans="1:5" x14ac:dyDescent="0.25">
      <c r="A23" s="36" t="str">
        <f>IF(NO3NH4!A23="","",NO3NH4!A23)</f>
        <v/>
      </c>
      <c r="B23" s="37" t="str">
        <f>IF(NO3NH4!B23="","",NO3NH4!B23)</f>
        <v/>
      </c>
      <c r="C23" s="37" t="str">
        <f t="shared" si="0"/>
        <v/>
      </c>
      <c r="D23" s="37" t="str">
        <f>IF(NO3NH4!J23="","",IF(Mediapar((NO3NH4!J23),1)&lt;Datos!$G$3,"&lt;",""))</f>
        <v/>
      </c>
      <c r="E23" s="42" t="str">
        <f>IF(NO3NH4!J23="","",IF(Mediapar((NO3NH4!J23),1)&lt;Datos!$G$3,Datos!$G$3,Mediapar((NO3NH4!J23),1)))</f>
        <v/>
      </c>
    </row>
    <row r="24" spans="1:5" x14ac:dyDescent="0.25">
      <c r="A24" s="36" t="str">
        <f>IF(NO3NH4!A24="","",NO3NH4!A24)</f>
        <v/>
      </c>
      <c r="B24" s="37" t="str">
        <f>IF(NO3NH4!B24="","",NO3NH4!B24)</f>
        <v/>
      </c>
      <c r="C24" s="37" t="str">
        <f t="shared" si="0"/>
        <v/>
      </c>
      <c r="D24" s="37" t="str">
        <f>IF(NO3NH4!J24="","",IF(Mediapar((NO3NH4!J24),1)&lt;Datos!$G$3,"&lt;",""))</f>
        <v/>
      </c>
      <c r="E24" s="42" t="str">
        <f>IF(NO3NH4!J24="","",IF(Mediapar((NO3NH4!J24),1)&lt;Datos!$G$3,Datos!$G$3,Mediapar((NO3NH4!J24),1)))</f>
        <v/>
      </c>
    </row>
    <row r="25" spans="1:5" x14ac:dyDescent="0.25">
      <c r="A25" s="36" t="str">
        <f>IF(NO3NH4!A25="","",NO3NH4!A25)</f>
        <v/>
      </c>
      <c r="B25" s="37" t="str">
        <f>IF(NO3NH4!B25="","",NO3NH4!B25)</f>
        <v/>
      </c>
      <c r="C25" s="37" t="str">
        <f t="shared" si="0"/>
        <v/>
      </c>
      <c r="D25" s="37" t="str">
        <f>IF(NO3NH4!J25="","",IF(Mediapar((NO3NH4!J25),1)&lt;Datos!$G$3,"&lt;",""))</f>
        <v/>
      </c>
      <c r="E25" s="42" t="str">
        <f>IF(NO3NH4!J25="","",IF(Mediapar((NO3NH4!J25),1)&lt;Datos!$G$3,Datos!$G$3,Mediapar((NO3NH4!J25),1)))</f>
        <v/>
      </c>
    </row>
    <row r="26" spans="1:5" x14ac:dyDescent="0.25">
      <c r="A26" s="36" t="str">
        <f>IF(NO3NH4!A26="","",NO3NH4!A26)</f>
        <v/>
      </c>
      <c r="B26" s="37" t="str">
        <f>IF(NO3NH4!B26="","",NO3NH4!B26)</f>
        <v/>
      </c>
      <c r="C26" s="37" t="str">
        <f t="shared" si="0"/>
        <v/>
      </c>
      <c r="D26" s="37" t="str">
        <f>IF(NO3NH4!J26="","",IF(Mediapar((NO3NH4!J26),1)&lt;Datos!$G$3,"&lt;",""))</f>
        <v/>
      </c>
      <c r="E26" s="42" t="str">
        <f>IF(NO3NH4!J26="","",IF(Mediapar((NO3NH4!J26),1)&lt;Datos!$G$3,Datos!$G$3,Mediapar((NO3NH4!J26),1)))</f>
        <v/>
      </c>
    </row>
    <row r="27" spans="1:5" x14ac:dyDescent="0.25">
      <c r="A27" s="36" t="str">
        <f>IF(NO3NH4!A27="","",NO3NH4!A27)</f>
        <v/>
      </c>
      <c r="B27" s="37" t="str">
        <f>IF(NO3NH4!B27="","",NO3NH4!B27)</f>
        <v/>
      </c>
      <c r="C27" s="37" t="str">
        <f t="shared" si="0"/>
        <v/>
      </c>
      <c r="D27" s="37" t="str">
        <f>IF(NO3NH4!J27="","",IF(Mediapar((NO3NH4!J27),1)&lt;Datos!$G$3,"&lt;",""))</f>
        <v/>
      </c>
      <c r="E27" s="42" t="str">
        <f>IF(NO3NH4!J27="","",IF(Mediapar((NO3NH4!J27),1)&lt;Datos!$G$3,Datos!$G$3,Mediapar((NO3NH4!J27),1)))</f>
        <v/>
      </c>
    </row>
    <row r="28" spans="1:5" x14ac:dyDescent="0.25">
      <c r="A28" s="36" t="str">
        <f>IF(NO3NH4!A28="","",NO3NH4!A28)</f>
        <v/>
      </c>
      <c r="B28" s="37" t="str">
        <f>IF(NO3NH4!B28="","",NO3NH4!B28)</f>
        <v/>
      </c>
      <c r="C28" s="37" t="str">
        <f t="shared" si="0"/>
        <v/>
      </c>
      <c r="D28" s="37" t="str">
        <f>IF(NO3NH4!J28="","",IF(Mediapar((NO3NH4!J28),1)&lt;Datos!$G$3,"&lt;",""))</f>
        <v/>
      </c>
      <c r="E28" s="42" t="str">
        <f>IF(NO3NH4!J28="","",IF(Mediapar((NO3NH4!J28),1)&lt;Datos!$G$3,Datos!$G$3,Mediapar((NO3NH4!J28),1)))</f>
        <v/>
      </c>
    </row>
    <row r="29" spans="1:5" x14ac:dyDescent="0.25">
      <c r="A29" s="36" t="str">
        <f>IF(NO3NH4!A29="","",NO3NH4!A29)</f>
        <v/>
      </c>
      <c r="B29" s="37" t="str">
        <f>IF(NO3NH4!B29="","",NO3NH4!B29)</f>
        <v/>
      </c>
      <c r="C29" s="37" t="str">
        <f t="shared" si="0"/>
        <v/>
      </c>
      <c r="D29" s="37" t="str">
        <f>IF(NO3NH4!J29="","",IF(Mediapar((NO3NH4!J29),1)&lt;Datos!$G$3,"&lt;",""))</f>
        <v/>
      </c>
      <c r="E29" s="42" t="str">
        <f>IF(NO3NH4!J29="","",IF(Mediapar((NO3NH4!J29),1)&lt;Datos!$G$3,Datos!$G$3,Mediapar((NO3NH4!J29),1)))</f>
        <v/>
      </c>
    </row>
    <row r="30" spans="1:5" x14ac:dyDescent="0.25">
      <c r="A30" s="36" t="str">
        <f>IF(NO3NH4!A30="","",NO3NH4!A30)</f>
        <v/>
      </c>
      <c r="B30" s="37" t="str">
        <f>IF(NO3NH4!B30="","",NO3NH4!B30)</f>
        <v/>
      </c>
      <c r="C30" s="37" t="str">
        <f t="shared" si="0"/>
        <v/>
      </c>
      <c r="D30" s="37" t="str">
        <f>IF(NO3NH4!J30="","",IF(Mediapar((NO3NH4!J30),1)&lt;Datos!$G$3,"&lt;",""))</f>
        <v/>
      </c>
      <c r="E30" s="42" t="str">
        <f>IF(NO3NH4!J30="","",IF(Mediapar((NO3NH4!J30),1)&lt;Datos!$G$3,Datos!$G$3,Mediapar((NO3NH4!J30),1)))</f>
        <v/>
      </c>
    </row>
    <row r="31" spans="1:5" x14ac:dyDescent="0.25">
      <c r="A31" s="36" t="str">
        <f>IF(NO3NH4!A31="","",NO3NH4!A31)</f>
        <v/>
      </c>
      <c r="B31" s="37" t="str">
        <f>IF(NO3NH4!B31="","",NO3NH4!B31)</f>
        <v/>
      </c>
      <c r="C31" s="37" t="str">
        <f t="shared" si="0"/>
        <v/>
      </c>
      <c r="D31" s="37" t="str">
        <f>IF(NO3NH4!J31="","",IF(Mediapar((NO3NH4!J31),1)&lt;Datos!$G$3,"&lt;",""))</f>
        <v/>
      </c>
      <c r="E31" s="42" t="str">
        <f>IF(NO3NH4!J31="","",IF(Mediapar((NO3NH4!J31),1)&lt;Datos!$G$3,Datos!$G$3,Mediapar((NO3NH4!J31),1)))</f>
        <v/>
      </c>
    </row>
    <row r="32" spans="1:5" x14ac:dyDescent="0.25">
      <c r="A32" s="36" t="str">
        <f>IF(NO3NH4!A32="","",NO3NH4!A32)</f>
        <v/>
      </c>
      <c r="B32" s="37" t="str">
        <f>IF(NO3NH4!B32="","",NO3NH4!B32)</f>
        <v/>
      </c>
      <c r="C32" s="37" t="str">
        <f t="shared" si="0"/>
        <v/>
      </c>
      <c r="D32" s="37" t="str">
        <f>IF(NO3NH4!J32="","",IF(Mediapar((NO3NH4!J32),1)&lt;Datos!$G$3,"&lt;",""))</f>
        <v/>
      </c>
      <c r="E32" s="42" t="str">
        <f>IF(NO3NH4!J32="","",IF(Mediapar((NO3NH4!J32),1)&lt;Datos!$G$3,Datos!$G$3,Mediapar((NO3NH4!J32),1)))</f>
        <v/>
      </c>
    </row>
    <row r="33" spans="1:5" x14ac:dyDescent="0.25">
      <c r="A33" s="36" t="str">
        <f>IF(NO3NH4!A33="","",NO3NH4!A33)</f>
        <v/>
      </c>
      <c r="B33" s="37" t="str">
        <f>IF(NO3NH4!B33="","",NO3NH4!B33)</f>
        <v/>
      </c>
      <c r="C33" s="37" t="str">
        <f t="shared" si="0"/>
        <v/>
      </c>
      <c r="D33" s="37" t="str">
        <f>IF(NO3NH4!J33="","",IF(Mediapar((NO3NH4!J33),1)&lt;Datos!$G$3,"&lt;",""))</f>
        <v/>
      </c>
      <c r="E33" s="42" t="str">
        <f>IF(NO3NH4!J33="","",IF(Mediapar((NO3NH4!J33),1)&lt;Datos!$G$3,Datos!$G$3,Mediapar((NO3NH4!J33),1)))</f>
        <v/>
      </c>
    </row>
    <row r="34" spans="1:5" x14ac:dyDescent="0.25">
      <c r="A34" s="36" t="str">
        <f>IF(NO3NH4!A34="","",NO3NH4!A34)</f>
        <v/>
      </c>
      <c r="B34" s="37" t="str">
        <f>IF(NO3NH4!B34="","",NO3NH4!B34)</f>
        <v/>
      </c>
      <c r="C34" s="37" t="str">
        <f t="shared" si="0"/>
        <v/>
      </c>
      <c r="D34" s="37" t="str">
        <f>IF(NO3NH4!J34="","",IF(Mediapar((NO3NH4!J34),1)&lt;Datos!$G$3,"&lt;",""))</f>
        <v/>
      </c>
      <c r="E34" s="42" t="str">
        <f>IF(NO3NH4!J34="","",IF(Mediapar((NO3NH4!J34),1)&lt;Datos!$G$3,Datos!$G$3,Mediapar((NO3NH4!J34),1)))</f>
        <v/>
      </c>
    </row>
    <row r="35" spans="1:5" x14ac:dyDescent="0.25">
      <c r="A35" s="36" t="str">
        <f>IF(NO3NH4!A35="","",NO3NH4!A35)</f>
        <v/>
      </c>
      <c r="B35" s="37" t="str">
        <f>IF(NO3NH4!B35="","",NO3NH4!B35)</f>
        <v/>
      </c>
      <c r="C35" s="37" t="str">
        <f t="shared" si="0"/>
        <v/>
      </c>
      <c r="D35" s="37" t="str">
        <f>IF(NO3NH4!J35="","",IF(Mediapar((NO3NH4!J35),1)&lt;Datos!$G$3,"&lt;",""))</f>
        <v/>
      </c>
      <c r="E35" s="42" t="str">
        <f>IF(NO3NH4!J35="","",IF(Mediapar((NO3NH4!J35),1)&lt;Datos!$G$3,Datos!$G$3,Mediapar((NO3NH4!J35),1)))</f>
        <v/>
      </c>
    </row>
    <row r="36" spans="1:5" x14ac:dyDescent="0.25">
      <c r="A36" s="36" t="str">
        <f>IF(NO3NH4!A36="","",NO3NH4!A36)</f>
        <v/>
      </c>
      <c r="B36" s="37" t="str">
        <f>IF(NO3NH4!B36="","",NO3NH4!B36)</f>
        <v/>
      </c>
      <c r="C36" s="37" t="str">
        <f t="shared" si="0"/>
        <v/>
      </c>
      <c r="D36" s="37" t="str">
        <f>IF(NO3NH4!J36="","",IF(Mediapar((NO3NH4!J36),1)&lt;Datos!$G$3,"&lt;",""))</f>
        <v/>
      </c>
      <c r="E36" s="42" t="str">
        <f>IF(NO3NH4!J36="","",IF(Mediapar((NO3NH4!J36),1)&lt;Datos!$G$3,Datos!$G$3,Mediapar((NO3NH4!J36),1)))</f>
        <v/>
      </c>
    </row>
    <row r="37" spans="1:5" x14ac:dyDescent="0.25">
      <c r="A37" s="36" t="str">
        <f>IF(NO3NH4!A37="","",NO3NH4!A37)</f>
        <v/>
      </c>
      <c r="B37" s="37" t="str">
        <f>IF(NO3NH4!B37="","",NO3NH4!B37)</f>
        <v/>
      </c>
      <c r="C37" s="37" t="str">
        <f t="shared" si="0"/>
        <v/>
      </c>
      <c r="D37" s="37" t="str">
        <f>IF(NO3NH4!J37="","",IF(Mediapar((NO3NH4!J37),1)&lt;Datos!$G$3,"&lt;",""))</f>
        <v/>
      </c>
      <c r="E37" s="42" t="str">
        <f>IF(NO3NH4!J37="","",IF(Mediapar((NO3NH4!J37),1)&lt;Datos!$G$3,Datos!$G$3,Mediapar((NO3NH4!J37),1)))</f>
        <v/>
      </c>
    </row>
    <row r="38" spans="1:5" x14ac:dyDescent="0.25">
      <c r="A38" s="36" t="str">
        <f>IF(NO3NH4!A38="","",NO3NH4!A38)</f>
        <v/>
      </c>
      <c r="B38" s="37" t="str">
        <f>IF(NO3NH4!B38="","",NO3NH4!B38)</f>
        <v/>
      </c>
      <c r="C38" s="37" t="str">
        <f t="shared" si="0"/>
        <v/>
      </c>
      <c r="D38" s="37" t="str">
        <f>IF(NO3NH4!J38="","",IF(Mediapar((NO3NH4!J38),1)&lt;Datos!$G$3,"&lt;",""))</f>
        <v/>
      </c>
      <c r="E38" s="42" t="str">
        <f>IF(NO3NH4!J38="","",IF(Mediapar((NO3NH4!J38),1)&lt;Datos!$G$3,Datos!$G$3,Mediapar((NO3NH4!J38),1)))</f>
        <v/>
      </c>
    </row>
    <row r="39" spans="1:5" x14ac:dyDescent="0.25">
      <c r="A39" s="36" t="str">
        <f>IF(NO3NH4!A39="","",NO3NH4!A39)</f>
        <v/>
      </c>
      <c r="B39" s="37" t="str">
        <f>IF(NO3NH4!B39="","",NO3NH4!B39)</f>
        <v/>
      </c>
      <c r="C39" s="37" t="str">
        <f t="shared" si="0"/>
        <v/>
      </c>
      <c r="D39" s="37" t="str">
        <f>IF(NO3NH4!J39="","",IF(Mediapar((NO3NH4!J39),1)&lt;Datos!$G$3,"&lt;",""))</f>
        <v/>
      </c>
      <c r="E39" s="42" t="str">
        <f>IF(NO3NH4!J39="","",IF(Mediapar((NO3NH4!J39),1)&lt;Datos!$G$3,Datos!$G$3,Mediapar((NO3NH4!J39),1)))</f>
        <v/>
      </c>
    </row>
    <row r="40" spans="1:5" x14ac:dyDescent="0.25">
      <c r="A40" s="36" t="str">
        <f>IF(NO3NH4!A40="","",NO3NH4!A40)</f>
        <v/>
      </c>
      <c r="B40" s="37" t="str">
        <f>IF(NO3NH4!B40="","",NO3NH4!B40)</f>
        <v/>
      </c>
      <c r="C40" s="37" t="str">
        <f t="shared" si="0"/>
        <v/>
      </c>
      <c r="D40" s="37" t="str">
        <f>IF(NO3NH4!J40="","",IF(Mediapar((NO3NH4!J40),1)&lt;Datos!$G$3,"&lt;",""))</f>
        <v/>
      </c>
      <c r="E40" s="42" t="str">
        <f>IF(NO3NH4!J40="","",IF(Mediapar((NO3NH4!J40),1)&lt;Datos!$G$3,Datos!$G$3,Mediapar((NO3NH4!J40),1)))</f>
        <v/>
      </c>
    </row>
    <row r="41" spans="1:5" x14ac:dyDescent="0.25">
      <c r="A41" s="36" t="str">
        <f>IF(NO3NH4!A41="","",NO3NH4!A41)</f>
        <v/>
      </c>
      <c r="B41" s="37" t="str">
        <f>IF(NO3NH4!B41="","",NO3NH4!B41)</f>
        <v/>
      </c>
      <c r="C41" s="37" t="str">
        <f t="shared" si="0"/>
        <v/>
      </c>
      <c r="D41" s="37" t="str">
        <f>IF(NO3NH4!J41="","",IF(Mediapar((NO3NH4!J41),1)&lt;Datos!$G$3,"&lt;",""))</f>
        <v/>
      </c>
      <c r="E41" s="42" t="str">
        <f>IF(NO3NH4!J41="","",IF(Mediapar((NO3NH4!J41),1)&lt;Datos!$G$3,Datos!$G$3,Mediapar((NO3NH4!J41),1)))</f>
        <v/>
      </c>
    </row>
    <row r="42" spans="1:5" x14ac:dyDescent="0.25">
      <c r="A42" s="36" t="str">
        <f>IF(NO3NH4!A42="","",NO3NH4!A42)</f>
        <v/>
      </c>
      <c r="B42" s="37" t="str">
        <f>IF(NO3NH4!B42="","",NO3NH4!B42)</f>
        <v/>
      </c>
      <c r="C42" s="37" t="str">
        <f t="shared" si="0"/>
        <v/>
      </c>
      <c r="D42" s="37" t="str">
        <f>IF(NO3NH4!J42="","",IF(Mediapar((NO3NH4!J42),1)&lt;Datos!$G$3,"&lt;",""))</f>
        <v/>
      </c>
      <c r="E42" s="42" t="str">
        <f>IF(NO3NH4!J42="","",IF(Mediapar((NO3NH4!J42),1)&lt;Datos!$G$3,Datos!$G$3,Mediapar((NO3NH4!J42),1)))</f>
        <v/>
      </c>
    </row>
    <row r="43" spans="1:5" x14ac:dyDescent="0.25">
      <c r="A43" s="36" t="str">
        <f>IF(NO3NH4!A43="","",NO3NH4!A43)</f>
        <v/>
      </c>
      <c r="B43" s="37" t="str">
        <f>IF(NO3NH4!B43="","",NO3NH4!B43)</f>
        <v/>
      </c>
      <c r="C43" s="37" t="str">
        <f t="shared" si="0"/>
        <v/>
      </c>
      <c r="D43" s="37" t="str">
        <f>IF(NO3NH4!J43="","",IF(Mediapar((NO3NH4!J43),1)&lt;Datos!$G$3,"&lt;",""))</f>
        <v/>
      </c>
      <c r="E43" s="42" t="str">
        <f>IF(NO3NH4!J43="","",IF(Mediapar((NO3NH4!J43),1)&lt;Datos!$G$3,Datos!$G$3,Mediapar((NO3NH4!J43),1)))</f>
        <v/>
      </c>
    </row>
    <row r="44" spans="1:5" x14ac:dyDescent="0.25">
      <c r="A44" s="36" t="str">
        <f>IF(NO3NH4!A44="","",NO3NH4!A44)</f>
        <v/>
      </c>
      <c r="B44" s="37" t="str">
        <f>IF(NO3NH4!B44="","",NO3NH4!B44)</f>
        <v/>
      </c>
      <c r="C44" s="37" t="str">
        <f t="shared" si="0"/>
        <v/>
      </c>
      <c r="D44" s="37" t="str">
        <f>IF(NO3NH4!J44="","",IF(Mediapar((NO3NH4!J44),1)&lt;Datos!$G$3,"&lt;",""))</f>
        <v/>
      </c>
      <c r="E44" s="42" t="str">
        <f>IF(NO3NH4!J44="","",IF(Mediapar((NO3NH4!J44),1)&lt;Datos!$G$3,Datos!$G$3,Mediapar((NO3NH4!J44),1)))</f>
        <v/>
      </c>
    </row>
    <row r="45" spans="1:5" x14ac:dyDescent="0.25">
      <c r="A45" s="36" t="str">
        <f>IF(NO3NH4!A45="","",NO3NH4!A45)</f>
        <v/>
      </c>
      <c r="B45" s="37" t="str">
        <f>IF(NO3NH4!B45="","",NO3NH4!B45)</f>
        <v/>
      </c>
      <c r="C45" s="37" t="str">
        <f t="shared" si="0"/>
        <v/>
      </c>
      <c r="D45" s="37" t="str">
        <f>IF(NO3NH4!J45="","",IF(Mediapar((NO3NH4!J45),1)&lt;Datos!$G$3,"&lt;",""))</f>
        <v/>
      </c>
      <c r="E45" s="42" t="str">
        <f>IF(NO3NH4!J45="","",IF(Mediapar((NO3NH4!J45),1)&lt;Datos!$G$3,Datos!$G$3,Mediapar((NO3NH4!J45),1)))</f>
        <v/>
      </c>
    </row>
    <row r="46" spans="1:5" x14ac:dyDescent="0.25">
      <c r="A46" s="36" t="str">
        <f>IF(NO3NH4!A46="","",NO3NH4!A46)</f>
        <v/>
      </c>
      <c r="B46" s="37" t="str">
        <f>IF(NO3NH4!B46="","",NO3NH4!B46)</f>
        <v/>
      </c>
      <c r="C46" s="37" t="str">
        <f t="shared" si="0"/>
        <v/>
      </c>
      <c r="D46" s="37" t="str">
        <f>IF(NO3NH4!J46="","",IF(Mediapar((NO3NH4!J46),1)&lt;Datos!$G$3,"&lt;",""))</f>
        <v/>
      </c>
      <c r="E46" s="42" t="str">
        <f>IF(NO3NH4!J46="","",IF(Mediapar((NO3NH4!J46),1)&lt;Datos!$G$3,Datos!$G$3,Mediapar((NO3NH4!J46),1)))</f>
        <v/>
      </c>
    </row>
    <row r="47" spans="1:5" x14ac:dyDescent="0.25">
      <c r="A47" s="36" t="str">
        <f>IF(NO3NH4!A47="","",NO3NH4!A47)</f>
        <v/>
      </c>
      <c r="B47" s="37" t="str">
        <f>IF(NO3NH4!B47="","",NO3NH4!B47)</f>
        <v/>
      </c>
      <c r="C47" s="37" t="str">
        <f t="shared" si="0"/>
        <v/>
      </c>
      <c r="D47" s="37" t="str">
        <f>IF(NO3NH4!J47="","",IF(Mediapar((NO3NH4!J47),1)&lt;Datos!$G$3,"&lt;",""))</f>
        <v/>
      </c>
      <c r="E47" s="42" t="str">
        <f>IF(NO3NH4!J47="","",IF(Mediapar((NO3NH4!J47),1)&lt;Datos!$G$3,Datos!$G$3,Mediapar((NO3NH4!J47),1)))</f>
        <v/>
      </c>
    </row>
    <row r="48" spans="1:5" x14ac:dyDescent="0.25">
      <c r="A48" s="36" t="str">
        <f>IF(NO3NH4!A48="","",NO3NH4!A48)</f>
        <v/>
      </c>
      <c r="B48" s="37" t="str">
        <f>IF(NO3NH4!B48="","",NO3NH4!B48)</f>
        <v/>
      </c>
      <c r="C48" s="37" t="str">
        <f t="shared" si="0"/>
        <v/>
      </c>
      <c r="D48" s="37" t="str">
        <f>IF(NO3NH4!J48="","",IF(Mediapar((NO3NH4!J48),1)&lt;Datos!$G$3,"&lt;",""))</f>
        <v/>
      </c>
      <c r="E48" s="42" t="str">
        <f>IF(NO3NH4!J48="","",IF(Mediapar((NO3NH4!J48),1)&lt;Datos!$G$3,Datos!$G$3,Mediapar((NO3NH4!J48),1)))</f>
        <v/>
      </c>
    </row>
    <row r="49" spans="1:5" x14ac:dyDescent="0.25">
      <c r="A49" s="36" t="str">
        <f>IF(NO3NH4!A49="","",NO3NH4!A49)</f>
        <v/>
      </c>
      <c r="B49" s="37" t="str">
        <f>IF(NO3NH4!B49="","",NO3NH4!B49)</f>
        <v/>
      </c>
      <c r="C49" s="37" t="str">
        <f t="shared" si="0"/>
        <v/>
      </c>
      <c r="D49" s="37" t="str">
        <f>IF(NO3NH4!J49="","",IF(Mediapar((NO3NH4!J49),1)&lt;Datos!$G$3,"&lt;",""))</f>
        <v/>
      </c>
      <c r="E49" s="42" t="str">
        <f>IF(NO3NH4!J49="","",IF(Mediapar((NO3NH4!J49),1)&lt;Datos!$G$3,Datos!$G$3,Mediapar((NO3NH4!J49),1)))</f>
        <v/>
      </c>
    </row>
    <row r="50" spans="1:5" x14ac:dyDescent="0.25">
      <c r="A50" s="36" t="str">
        <f>IF(NO3NH4!A50="","",NO3NH4!A50)</f>
        <v/>
      </c>
      <c r="B50" s="37" t="str">
        <f>IF(NO3NH4!B50="","",NO3NH4!B50)</f>
        <v/>
      </c>
      <c r="C50" s="37" t="str">
        <f t="shared" si="0"/>
        <v/>
      </c>
      <c r="D50" s="37" t="str">
        <f>IF(NO3NH4!J50="","",IF(Mediapar((NO3NH4!J50),1)&lt;Datos!$G$3,"&lt;",""))</f>
        <v/>
      </c>
      <c r="E50" s="42" t="str">
        <f>IF(NO3NH4!J50="","",IF(Mediapar((NO3NH4!J50),1)&lt;Datos!$G$3,Datos!$G$3,Mediapar((NO3NH4!J50),1)))</f>
        <v/>
      </c>
    </row>
    <row r="51" spans="1:5" x14ac:dyDescent="0.25">
      <c r="A51" s="36" t="str">
        <f>IF(NO3NH4!A51="","",NO3NH4!A51)</f>
        <v/>
      </c>
      <c r="B51" s="37" t="str">
        <f>IF(NO3NH4!B51="","",NO3NH4!B51)</f>
        <v/>
      </c>
      <c r="C51" s="37" t="str">
        <f t="shared" si="0"/>
        <v/>
      </c>
      <c r="D51" s="37" t="str">
        <f>IF(NO3NH4!J51="","",IF(Mediapar((NO3NH4!J51),1)&lt;Datos!$G$3,"&lt;",""))</f>
        <v/>
      </c>
      <c r="E51" s="42" t="str">
        <f>IF(NO3NH4!J51="","",IF(Mediapar((NO3NH4!J51),1)&lt;Datos!$G$3,Datos!$G$3,Mediapar((NO3NH4!J51),1)))</f>
        <v/>
      </c>
    </row>
    <row r="52" spans="1:5" x14ac:dyDescent="0.25">
      <c r="A52" s="36" t="str">
        <f>IF(NO3NH4!A52="","",NO3NH4!A52)</f>
        <v>R-</v>
      </c>
      <c r="B52" s="37" t="str">
        <f>IF(NO3NH4!B52="","",NO3NH4!B52)</f>
        <v/>
      </c>
      <c r="C52" s="37" t="str">
        <f t="shared" si="0"/>
        <v/>
      </c>
      <c r="D52" s="37" t="str">
        <f>IF(NO3NH4!J52="","",IF(Mediapar((NO3NH4!J52),1)&lt;Datos!$G$3,"&lt;",""))</f>
        <v/>
      </c>
      <c r="E52" s="42" t="str">
        <f>IF(NO3NH4!J52="","",IF(Mediapar((NO3NH4!J52),1)&lt;Datos!$G$3,Datos!$G$3,Mediapar((NO3NH4!J52),1)))</f>
        <v/>
      </c>
    </row>
    <row r="53" spans="1:5" x14ac:dyDescent="0.25">
      <c r="A53" s="36" t="str">
        <f>IF(NO3NH4!A53="","",NO3NH4!A53)</f>
        <v>R-</v>
      </c>
      <c r="B53" s="37" t="str">
        <f>IF(NO3NH4!B53="","",NO3NH4!B53)</f>
        <v/>
      </c>
      <c r="C53" s="37" t="str">
        <f t="shared" si="0"/>
        <v/>
      </c>
      <c r="D53" s="37" t="str">
        <f>IF(NO3NH4!J53="","",IF(Mediapar((NO3NH4!J53),1)&lt;Datos!$G$3,"&lt;",""))</f>
        <v/>
      </c>
      <c r="E53" s="42" t="str">
        <f>IF(NO3NH4!J53="","",IF(Mediapar((NO3NH4!J53),1)&lt;Datos!$G$3,Datos!$G$3,Mediapar((NO3NH4!J53),1)))</f>
        <v/>
      </c>
    </row>
    <row r="54" spans="1:5" x14ac:dyDescent="0.25">
      <c r="A54" s="36" t="str">
        <f>IF(NO3NH4!A54="","",NO3NH4!A54)</f>
        <v>R-</v>
      </c>
      <c r="B54" s="37" t="str">
        <f>IF(NO3NH4!B54="","",NO3NH4!B54)</f>
        <v/>
      </c>
      <c r="C54" s="37" t="str">
        <f t="shared" si="0"/>
        <v/>
      </c>
      <c r="D54" s="37" t="str">
        <f>IF(NO3NH4!J54="","",IF(Mediapar((NO3NH4!J54),1)&lt;Datos!$G$3,"&lt;",""))</f>
        <v/>
      </c>
      <c r="E54" s="42" t="str">
        <f>IF(NO3NH4!J54="","",IF(Mediapar((NO3NH4!J54),1)&lt;Datos!$G$3,Datos!$G$3,Mediapar((NO3NH4!J54),1)))</f>
        <v/>
      </c>
    </row>
    <row r="55" spans="1:5" x14ac:dyDescent="0.25">
      <c r="A55" s="36" t="str">
        <f>IF(NO3NH4!A55="","",NO3NH4!A55)</f>
        <v>R-</v>
      </c>
      <c r="B55" s="37" t="str">
        <f>IF(NO3NH4!B55="","",NO3NH4!B55)</f>
        <v/>
      </c>
      <c r="C55" s="37" t="str">
        <f t="shared" si="0"/>
        <v/>
      </c>
      <c r="D55" s="37" t="str">
        <f>IF(NO3NH4!J55="","",IF(Mediapar((NO3NH4!J55),1)&lt;Datos!$G$3,"&lt;",""))</f>
        <v/>
      </c>
      <c r="E55" s="42" t="str">
        <f>IF(NO3NH4!J55="","",IF(Mediapar((NO3NH4!J55),1)&lt;Datos!$G$3,Datos!$G$3,Mediapar((NO3NH4!J55),1)))</f>
        <v/>
      </c>
    </row>
    <row r="56" spans="1:5" x14ac:dyDescent="0.25">
      <c r="A56" s="36" t="str">
        <f>IF(NO3NH4!A56="","",NO3NH4!A56)</f>
        <v>R-</v>
      </c>
      <c r="B56" s="37" t="str">
        <f>IF(NO3NH4!B56="","",NO3NH4!B56)</f>
        <v/>
      </c>
      <c r="C56" s="37" t="str">
        <f t="shared" si="0"/>
        <v/>
      </c>
      <c r="D56" s="37" t="str">
        <f>IF(NO3NH4!J56="","",IF(Mediapar((NO3NH4!J56),1)&lt;Datos!$G$3,"&lt;",""))</f>
        <v/>
      </c>
      <c r="E56" s="42" t="str">
        <f>IF(NO3NH4!J56="","",IF(Mediapar((NO3NH4!J56),1)&lt;Datos!$G$3,Datos!$G$3,Mediapar((NO3NH4!J56),1)))</f>
        <v/>
      </c>
    </row>
  </sheetData>
  <sheetProtection password="D1D1" sheet="1" objects="1" scenarios="1"/>
  <conditionalFormatting sqref="A2:E56">
    <cfRule type="containsBlanks" priority="1" stopIfTrue="1">
      <formula>LEN(TRIM(A2))=0</formula>
    </cfRule>
    <cfRule type="expression" dxfId="5" priority="2">
      <formula>IF(A2=MATCH("R-"&amp;A2,$A$2:$A$56,0),FALSE,TRUE)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G56"/>
  <sheetViews>
    <sheetView zoomScaleNormal="100" workbookViewId="0">
      <selection activeCell="A2" sqref="A2"/>
    </sheetView>
  </sheetViews>
  <sheetFormatPr baseColWidth="10" defaultRowHeight="13.2" x14ac:dyDescent="0.25"/>
  <cols>
    <col min="1" max="1" width="9.88671875" bestFit="1" customWidth="1"/>
    <col min="2" max="2" width="10.109375" bestFit="1" customWidth="1"/>
    <col min="3" max="3" width="18.5546875" customWidth="1"/>
    <col min="4" max="6" width="17.44140625" customWidth="1"/>
    <col min="7" max="7" width="40.6640625" customWidth="1"/>
  </cols>
  <sheetData>
    <row r="1" spans="1:7" ht="56.4" x14ac:dyDescent="0.25">
      <c r="A1" s="30" t="s">
        <v>0</v>
      </c>
      <c r="B1" s="31" t="s">
        <v>1</v>
      </c>
      <c r="C1" s="33" t="s">
        <v>32</v>
      </c>
      <c r="D1" s="33" t="s">
        <v>33</v>
      </c>
      <c r="E1" s="33" t="s">
        <v>40</v>
      </c>
      <c r="F1" s="33" t="s">
        <v>38</v>
      </c>
      <c r="G1" s="33" t="s">
        <v>42</v>
      </c>
    </row>
    <row r="2" spans="1:7" x14ac:dyDescent="0.25">
      <c r="A2" s="36" t="str">
        <f>IF(NO3NH4!A2="","",NO3NH4!A2)</f>
        <v>PATRÓN</v>
      </c>
      <c r="B2" s="37" t="str">
        <f>IF(NO3NH4!B2="","",NO3NH4!B2)</f>
        <v/>
      </c>
      <c r="C2" s="42" t="str">
        <f>IF(NO3NH4!I2="","",Mediapar((NO3NH4!I2),1))</f>
        <v/>
      </c>
      <c r="D2" s="42" t="str">
        <f>IF(NO3NH4!J2="","",Mediapar((NO3NH4!J2),1))</f>
        <v/>
      </c>
      <c r="E2" s="42" t="str">
        <f>IF(F2="&lt;","003","")</f>
        <v/>
      </c>
      <c r="F2" s="42" t="str">
        <f>IF(AND(C2="",D2=""),"",IF(AND(C2&lt;Datos!$G$2,D2&lt;Datos!$G$3),"&lt;",""))</f>
        <v/>
      </c>
      <c r="G2" s="42" t="str">
        <f>IF(AND(C2="",D2=""),"",IF(AND(C2&lt;Datos!$G$2,D2&lt;Datos!$G$3),Datos!$G$4,IF(C2&lt;Datos!$G$2,D2,IF(D2&lt;Datos!$G$3,C2,(C2+D2)))))</f>
        <v/>
      </c>
    </row>
    <row r="3" spans="1:7" x14ac:dyDescent="0.25">
      <c r="A3" s="36" t="str">
        <f>IF(NO3NH4!A3="","",NO3NH4!A3)</f>
        <v/>
      </c>
      <c r="B3" s="37" t="str">
        <f>IF(NO3NH4!B3="","",NO3NH4!B3)</f>
        <v/>
      </c>
      <c r="C3" s="42" t="str">
        <f>IF(NO3NH4!I3="","",Mediapar((NO3NH4!I3),1))</f>
        <v/>
      </c>
      <c r="D3" s="42" t="str">
        <f>IF(NO3NH4!J3="","",Mediapar((NO3NH4!J3),1))</f>
        <v/>
      </c>
      <c r="E3" s="42" t="str">
        <f t="shared" ref="E3:E56" si="0">IF(F3="&lt;","003","")</f>
        <v/>
      </c>
      <c r="F3" s="42" t="str">
        <f>IF(AND(C3="",D3=""),"",IF(AND(C3&lt;Datos!$G$2,D3&lt;Datos!$G$3),"&lt;",""))</f>
        <v/>
      </c>
      <c r="G3" s="42" t="str">
        <f>IF(AND(C3="",D3=""),"",IF(AND(C3&lt;Datos!$G$2,D3&lt;Datos!$G$3),Datos!$G$4,IF(C3&lt;Datos!$G$2,D3,IF(D3&lt;Datos!$G$3,C3,(C3+D3)))))</f>
        <v/>
      </c>
    </row>
    <row r="4" spans="1:7" x14ac:dyDescent="0.25">
      <c r="A4" s="36" t="str">
        <f>IF(NO3NH4!A4="","",NO3NH4!A4)</f>
        <v/>
      </c>
      <c r="B4" s="37" t="str">
        <f>IF(NO3NH4!B4="","",NO3NH4!B4)</f>
        <v/>
      </c>
      <c r="C4" s="42" t="str">
        <f>IF(NO3NH4!I4="","",Mediapar((NO3NH4!I4),1))</f>
        <v/>
      </c>
      <c r="D4" s="42" t="str">
        <f>IF(NO3NH4!J4="","",Mediapar((NO3NH4!J4),1))</f>
        <v/>
      </c>
      <c r="E4" s="42" t="str">
        <f t="shared" si="0"/>
        <v/>
      </c>
      <c r="F4" s="42" t="str">
        <f>IF(AND(C4="",D4=""),"",IF(AND(C4&lt;Datos!$G$2,D4&lt;Datos!$G$3),"&lt;",""))</f>
        <v/>
      </c>
      <c r="G4" s="42" t="str">
        <f>IF(AND(C4="",D4=""),"",IF(AND(C4&lt;Datos!$G$2,D4&lt;Datos!$G$3),Datos!$G$4,IF(C4&lt;Datos!$G$2,D4,IF(D4&lt;Datos!$G$3,C4,(C4+D4)))))</f>
        <v/>
      </c>
    </row>
    <row r="5" spans="1:7" x14ac:dyDescent="0.25">
      <c r="A5" s="36" t="str">
        <f>IF(NO3NH4!A5="","",NO3NH4!A5)</f>
        <v/>
      </c>
      <c r="B5" s="37" t="str">
        <f>IF(NO3NH4!B5="","",NO3NH4!B5)</f>
        <v/>
      </c>
      <c r="C5" s="42" t="str">
        <f>IF(NO3NH4!I5="","",Mediapar((NO3NH4!I5),1))</f>
        <v/>
      </c>
      <c r="D5" s="42" t="str">
        <f>IF(NO3NH4!J5="","",Mediapar((NO3NH4!J5),1))</f>
        <v/>
      </c>
      <c r="E5" s="42" t="str">
        <f t="shared" si="0"/>
        <v/>
      </c>
      <c r="F5" s="42" t="str">
        <f>IF(AND(C5="",D5=""),"",IF(AND(C5&lt;Datos!$G$2,D5&lt;Datos!$G$3),"&lt;",""))</f>
        <v/>
      </c>
      <c r="G5" s="42" t="str">
        <f>IF(AND(C5="",D5=""),"",IF(AND(C5&lt;Datos!$G$2,D5&lt;Datos!$G$3),Datos!$G$4,IF(C5&lt;Datos!$G$2,D5,IF(D5&lt;Datos!$G$3,C5,(C5+D5)))))</f>
        <v/>
      </c>
    </row>
    <row r="6" spans="1:7" x14ac:dyDescent="0.25">
      <c r="A6" s="36" t="str">
        <f>IF(NO3NH4!A6="","",NO3NH4!A6)</f>
        <v/>
      </c>
      <c r="B6" s="37" t="str">
        <f>IF(NO3NH4!B6="","",NO3NH4!B6)</f>
        <v/>
      </c>
      <c r="C6" s="42" t="str">
        <f>IF(NO3NH4!I6="","",Mediapar((NO3NH4!I6),1))</f>
        <v/>
      </c>
      <c r="D6" s="42" t="str">
        <f>IF(NO3NH4!J6="","",Mediapar((NO3NH4!J6),1))</f>
        <v/>
      </c>
      <c r="E6" s="42" t="str">
        <f t="shared" si="0"/>
        <v/>
      </c>
      <c r="F6" s="42" t="str">
        <f>IF(AND(C6="",D6=""),"",IF(AND(C6&lt;Datos!$G$2,D6&lt;Datos!$G$3),"&lt;",""))</f>
        <v/>
      </c>
      <c r="G6" s="42" t="str">
        <f>IF(AND(C6="",D6=""),"",IF(AND(C6&lt;Datos!$G$2,D6&lt;Datos!$G$3),Datos!$G$4,IF(C6&lt;Datos!$G$2,D6,IF(D6&lt;Datos!$G$3,C6,(C6+D6)))))</f>
        <v/>
      </c>
    </row>
    <row r="7" spans="1:7" x14ac:dyDescent="0.25">
      <c r="A7" s="36" t="str">
        <f>IF(NO3NH4!A7="","",NO3NH4!A7)</f>
        <v/>
      </c>
      <c r="B7" s="37" t="str">
        <f>IF(NO3NH4!B7="","",NO3NH4!B7)</f>
        <v/>
      </c>
      <c r="C7" s="42" t="str">
        <f>IF(NO3NH4!I7="","",Mediapar((NO3NH4!I7),1))</f>
        <v/>
      </c>
      <c r="D7" s="42" t="str">
        <f>IF(NO3NH4!J7="","",Mediapar((NO3NH4!J7),1))</f>
        <v/>
      </c>
      <c r="E7" s="42" t="str">
        <f t="shared" si="0"/>
        <v/>
      </c>
      <c r="F7" s="42" t="str">
        <f>IF(AND(C7="",D7=""),"",IF(AND(C7&lt;Datos!$G$2,D7&lt;Datos!$G$3),"&lt;",""))</f>
        <v/>
      </c>
      <c r="G7" s="42" t="str">
        <f>IF(AND(C7="",D7=""),"",IF(AND(C7&lt;Datos!$G$2,D7&lt;Datos!$G$3),Datos!$G$4,IF(C7&lt;Datos!$G$2,D7,IF(D7&lt;Datos!$G$3,C7,(C7+D7)))))</f>
        <v/>
      </c>
    </row>
    <row r="8" spans="1:7" x14ac:dyDescent="0.25">
      <c r="A8" s="36" t="str">
        <f>IF(NO3NH4!A8="","",NO3NH4!A8)</f>
        <v/>
      </c>
      <c r="B8" s="37" t="str">
        <f>IF(NO3NH4!B8="","",NO3NH4!B8)</f>
        <v/>
      </c>
      <c r="C8" s="42" t="str">
        <f>IF(NO3NH4!I8="","",Mediapar((NO3NH4!I8),1))</f>
        <v/>
      </c>
      <c r="D8" s="42" t="str">
        <f>IF(NO3NH4!J8="","",Mediapar((NO3NH4!J8),1))</f>
        <v/>
      </c>
      <c r="E8" s="42" t="str">
        <f t="shared" si="0"/>
        <v/>
      </c>
      <c r="F8" s="42" t="str">
        <f>IF(AND(C8="",D8=""),"",IF(AND(C8&lt;Datos!$G$2,D8&lt;Datos!$G$3),"&lt;",""))</f>
        <v/>
      </c>
      <c r="G8" s="42" t="str">
        <f>IF(AND(C8="",D8=""),"",IF(AND(C8&lt;Datos!$G$2,D8&lt;Datos!$G$3),Datos!$G$4,IF(C8&lt;Datos!$G$2,D8,IF(D8&lt;Datos!$G$3,C8,(C8+D8)))))</f>
        <v/>
      </c>
    </row>
    <row r="9" spans="1:7" x14ac:dyDescent="0.25">
      <c r="A9" s="36" t="str">
        <f>IF(NO3NH4!A9="","",NO3NH4!A9)</f>
        <v/>
      </c>
      <c r="B9" s="37" t="str">
        <f>IF(NO3NH4!B9="","",NO3NH4!B9)</f>
        <v/>
      </c>
      <c r="C9" s="42" t="str">
        <f>IF(NO3NH4!I9="","",Mediapar((NO3NH4!I9),1))</f>
        <v/>
      </c>
      <c r="D9" s="42" t="str">
        <f>IF(NO3NH4!J9="","",Mediapar((NO3NH4!J9),1))</f>
        <v/>
      </c>
      <c r="E9" s="42" t="str">
        <f t="shared" si="0"/>
        <v/>
      </c>
      <c r="F9" s="42" t="str">
        <f>IF(AND(C9="",D9=""),"",IF(AND(C9&lt;Datos!$G$2,D9&lt;Datos!$G$3),"&lt;",""))</f>
        <v/>
      </c>
      <c r="G9" s="42" t="str">
        <f>IF(AND(C9="",D9=""),"",IF(AND(C9&lt;Datos!$G$2,D9&lt;Datos!$G$3),Datos!$G$4,IF(C9&lt;Datos!$G$2,D9,IF(D9&lt;Datos!$G$3,C9,(C9+D9)))))</f>
        <v/>
      </c>
    </row>
    <row r="10" spans="1:7" x14ac:dyDescent="0.25">
      <c r="A10" s="36" t="str">
        <f>IF(NO3NH4!A10="","",NO3NH4!A10)</f>
        <v/>
      </c>
      <c r="B10" s="37" t="str">
        <f>IF(NO3NH4!B10="","",NO3NH4!B10)</f>
        <v/>
      </c>
      <c r="C10" s="42" t="str">
        <f>IF(NO3NH4!I10="","",Mediapar((NO3NH4!I10),1))</f>
        <v/>
      </c>
      <c r="D10" s="42" t="str">
        <f>IF(NO3NH4!J10="","",Mediapar((NO3NH4!J10),1))</f>
        <v/>
      </c>
      <c r="E10" s="42" t="str">
        <f t="shared" si="0"/>
        <v/>
      </c>
      <c r="F10" s="42" t="str">
        <f>IF(AND(C10="",D10=""),"",IF(AND(C10&lt;Datos!$G$2,D10&lt;Datos!$G$3),"&lt;",""))</f>
        <v/>
      </c>
      <c r="G10" s="42" t="str">
        <f>IF(AND(C10="",D10=""),"",IF(AND(C10&lt;Datos!$G$2,D10&lt;Datos!$G$3),Datos!$G$4,IF(C10&lt;Datos!$G$2,D10,IF(D10&lt;Datos!$G$3,C10,(C10+D10)))))</f>
        <v/>
      </c>
    </row>
    <row r="11" spans="1:7" x14ac:dyDescent="0.25">
      <c r="A11" s="36" t="str">
        <f>IF(NO3NH4!A11="","",NO3NH4!A11)</f>
        <v/>
      </c>
      <c r="B11" s="37" t="str">
        <f>IF(NO3NH4!B11="","",NO3NH4!B11)</f>
        <v/>
      </c>
      <c r="C11" s="42" t="str">
        <f>IF(NO3NH4!I11="","",Mediapar((NO3NH4!I11),1))</f>
        <v/>
      </c>
      <c r="D11" s="42" t="str">
        <f>IF(NO3NH4!J11="","",Mediapar((NO3NH4!J11),1))</f>
        <v/>
      </c>
      <c r="E11" s="42" t="str">
        <f t="shared" si="0"/>
        <v/>
      </c>
      <c r="F11" s="42" t="str">
        <f>IF(AND(C11="",D11=""),"",IF(AND(C11&lt;Datos!$G$2,D11&lt;Datos!$G$3),"&lt;",""))</f>
        <v/>
      </c>
      <c r="G11" s="42" t="str">
        <f>IF(AND(C11="",D11=""),"",IF(AND(C11&lt;Datos!$G$2,D11&lt;Datos!$G$3),Datos!$G$4,IF(C11&lt;Datos!$G$2,D11,IF(D11&lt;Datos!$G$3,C11,(C11+D11)))))</f>
        <v/>
      </c>
    </row>
    <row r="12" spans="1:7" x14ac:dyDescent="0.25">
      <c r="A12" s="36" t="str">
        <f>IF(NO3NH4!A12="","",NO3NH4!A12)</f>
        <v/>
      </c>
      <c r="B12" s="37" t="str">
        <f>IF(NO3NH4!B12="","",NO3NH4!B12)</f>
        <v/>
      </c>
      <c r="C12" s="42" t="str">
        <f>IF(NO3NH4!I12="","",Mediapar((NO3NH4!I12),1))</f>
        <v/>
      </c>
      <c r="D12" s="42" t="str">
        <f>IF(NO3NH4!J12="","",Mediapar((NO3NH4!J12),1))</f>
        <v/>
      </c>
      <c r="E12" s="42" t="str">
        <f t="shared" si="0"/>
        <v/>
      </c>
      <c r="F12" s="42" t="str">
        <f>IF(AND(C12="",D12=""),"",IF(AND(C12&lt;Datos!$G$2,D12&lt;Datos!$G$3),"&lt;",""))</f>
        <v/>
      </c>
      <c r="G12" s="42" t="str">
        <f>IF(AND(C12="",D12=""),"",IF(AND(C12&lt;Datos!$G$2,D12&lt;Datos!$G$3),Datos!$G$4,IF(C12&lt;Datos!$G$2,D12,IF(D12&lt;Datos!$G$3,C12,(C12+D12)))))</f>
        <v/>
      </c>
    </row>
    <row r="13" spans="1:7" x14ac:dyDescent="0.25">
      <c r="A13" s="36" t="str">
        <f>IF(NO3NH4!A13="","",NO3NH4!A13)</f>
        <v/>
      </c>
      <c r="B13" s="37" t="str">
        <f>IF(NO3NH4!B13="","",NO3NH4!B13)</f>
        <v/>
      </c>
      <c r="C13" s="42" t="str">
        <f>IF(NO3NH4!I13="","",Mediapar((NO3NH4!I13),1))</f>
        <v/>
      </c>
      <c r="D13" s="42" t="str">
        <f>IF(NO3NH4!J13="","",Mediapar((NO3NH4!J13),1))</f>
        <v/>
      </c>
      <c r="E13" s="42" t="str">
        <f t="shared" si="0"/>
        <v/>
      </c>
      <c r="F13" s="42" t="str">
        <f>IF(AND(C13="",D13=""),"",IF(AND(C13&lt;Datos!$G$2,D13&lt;Datos!$G$3),"&lt;",""))</f>
        <v/>
      </c>
      <c r="G13" s="42" t="str">
        <f>IF(AND(C13="",D13=""),"",IF(AND(C13&lt;Datos!$G$2,D13&lt;Datos!$G$3),Datos!$G$4,IF(C13&lt;Datos!$G$2,D13,IF(D13&lt;Datos!$G$3,C13,(C13+D13)))))</f>
        <v/>
      </c>
    </row>
    <row r="14" spans="1:7" x14ac:dyDescent="0.25">
      <c r="A14" s="36" t="str">
        <f>IF(NO3NH4!A14="","",NO3NH4!A14)</f>
        <v/>
      </c>
      <c r="B14" s="37" t="str">
        <f>IF(NO3NH4!B14="","",NO3NH4!B14)</f>
        <v/>
      </c>
      <c r="C14" s="42" t="str">
        <f>IF(NO3NH4!I14="","",Mediapar((NO3NH4!I14),1))</f>
        <v/>
      </c>
      <c r="D14" s="42" t="str">
        <f>IF(NO3NH4!J14="","",Mediapar((NO3NH4!J14),1))</f>
        <v/>
      </c>
      <c r="E14" s="42" t="str">
        <f t="shared" si="0"/>
        <v/>
      </c>
      <c r="F14" s="42" t="str">
        <f>IF(AND(C14="",D14=""),"",IF(AND(C14&lt;Datos!$G$2,D14&lt;Datos!$G$3),"&lt;",""))</f>
        <v/>
      </c>
      <c r="G14" s="42" t="str">
        <f>IF(AND(C14="",D14=""),"",IF(AND(C14&lt;Datos!$G$2,D14&lt;Datos!$G$3),Datos!$G$4,IF(C14&lt;Datos!$G$2,D14,IF(D14&lt;Datos!$G$3,C14,(C14+D14)))))</f>
        <v/>
      </c>
    </row>
    <row r="15" spans="1:7" x14ac:dyDescent="0.25">
      <c r="A15" s="36" t="str">
        <f>IF(NO3NH4!A15="","",NO3NH4!A15)</f>
        <v/>
      </c>
      <c r="B15" s="37" t="str">
        <f>IF(NO3NH4!B15="","",NO3NH4!B15)</f>
        <v/>
      </c>
      <c r="C15" s="42" t="str">
        <f>IF(NO3NH4!I15="","",Mediapar((NO3NH4!I15),1))</f>
        <v/>
      </c>
      <c r="D15" s="42" t="str">
        <f>IF(NO3NH4!J15="","",Mediapar((NO3NH4!J15),1))</f>
        <v/>
      </c>
      <c r="E15" s="42" t="str">
        <f t="shared" si="0"/>
        <v/>
      </c>
      <c r="F15" s="42" t="str">
        <f>IF(AND(C15="",D15=""),"",IF(AND(C15&lt;Datos!$G$2,D15&lt;Datos!$G$3),"&lt;",""))</f>
        <v/>
      </c>
      <c r="G15" s="42" t="str">
        <f>IF(AND(C15="",D15=""),"",IF(AND(C15&lt;Datos!$G$2,D15&lt;Datos!$G$3),Datos!$G$4,IF(C15&lt;Datos!$G$2,D15,IF(D15&lt;Datos!$G$3,C15,(C15+D15)))))</f>
        <v/>
      </c>
    </row>
    <row r="16" spans="1:7" x14ac:dyDescent="0.25">
      <c r="A16" s="36" t="str">
        <f>IF(NO3NH4!A16="","",NO3NH4!A16)</f>
        <v/>
      </c>
      <c r="B16" s="37" t="str">
        <f>IF(NO3NH4!B16="","",NO3NH4!B16)</f>
        <v/>
      </c>
      <c r="C16" s="42" t="str">
        <f>IF(NO3NH4!I16="","",Mediapar((NO3NH4!I16),1))</f>
        <v/>
      </c>
      <c r="D16" s="42" t="str">
        <f>IF(NO3NH4!J16="","",Mediapar((NO3NH4!J16),1))</f>
        <v/>
      </c>
      <c r="E16" s="42" t="str">
        <f t="shared" si="0"/>
        <v/>
      </c>
      <c r="F16" s="42" t="str">
        <f>IF(AND(C16="",D16=""),"",IF(AND(C16&lt;Datos!$G$2,D16&lt;Datos!$G$3),"&lt;",""))</f>
        <v/>
      </c>
      <c r="G16" s="42" t="str">
        <f>IF(AND(C16="",D16=""),"",IF(AND(C16&lt;Datos!$G$2,D16&lt;Datos!$G$3),Datos!$G$4,IF(C16&lt;Datos!$G$2,D16,IF(D16&lt;Datos!$G$3,C16,(C16+D16)))))</f>
        <v/>
      </c>
    </row>
    <row r="17" spans="1:7" x14ac:dyDescent="0.25">
      <c r="A17" s="36" t="str">
        <f>IF(NO3NH4!A17="","",NO3NH4!A17)</f>
        <v/>
      </c>
      <c r="B17" s="37" t="str">
        <f>IF(NO3NH4!B17="","",NO3NH4!B17)</f>
        <v/>
      </c>
      <c r="C17" s="42" t="str">
        <f>IF(NO3NH4!I17="","",Mediapar((NO3NH4!I17),1))</f>
        <v/>
      </c>
      <c r="D17" s="42" t="str">
        <f>IF(NO3NH4!J17="","",Mediapar((NO3NH4!J17),1))</f>
        <v/>
      </c>
      <c r="E17" s="42" t="str">
        <f t="shared" si="0"/>
        <v/>
      </c>
      <c r="F17" s="42" t="str">
        <f>IF(AND(C17="",D17=""),"",IF(AND(C17&lt;Datos!$G$2,D17&lt;Datos!$G$3),"&lt;",""))</f>
        <v/>
      </c>
      <c r="G17" s="42" t="str">
        <f>IF(AND(C17="",D17=""),"",IF(AND(C17&lt;Datos!$G$2,D17&lt;Datos!$G$3),Datos!$G$4,IF(C17&lt;Datos!$G$2,D17,IF(D17&lt;Datos!$G$3,C17,(C17+D17)))))</f>
        <v/>
      </c>
    </row>
    <row r="18" spans="1:7" x14ac:dyDescent="0.25">
      <c r="A18" s="36" t="str">
        <f>IF(NO3NH4!A18="","",NO3NH4!A18)</f>
        <v/>
      </c>
      <c r="B18" s="37" t="str">
        <f>IF(NO3NH4!B18="","",NO3NH4!B18)</f>
        <v/>
      </c>
      <c r="C18" s="42" t="str">
        <f>IF(NO3NH4!I18="","",Mediapar((NO3NH4!I18),1))</f>
        <v/>
      </c>
      <c r="D18" s="42" t="str">
        <f>IF(NO3NH4!J18="","",Mediapar((NO3NH4!J18),1))</f>
        <v/>
      </c>
      <c r="E18" s="42" t="str">
        <f t="shared" si="0"/>
        <v/>
      </c>
      <c r="F18" s="42" t="str">
        <f>IF(AND(C18="",D18=""),"",IF(AND(C18&lt;Datos!$G$2,D18&lt;Datos!$G$3),"&lt;",""))</f>
        <v/>
      </c>
      <c r="G18" s="42" t="str">
        <f>IF(AND(C18="",D18=""),"",IF(AND(C18&lt;Datos!$G$2,D18&lt;Datos!$G$3),Datos!$G$4,IF(C18&lt;Datos!$G$2,D18,IF(D18&lt;Datos!$G$3,C18,(C18+D18)))))</f>
        <v/>
      </c>
    </row>
    <row r="19" spans="1:7" x14ac:dyDescent="0.25">
      <c r="A19" s="36" t="str">
        <f>IF(NO3NH4!A19="","",NO3NH4!A19)</f>
        <v/>
      </c>
      <c r="B19" s="37" t="str">
        <f>IF(NO3NH4!B19="","",NO3NH4!B19)</f>
        <v/>
      </c>
      <c r="C19" s="42" t="str">
        <f>IF(NO3NH4!I19="","",Mediapar((NO3NH4!I19),1))</f>
        <v/>
      </c>
      <c r="D19" s="42" t="str">
        <f>IF(NO3NH4!J19="","",Mediapar((NO3NH4!J19),1))</f>
        <v/>
      </c>
      <c r="E19" s="42" t="str">
        <f t="shared" si="0"/>
        <v/>
      </c>
      <c r="F19" s="42" t="str">
        <f>IF(AND(C19="",D19=""),"",IF(AND(C19&lt;Datos!$G$2,D19&lt;Datos!$G$3),"&lt;",""))</f>
        <v/>
      </c>
      <c r="G19" s="42" t="str">
        <f>IF(AND(C19="",D19=""),"",IF(AND(C19&lt;Datos!$G$2,D19&lt;Datos!$G$3),Datos!$G$4,IF(C19&lt;Datos!$G$2,D19,IF(D19&lt;Datos!$G$3,C19,(C19+D19)))))</f>
        <v/>
      </c>
    </row>
    <row r="20" spans="1:7" x14ac:dyDescent="0.25">
      <c r="A20" s="36" t="str">
        <f>IF(NO3NH4!A20="","",NO3NH4!A20)</f>
        <v/>
      </c>
      <c r="B20" s="37" t="str">
        <f>IF(NO3NH4!B20="","",NO3NH4!B20)</f>
        <v/>
      </c>
      <c r="C20" s="42" t="str">
        <f>IF(NO3NH4!I20="","",Mediapar((NO3NH4!I20),1))</f>
        <v/>
      </c>
      <c r="D20" s="42" t="str">
        <f>IF(NO3NH4!J20="","",Mediapar((NO3NH4!J20),1))</f>
        <v/>
      </c>
      <c r="E20" s="42" t="str">
        <f t="shared" si="0"/>
        <v/>
      </c>
      <c r="F20" s="42" t="str">
        <f>IF(AND(C20="",D20=""),"",IF(AND(C20&lt;Datos!$G$2,D20&lt;Datos!$G$3),"&lt;",""))</f>
        <v/>
      </c>
      <c r="G20" s="42" t="str">
        <f>IF(AND(C20="",D20=""),"",IF(AND(C20&lt;Datos!$G$2,D20&lt;Datos!$G$3),Datos!$G$4,IF(C20&lt;Datos!$G$2,D20,IF(D20&lt;Datos!$G$3,C20,(C20+D20)))))</f>
        <v/>
      </c>
    </row>
    <row r="21" spans="1:7" x14ac:dyDescent="0.25">
      <c r="A21" s="36" t="str">
        <f>IF(NO3NH4!A21="","",NO3NH4!A21)</f>
        <v/>
      </c>
      <c r="B21" s="37" t="str">
        <f>IF(NO3NH4!B21="","",NO3NH4!B21)</f>
        <v/>
      </c>
      <c r="C21" s="42" t="str">
        <f>IF(NO3NH4!I21="","",Mediapar((NO3NH4!I21),1))</f>
        <v/>
      </c>
      <c r="D21" s="42" t="str">
        <f>IF(NO3NH4!J21="","",Mediapar((NO3NH4!J21),1))</f>
        <v/>
      </c>
      <c r="E21" s="42" t="str">
        <f t="shared" si="0"/>
        <v/>
      </c>
      <c r="F21" s="42" t="str">
        <f>IF(AND(C21="",D21=""),"",IF(AND(C21&lt;Datos!$G$2,D21&lt;Datos!$G$3),"&lt;",""))</f>
        <v/>
      </c>
      <c r="G21" s="42" t="str">
        <f>IF(AND(C21="",D21=""),"",IF(AND(C21&lt;Datos!$G$2,D21&lt;Datos!$G$3),Datos!$G$4,IF(C21&lt;Datos!$G$2,D21,IF(D21&lt;Datos!$G$3,C21,(C21+D21)))))</f>
        <v/>
      </c>
    </row>
    <row r="22" spans="1:7" x14ac:dyDescent="0.25">
      <c r="A22" s="36" t="str">
        <f>IF(NO3NH4!A22="","",NO3NH4!A22)</f>
        <v/>
      </c>
      <c r="B22" s="37" t="str">
        <f>IF(NO3NH4!B22="","",NO3NH4!B22)</f>
        <v/>
      </c>
      <c r="C22" s="42" t="str">
        <f>IF(NO3NH4!I22="","",Mediapar((NO3NH4!I22),1))</f>
        <v/>
      </c>
      <c r="D22" s="42" t="str">
        <f>IF(NO3NH4!J22="","",Mediapar((NO3NH4!J22),1))</f>
        <v/>
      </c>
      <c r="E22" s="42" t="str">
        <f t="shared" si="0"/>
        <v/>
      </c>
      <c r="F22" s="42" t="str">
        <f>IF(AND(C22="",D22=""),"",IF(AND(C22&lt;Datos!$G$2,D22&lt;Datos!$G$3),"&lt;",""))</f>
        <v/>
      </c>
      <c r="G22" s="42" t="str">
        <f>IF(AND(C22="",D22=""),"",IF(AND(C22&lt;Datos!$G$2,D22&lt;Datos!$G$3),Datos!$G$4,IF(C22&lt;Datos!$G$2,D22,IF(D22&lt;Datos!$G$3,C22,(C22+D22)))))</f>
        <v/>
      </c>
    </row>
    <row r="23" spans="1:7" x14ac:dyDescent="0.25">
      <c r="A23" s="36" t="str">
        <f>IF(NO3NH4!A23="","",NO3NH4!A23)</f>
        <v/>
      </c>
      <c r="B23" s="37" t="str">
        <f>IF(NO3NH4!B23="","",NO3NH4!B23)</f>
        <v/>
      </c>
      <c r="C23" s="42" t="str">
        <f>IF(NO3NH4!I23="","",Mediapar((NO3NH4!I23),1))</f>
        <v/>
      </c>
      <c r="D23" s="42" t="str">
        <f>IF(NO3NH4!J23="","",Mediapar((NO3NH4!J23),1))</f>
        <v/>
      </c>
      <c r="E23" s="42" t="str">
        <f t="shared" si="0"/>
        <v/>
      </c>
      <c r="F23" s="42" t="str">
        <f>IF(AND(C23="",D23=""),"",IF(AND(C23&lt;Datos!$G$2,D23&lt;Datos!$G$3),"&lt;",""))</f>
        <v/>
      </c>
      <c r="G23" s="42" t="str">
        <f>IF(AND(C23="",D23=""),"",IF(AND(C23&lt;Datos!$G$2,D23&lt;Datos!$G$3),Datos!$G$4,IF(C23&lt;Datos!$G$2,D23,IF(D23&lt;Datos!$G$3,C23,(C23+D23)))))</f>
        <v/>
      </c>
    </row>
    <row r="24" spans="1:7" x14ac:dyDescent="0.25">
      <c r="A24" s="36" t="str">
        <f>IF(NO3NH4!A24="","",NO3NH4!A24)</f>
        <v/>
      </c>
      <c r="B24" s="37" t="str">
        <f>IF(NO3NH4!B24="","",NO3NH4!B24)</f>
        <v/>
      </c>
      <c r="C24" s="42" t="str">
        <f>IF(NO3NH4!I24="","",Mediapar((NO3NH4!I24),1))</f>
        <v/>
      </c>
      <c r="D24" s="42" t="str">
        <f>IF(NO3NH4!J24="","",Mediapar((NO3NH4!J24),1))</f>
        <v/>
      </c>
      <c r="E24" s="42" t="str">
        <f t="shared" si="0"/>
        <v/>
      </c>
      <c r="F24" s="42" t="str">
        <f>IF(AND(C24="",D24=""),"",IF(AND(C24&lt;Datos!$G$2,D24&lt;Datos!$G$3),"&lt;",""))</f>
        <v/>
      </c>
      <c r="G24" s="42" t="str">
        <f>IF(AND(C24="",D24=""),"",IF(AND(C24&lt;Datos!$G$2,D24&lt;Datos!$G$3),Datos!$G$4,IF(C24&lt;Datos!$G$2,D24,IF(D24&lt;Datos!$G$3,C24,(C24+D24)))))</f>
        <v/>
      </c>
    </row>
    <row r="25" spans="1:7" x14ac:dyDescent="0.25">
      <c r="A25" s="36" t="str">
        <f>IF(NO3NH4!A25="","",NO3NH4!A25)</f>
        <v/>
      </c>
      <c r="B25" s="37" t="str">
        <f>IF(NO3NH4!B25="","",NO3NH4!B25)</f>
        <v/>
      </c>
      <c r="C25" s="42" t="str">
        <f>IF(NO3NH4!I25="","",Mediapar((NO3NH4!I25),1))</f>
        <v/>
      </c>
      <c r="D25" s="42" t="str">
        <f>IF(NO3NH4!J25="","",Mediapar((NO3NH4!J25),1))</f>
        <v/>
      </c>
      <c r="E25" s="42" t="str">
        <f t="shared" si="0"/>
        <v/>
      </c>
      <c r="F25" s="42" t="str">
        <f>IF(AND(C25="",D25=""),"",IF(AND(C25&lt;Datos!$G$2,D25&lt;Datos!$G$3),"&lt;",""))</f>
        <v/>
      </c>
      <c r="G25" s="42" t="str">
        <f>IF(AND(C25="",D25=""),"",IF(AND(C25&lt;Datos!$G$2,D25&lt;Datos!$G$3),Datos!$G$4,IF(C25&lt;Datos!$G$2,D25,IF(D25&lt;Datos!$G$3,C25,(C25+D25)))))</f>
        <v/>
      </c>
    </row>
    <row r="26" spans="1:7" x14ac:dyDescent="0.25">
      <c r="A26" s="36" t="str">
        <f>IF(NO3NH4!A26="","",NO3NH4!A26)</f>
        <v/>
      </c>
      <c r="B26" s="37" t="str">
        <f>IF(NO3NH4!B26="","",NO3NH4!B26)</f>
        <v/>
      </c>
      <c r="C26" s="42" t="str">
        <f>IF(NO3NH4!I26="","",Mediapar((NO3NH4!I26),1))</f>
        <v/>
      </c>
      <c r="D26" s="42" t="str">
        <f>IF(NO3NH4!J26="","",Mediapar((NO3NH4!J26),1))</f>
        <v/>
      </c>
      <c r="E26" s="42" t="str">
        <f t="shared" si="0"/>
        <v/>
      </c>
      <c r="F26" s="42" t="str">
        <f>IF(AND(C26="",D26=""),"",IF(AND(C26&lt;Datos!$G$2,D26&lt;Datos!$G$3),"&lt;",""))</f>
        <v/>
      </c>
      <c r="G26" s="42" t="str">
        <f>IF(AND(C26="",D26=""),"",IF(AND(C26&lt;Datos!$G$2,D26&lt;Datos!$G$3),Datos!$G$4,IF(C26&lt;Datos!$G$2,D26,IF(D26&lt;Datos!$G$3,C26,(C26+D26)))))</f>
        <v/>
      </c>
    </row>
    <row r="27" spans="1:7" x14ac:dyDescent="0.25">
      <c r="A27" s="36" t="str">
        <f>IF(NO3NH4!A27="","",NO3NH4!A27)</f>
        <v/>
      </c>
      <c r="B27" s="37" t="str">
        <f>IF(NO3NH4!B27="","",NO3NH4!B27)</f>
        <v/>
      </c>
      <c r="C27" s="42" t="str">
        <f>IF(NO3NH4!I27="","",Mediapar((NO3NH4!I27),1))</f>
        <v/>
      </c>
      <c r="D27" s="42" t="str">
        <f>IF(NO3NH4!J27="","",Mediapar((NO3NH4!J27),1))</f>
        <v/>
      </c>
      <c r="E27" s="42" t="str">
        <f t="shared" si="0"/>
        <v/>
      </c>
      <c r="F27" s="42" t="str">
        <f>IF(AND(C27="",D27=""),"",IF(AND(C27&lt;Datos!$G$2,D27&lt;Datos!$G$3),"&lt;",""))</f>
        <v/>
      </c>
      <c r="G27" s="42" t="str">
        <f>IF(AND(C27="",D27=""),"",IF(AND(C27&lt;Datos!$G$2,D27&lt;Datos!$G$3),Datos!$G$4,IF(C27&lt;Datos!$G$2,D27,IF(D27&lt;Datos!$G$3,C27,(C27+D27)))))</f>
        <v/>
      </c>
    </row>
    <row r="28" spans="1:7" x14ac:dyDescent="0.25">
      <c r="A28" s="36" t="str">
        <f>IF(NO3NH4!A28="","",NO3NH4!A28)</f>
        <v/>
      </c>
      <c r="B28" s="37" t="str">
        <f>IF(NO3NH4!B28="","",NO3NH4!B28)</f>
        <v/>
      </c>
      <c r="C28" s="42" t="str">
        <f>IF(NO3NH4!I28="","",Mediapar((NO3NH4!I28),1))</f>
        <v/>
      </c>
      <c r="D28" s="42" t="str">
        <f>IF(NO3NH4!J28="","",Mediapar((NO3NH4!J28),1))</f>
        <v/>
      </c>
      <c r="E28" s="42" t="str">
        <f t="shared" si="0"/>
        <v/>
      </c>
      <c r="F28" s="42" t="str">
        <f>IF(AND(C28="",D28=""),"",IF(AND(C28&lt;Datos!$G$2,D28&lt;Datos!$G$3),"&lt;",""))</f>
        <v/>
      </c>
      <c r="G28" s="42" t="str">
        <f>IF(AND(C28="",D28=""),"",IF(AND(C28&lt;Datos!$G$2,D28&lt;Datos!$G$3),Datos!$G$4,IF(C28&lt;Datos!$G$2,D28,IF(D28&lt;Datos!$G$3,C28,(C28+D28)))))</f>
        <v/>
      </c>
    </row>
    <row r="29" spans="1:7" x14ac:dyDescent="0.25">
      <c r="A29" s="36" t="str">
        <f>IF(NO3NH4!A29="","",NO3NH4!A29)</f>
        <v/>
      </c>
      <c r="B29" s="37" t="str">
        <f>IF(NO3NH4!B29="","",NO3NH4!B29)</f>
        <v/>
      </c>
      <c r="C29" s="42" t="str">
        <f>IF(NO3NH4!I29="","",Mediapar((NO3NH4!I29),1))</f>
        <v/>
      </c>
      <c r="D29" s="42" t="str">
        <f>IF(NO3NH4!J29="","",Mediapar((NO3NH4!J29),1))</f>
        <v/>
      </c>
      <c r="E29" s="42" t="str">
        <f t="shared" si="0"/>
        <v/>
      </c>
      <c r="F29" s="42" t="str">
        <f>IF(AND(C29="",D29=""),"",IF(AND(C29&lt;Datos!$G$2,D29&lt;Datos!$G$3),"&lt;",""))</f>
        <v/>
      </c>
      <c r="G29" s="42" t="str">
        <f>IF(AND(C29="",D29=""),"",IF(AND(C29&lt;Datos!$G$2,D29&lt;Datos!$G$3),Datos!$G$4,IF(C29&lt;Datos!$G$2,D29,IF(D29&lt;Datos!$G$3,C29,(C29+D29)))))</f>
        <v/>
      </c>
    </row>
    <row r="30" spans="1:7" x14ac:dyDescent="0.25">
      <c r="A30" s="36" t="str">
        <f>IF(NO3NH4!A30="","",NO3NH4!A30)</f>
        <v/>
      </c>
      <c r="B30" s="37" t="str">
        <f>IF(NO3NH4!B30="","",NO3NH4!B30)</f>
        <v/>
      </c>
      <c r="C30" s="42" t="str">
        <f>IF(NO3NH4!I30="","",Mediapar((NO3NH4!I30),1))</f>
        <v/>
      </c>
      <c r="D30" s="42" t="str">
        <f>IF(NO3NH4!J30="","",Mediapar((NO3NH4!J30),1))</f>
        <v/>
      </c>
      <c r="E30" s="42" t="str">
        <f t="shared" si="0"/>
        <v/>
      </c>
      <c r="F30" s="42" t="str">
        <f>IF(AND(C30="",D30=""),"",IF(AND(C30&lt;Datos!$G$2,D30&lt;Datos!$G$3),"&lt;",""))</f>
        <v/>
      </c>
      <c r="G30" s="42" t="str">
        <f>IF(AND(C30="",D30=""),"",IF(AND(C30&lt;Datos!$G$2,D30&lt;Datos!$G$3),Datos!$G$4,IF(C30&lt;Datos!$G$2,D30,IF(D30&lt;Datos!$G$3,C30,(C30+D30)))))</f>
        <v/>
      </c>
    </row>
    <row r="31" spans="1:7" x14ac:dyDescent="0.25">
      <c r="A31" s="36" t="str">
        <f>IF(NO3NH4!A31="","",NO3NH4!A31)</f>
        <v/>
      </c>
      <c r="B31" s="37" t="str">
        <f>IF(NO3NH4!B31="","",NO3NH4!B31)</f>
        <v/>
      </c>
      <c r="C31" s="42" t="str">
        <f>IF(NO3NH4!I31="","",Mediapar((NO3NH4!I31),1))</f>
        <v/>
      </c>
      <c r="D31" s="42" t="str">
        <f>IF(NO3NH4!J31="","",Mediapar((NO3NH4!J31),1))</f>
        <v/>
      </c>
      <c r="E31" s="42" t="str">
        <f t="shared" si="0"/>
        <v/>
      </c>
      <c r="F31" s="42" t="str">
        <f>IF(AND(C31="",D31=""),"",IF(AND(C31&lt;Datos!$G$2,D31&lt;Datos!$G$3),"&lt;",""))</f>
        <v/>
      </c>
      <c r="G31" s="42" t="str">
        <f>IF(AND(C31="",D31=""),"",IF(AND(C31&lt;Datos!$G$2,D31&lt;Datos!$G$3),Datos!$G$4,IF(C31&lt;Datos!$G$2,D31,IF(D31&lt;Datos!$G$3,C31,(C31+D31)))))</f>
        <v/>
      </c>
    </row>
    <row r="32" spans="1:7" x14ac:dyDescent="0.25">
      <c r="A32" s="36" t="str">
        <f>IF(NO3NH4!A32="","",NO3NH4!A32)</f>
        <v/>
      </c>
      <c r="B32" s="37" t="str">
        <f>IF(NO3NH4!B32="","",NO3NH4!B32)</f>
        <v/>
      </c>
      <c r="C32" s="42" t="str">
        <f>IF(NO3NH4!I32="","",Mediapar((NO3NH4!I32),1))</f>
        <v/>
      </c>
      <c r="D32" s="42" t="str">
        <f>IF(NO3NH4!J32="","",Mediapar((NO3NH4!J32),1))</f>
        <v/>
      </c>
      <c r="E32" s="42" t="str">
        <f t="shared" si="0"/>
        <v/>
      </c>
      <c r="F32" s="42" t="str">
        <f>IF(AND(C32="",D32=""),"",IF(AND(C32&lt;Datos!$G$2,D32&lt;Datos!$G$3),"&lt;",""))</f>
        <v/>
      </c>
      <c r="G32" s="42" t="str">
        <f>IF(AND(C32="",D32=""),"",IF(AND(C32&lt;Datos!$G$2,D32&lt;Datos!$G$3),Datos!$G$4,IF(C32&lt;Datos!$G$2,D32,IF(D32&lt;Datos!$G$3,C32,(C32+D32)))))</f>
        <v/>
      </c>
    </row>
    <row r="33" spans="1:7" x14ac:dyDescent="0.25">
      <c r="A33" s="36" t="str">
        <f>IF(NO3NH4!A33="","",NO3NH4!A33)</f>
        <v/>
      </c>
      <c r="B33" s="37" t="str">
        <f>IF(NO3NH4!B33="","",NO3NH4!B33)</f>
        <v/>
      </c>
      <c r="C33" s="42" t="str">
        <f>IF(NO3NH4!I33="","",Mediapar((NO3NH4!I33),1))</f>
        <v/>
      </c>
      <c r="D33" s="42" t="str">
        <f>IF(NO3NH4!J33="","",Mediapar((NO3NH4!J33),1))</f>
        <v/>
      </c>
      <c r="E33" s="42" t="str">
        <f t="shared" si="0"/>
        <v/>
      </c>
      <c r="F33" s="42" t="str">
        <f>IF(AND(C33="",D33=""),"",IF(AND(C33&lt;Datos!$G$2,D33&lt;Datos!$G$3),"&lt;",""))</f>
        <v/>
      </c>
      <c r="G33" s="42" t="str">
        <f>IF(AND(C33="",D33=""),"",IF(AND(C33&lt;Datos!$G$2,D33&lt;Datos!$G$3),Datos!$G$4,IF(C33&lt;Datos!$G$2,D33,IF(D33&lt;Datos!$G$3,C33,(C33+D33)))))</f>
        <v/>
      </c>
    </row>
    <row r="34" spans="1:7" x14ac:dyDescent="0.25">
      <c r="A34" s="36" t="str">
        <f>IF(NO3NH4!A34="","",NO3NH4!A34)</f>
        <v/>
      </c>
      <c r="B34" s="37" t="str">
        <f>IF(NO3NH4!B34="","",NO3NH4!B34)</f>
        <v/>
      </c>
      <c r="C34" s="42" t="str">
        <f>IF(NO3NH4!I34="","",Mediapar((NO3NH4!I34),1))</f>
        <v/>
      </c>
      <c r="D34" s="42" t="str">
        <f>IF(NO3NH4!J34="","",Mediapar((NO3NH4!J34),1))</f>
        <v/>
      </c>
      <c r="E34" s="42" t="str">
        <f t="shared" si="0"/>
        <v/>
      </c>
      <c r="F34" s="42" t="str">
        <f>IF(AND(C34="",D34=""),"",IF(AND(C34&lt;Datos!$G$2,D34&lt;Datos!$G$3),"&lt;",""))</f>
        <v/>
      </c>
      <c r="G34" s="42" t="str">
        <f>IF(AND(C34="",D34=""),"",IF(AND(C34&lt;Datos!$G$2,D34&lt;Datos!$G$3),Datos!$G$4,IF(C34&lt;Datos!$G$2,D34,IF(D34&lt;Datos!$G$3,C34,(C34+D34)))))</f>
        <v/>
      </c>
    </row>
    <row r="35" spans="1:7" x14ac:dyDescent="0.25">
      <c r="A35" s="36" t="str">
        <f>IF(NO3NH4!A35="","",NO3NH4!A35)</f>
        <v/>
      </c>
      <c r="B35" s="37" t="str">
        <f>IF(NO3NH4!B35="","",NO3NH4!B35)</f>
        <v/>
      </c>
      <c r="C35" s="42" t="str">
        <f>IF(NO3NH4!I35="","",Mediapar((NO3NH4!I35),1))</f>
        <v/>
      </c>
      <c r="D35" s="42" t="str">
        <f>IF(NO3NH4!J35="","",Mediapar((NO3NH4!J35),1))</f>
        <v/>
      </c>
      <c r="E35" s="42" t="str">
        <f t="shared" si="0"/>
        <v/>
      </c>
      <c r="F35" s="42" t="str">
        <f>IF(AND(C35="",D35=""),"",IF(AND(C35&lt;Datos!$G$2,D35&lt;Datos!$G$3),"&lt;",""))</f>
        <v/>
      </c>
      <c r="G35" s="42" t="str">
        <f>IF(AND(C35="",D35=""),"",IF(AND(C35&lt;Datos!$G$2,D35&lt;Datos!$G$3),Datos!$G$4,IF(C35&lt;Datos!$G$2,D35,IF(D35&lt;Datos!$G$3,C35,(C35+D35)))))</f>
        <v/>
      </c>
    </row>
    <row r="36" spans="1:7" x14ac:dyDescent="0.25">
      <c r="A36" s="36" t="str">
        <f>IF(NO3NH4!A36="","",NO3NH4!A36)</f>
        <v/>
      </c>
      <c r="B36" s="37" t="str">
        <f>IF(NO3NH4!B36="","",NO3NH4!B36)</f>
        <v/>
      </c>
      <c r="C36" s="42" t="str">
        <f>IF(NO3NH4!I36="","",Mediapar((NO3NH4!I36),1))</f>
        <v/>
      </c>
      <c r="D36" s="42" t="str">
        <f>IF(NO3NH4!J36="","",Mediapar((NO3NH4!J36),1))</f>
        <v/>
      </c>
      <c r="E36" s="42" t="str">
        <f t="shared" si="0"/>
        <v/>
      </c>
      <c r="F36" s="42" t="str">
        <f>IF(AND(C36="",D36=""),"",IF(AND(C36&lt;Datos!$G$2,D36&lt;Datos!$G$3),"&lt;",""))</f>
        <v/>
      </c>
      <c r="G36" s="42" t="str">
        <f>IF(AND(C36="",D36=""),"",IF(AND(C36&lt;Datos!$G$2,D36&lt;Datos!$G$3),Datos!$G$4,IF(C36&lt;Datos!$G$2,D36,IF(D36&lt;Datos!$G$3,C36,(C36+D36)))))</f>
        <v/>
      </c>
    </row>
    <row r="37" spans="1:7" x14ac:dyDescent="0.25">
      <c r="A37" s="36" t="str">
        <f>IF(NO3NH4!A37="","",NO3NH4!A37)</f>
        <v/>
      </c>
      <c r="B37" s="37" t="str">
        <f>IF(NO3NH4!B37="","",NO3NH4!B37)</f>
        <v/>
      </c>
      <c r="C37" s="42" t="str">
        <f>IF(NO3NH4!I37="","",Mediapar((NO3NH4!I37),1))</f>
        <v/>
      </c>
      <c r="D37" s="42" t="str">
        <f>IF(NO3NH4!J37="","",Mediapar((NO3NH4!J37),1))</f>
        <v/>
      </c>
      <c r="E37" s="42" t="str">
        <f t="shared" si="0"/>
        <v/>
      </c>
      <c r="F37" s="42" t="str">
        <f>IF(AND(C37="",D37=""),"",IF(AND(C37&lt;Datos!$G$2,D37&lt;Datos!$G$3),"&lt;",""))</f>
        <v/>
      </c>
      <c r="G37" s="42" t="str">
        <f>IF(AND(C37="",D37=""),"",IF(AND(C37&lt;Datos!$G$2,D37&lt;Datos!$G$3),Datos!$G$4,IF(C37&lt;Datos!$G$2,D37,IF(D37&lt;Datos!$G$3,C37,(C37+D37)))))</f>
        <v/>
      </c>
    </row>
    <row r="38" spans="1:7" x14ac:dyDescent="0.25">
      <c r="A38" s="36" t="str">
        <f>IF(NO3NH4!A38="","",NO3NH4!A38)</f>
        <v/>
      </c>
      <c r="B38" s="37" t="str">
        <f>IF(NO3NH4!B38="","",NO3NH4!B38)</f>
        <v/>
      </c>
      <c r="C38" s="42" t="str">
        <f>IF(NO3NH4!I38="","",Mediapar((NO3NH4!I38),1))</f>
        <v/>
      </c>
      <c r="D38" s="42" t="str">
        <f>IF(NO3NH4!J38="","",Mediapar((NO3NH4!J38),1))</f>
        <v/>
      </c>
      <c r="E38" s="42" t="str">
        <f t="shared" si="0"/>
        <v/>
      </c>
      <c r="F38" s="42" t="str">
        <f>IF(AND(C38="",D38=""),"",IF(AND(C38&lt;Datos!$G$2,D38&lt;Datos!$G$3),"&lt;",""))</f>
        <v/>
      </c>
      <c r="G38" s="42" t="str">
        <f>IF(AND(C38="",D38=""),"",IF(AND(C38&lt;Datos!$G$2,D38&lt;Datos!$G$3),Datos!$G$4,IF(C38&lt;Datos!$G$2,D38,IF(D38&lt;Datos!$G$3,C38,(C38+D38)))))</f>
        <v/>
      </c>
    </row>
    <row r="39" spans="1:7" x14ac:dyDescent="0.25">
      <c r="A39" s="36" t="str">
        <f>IF(NO3NH4!A39="","",NO3NH4!A39)</f>
        <v/>
      </c>
      <c r="B39" s="37" t="str">
        <f>IF(NO3NH4!B39="","",NO3NH4!B39)</f>
        <v/>
      </c>
      <c r="C39" s="42" t="str">
        <f>IF(NO3NH4!I39="","",Mediapar((NO3NH4!I39),1))</f>
        <v/>
      </c>
      <c r="D39" s="42" t="str">
        <f>IF(NO3NH4!J39="","",Mediapar((NO3NH4!J39),1))</f>
        <v/>
      </c>
      <c r="E39" s="42" t="str">
        <f t="shared" si="0"/>
        <v/>
      </c>
      <c r="F39" s="42" t="str">
        <f>IF(AND(C39="",D39=""),"",IF(AND(C39&lt;Datos!$G$2,D39&lt;Datos!$G$3),"&lt;",""))</f>
        <v/>
      </c>
      <c r="G39" s="42" t="str">
        <f>IF(AND(C39="",D39=""),"",IF(AND(C39&lt;Datos!$G$2,D39&lt;Datos!$G$3),Datos!$G$4,IF(C39&lt;Datos!$G$2,D39,IF(D39&lt;Datos!$G$3,C39,(C39+D39)))))</f>
        <v/>
      </c>
    </row>
    <row r="40" spans="1:7" x14ac:dyDescent="0.25">
      <c r="A40" s="36" t="str">
        <f>IF(NO3NH4!A40="","",NO3NH4!A40)</f>
        <v/>
      </c>
      <c r="B40" s="37" t="str">
        <f>IF(NO3NH4!B40="","",NO3NH4!B40)</f>
        <v/>
      </c>
      <c r="C40" s="42" t="str">
        <f>IF(NO3NH4!I40="","",Mediapar((NO3NH4!I40),1))</f>
        <v/>
      </c>
      <c r="D40" s="42" t="str">
        <f>IF(NO3NH4!J40="","",Mediapar((NO3NH4!J40),1))</f>
        <v/>
      </c>
      <c r="E40" s="42" t="str">
        <f t="shared" si="0"/>
        <v/>
      </c>
      <c r="F40" s="42" t="str">
        <f>IF(AND(C40="",D40=""),"",IF(AND(C40&lt;Datos!$G$2,D40&lt;Datos!$G$3),"&lt;",""))</f>
        <v/>
      </c>
      <c r="G40" s="42" t="str">
        <f>IF(AND(C40="",D40=""),"",IF(AND(C40&lt;Datos!$G$2,D40&lt;Datos!$G$3),Datos!$G$4,IF(C40&lt;Datos!$G$2,D40,IF(D40&lt;Datos!$G$3,C40,(C40+D40)))))</f>
        <v/>
      </c>
    </row>
    <row r="41" spans="1:7" x14ac:dyDescent="0.25">
      <c r="A41" s="36" t="str">
        <f>IF(NO3NH4!A41="","",NO3NH4!A41)</f>
        <v/>
      </c>
      <c r="B41" s="37" t="str">
        <f>IF(NO3NH4!B41="","",NO3NH4!B41)</f>
        <v/>
      </c>
      <c r="C41" s="42" t="str">
        <f>IF(NO3NH4!I41="","",Mediapar((NO3NH4!I41),1))</f>
        <v/>
      </c>
      <c r="D41" s="42" t="str">
        <f>IF(NO3NH4!J41="","",Mediapar((NO3NH4!J41),1))</f>
        <v/>
      </c>
      <c r="E41" s="42" t="str">
        <f t="shared" si="0"/>
        <v/>
      </c>
      <c r="F41" s="42" t="str">
        <f>IF(AND(C41="",D41=""),"",IF(AND(C41&lt;Datos!$G$2,D41&lt;Datos!$G$3),"&lt;",""))</f>
        <v/>
      </c>
      <c r="G41" s="42" t="str">
        <f>IF(AND(C41="",D41=""),"",IF(AND(C41&lt;Datos!$G$2,D41&lt;Datos!$G$3),Datos!$G$4,IF(C41&lt;Datos!$G$2,D41,IF(D41&lt;Datos!$G$3,C41,(C41+D41)))))</f>
        <v/>
      </c>
    </row>
    <row r="42" spans="1:7" x14ac:dyDescent="0.25">
      <c r="A42" s="36" t="str">
        <f>IF(NO3NH4!A42="","",NO3NH4!A42)</f>
        <v/>
      </c>
      <c r="B42" s="37" t="str">
        <f>IF(NO3NH4!B42="","",NO3NH4!B42)</f>
        <v/>
      </c>
      <c r="C42" s="42" t="str">
        <f>IF(NO3NH4!I42="","",Mediapar((NO3NH4!I42),1))</f>
        <v/>
      </c>
      <c r="D42" s="42" t="str">
        <f>IF(NO3NH4!J42="","",Mediapar((NO3NH4!J42),1))</f>
        <v/>
      </c>
      <c r="E42" s="42" t="str">
        <f t="shared" si="0"/>
        <v/>
      </c>
      <c r="F42" s="42" t="str">
        <f>IF(AND(C42="",D42=""),"",IF(AND(C42&lt;Datos!$G$2,D42&lt;Datos!$G$3),"&lt;",""))</f>
        <v/>
      </c>
      <c r="G42" s="42" t="str">
        <f>IF(AND(C42="",D42=""),"",IF(AND(C42&lt;Datos!$G$2,D42&lt;Datos!$G$3),Datos!$G$4,IF(C42&lt;Datos!$G$2,D42,IF(D42&lt;Datos!$G$3,C42,(C42+D42)))))</f>
        <v/>
      </c>
    </row>
    <row r="43" spans="1:7" x14ac:dyDescent="0.25">
      <c r="A43" s="36" t="str">
        <f>IF(NO3NH4!A43="","",NO3NH4!A43)</f>
        <v/>
      </c>
      <c r="B43" s="37" t="str">
        <f>IF(NO3NH4!B43="","",NO3NH4!B43)</f>
        <v/>
      </c>
      <c r="C43" s="42" t="str">
        <f>IF(NO3NH4!I43="","",Mediapar((NO3NH4!I43),1))</f>
        <v/>
      </c>
      <c r="D43" s="42" t="str">
        <f>IF(NO3NH4!J43="","",Mediapar((NO3NH4!J43),1))</f>
        <v/>
      </c>
      <c r="E43" s="42" t="str">
        <f t="shared" si="0"/>
        <v/>
      </c>
      <c r="F43" s="42" t="str">
        <f>IF(AND(C43="",D43=""),"",IF(AND(C43&lt;Datos!$G$2,D43&lt;Datos!$G$3),"&lt;",""))</f>
        <v/>
      </c>
      <c r="G43" s="42" t="str">
        <f>IF(AND(C43="",D43=""),"",IF(AND(C43&lt;Datos!$G$2,D43&lt;Datos!$G$3),Datos!$G$4,IF(C43&lt;Datos!$G$2,D43,IF(D43&lt;Datos!$G$3,C43,(C43+D43)))))</f>
        <v/>
      </c>
    </row>
    <row r="44" spans="1:7" x14ac:dyDescent="0.25">
      <c r="A44" s="36" t="str">
        <f>IF(NO3NH4!A44="","",NO3NH4!A44)</f>
        <v/>
      </c>
      <c r="B44" s="37" t="str">
        <f>IF(NO3NH4!B44="","",NO3NH4!B44)</f>
        <v/>
      </c>
      <c r="C44" s="42" t="str">
        <f>IF(NO3NH4!I44="","",Mediapar((NO3NH4!I44),1))</f>
        <v/>
      </c>
      <c r="D44" s="42" t="str">
        <f>IF(NO3NH4!J44="","",Mediapar((NO3NH4!J44),1))</f>
        <v/>
      </c>
      <c r="E44" s="42" t="str">
        <f t="shared" si="0"/>
        <v/>
      </c>
      <c r="F44" s="42" t="str">
        <f>IF(AND(C44="",D44=""),"",IF(AND(C44&lt;Datos!$G$2,D44&lt;Datos!$G$3),"&lt;",""))</f>
        <v/>
      </c>
      <c r="G44" s="42" t="str">
        <f>IF(AND(C44="",D44=""),"",IF(AND(C44&lt;Datos!$G$2,D44&lt;Datos!$G$3),Datos!$G$4,IF(C44&lt;Datos!$G$2,D44,IF(D44&lt;Datos!$G$3,C44,(C44+D44)))))</f>
        <v/>
      </c>
    </row>
    <row r="45" spans="1:7" x14ac:dyDescent="0.25">
      <c r="A45" s="36" t="str">
        <f>IF(NO3NH4!A45="","",NO3NH4!A45)</f>
        <v/>
      </c>
      <c r="B45" s="37" t="str">
        <f>IF(NO3NH4!B45="","",NO3NH4!B45)</f>
        <v/>
      </c>
      <c r="C45" s="42" t="str">
        <f>IF(NO3NH4!I45="","",Mediapar((NO3NH4!I45),1))</f>
        <v/>
      </c>
      <c r="D45" s="42" t="str">
        <f>IF(NO3NH4!J45="","",Mediapar((NO3NH4!J45),1))</f>
        <v/>
      </c>
      <c r="E45" s="42" t="str">
        <f t="shared" si="0"/>
        <v/>
      </c>
      <c r="F45" s="42" t="str">
        <f>IF(AND(C45="",D45=""),"",IF(AND(C45&lt;Datos!$G$2,D45&lt;Datos!$G$3),"&lt;",""))</f>
        <v/>
      </c>
      <c r="G45" s="42" t="str">
        <f>IF(AND(C45="",D45=""),"",IF(AND(C45&lt;Datos!$G$2,D45&lt;Datos!$G$3),Datos!$G$4,IF(C45&lt;Datos!$G$2,D45,IF(D45&lt;Datos!$G$3,C45,(C45+D45)))))</f>
        <v/>
      </c>
    </row>
    <row r="46" spans="1:7" x14ac:dyDescent="0.25">
      <c r="A46" s="36" t="str">
        <f>IF(NO3NH4!A46="","",NO3NH4!A46)</f>
        <v/>
      </c>
      <c r="B46" s="37" t="str">
        <f>IF(NO3NH4!B46="","",NO3NH4!B46)</f>
        <v/>
      </c>
      <c r="C46" s="42" t="str">
        <f>IF(NO3NH4!I46="","",Mediapar((NO3NH4!I46),1))</f>
        <v/>
      </c>
      <c r="D46" s="42" t="str">
        <f>IF(NO3NH4!J46="","",Mediapar((NO3NH4!J46),1))</f>
        <v/>
      </c>
      <c r="E46" s="42" t="str">
        <f t="shared" si="0"/>
        <v/>
      </c>
      <c r="F46" s="42" t="str">
        <f>IF(AND(C46="",D46=""),"",IF(AND(C46&lt;Datos!$G$2,D46&lt;Datos!$G$3),"&lt;",""))</f>
        <v/>
      </c>
      <c r="G46" s="42" t="str">
        <f>IF(AND(C46="",D46=""),"",IF(AND(C46&lt;Datos!$G$2,D46&lt;Datos!$G$3),Datos!$G$4,IF(C46&lt;Datos!$G$2,D46,IF(D46&lt;Datos!$G$3,C46,(C46+D46)))))</f>
        <v/>
      </c>
    </row>
    <row r="47" spans="1:7" x14ac:dyDescent="0.25">
      <c r="A47" s="36" t="str">
        <f>IF(NO3NH4!A47="","",NO3NH4!A47)</f>
        <v/>
      </c>
      <c r="B47" s="37" t="str">
        <f>IF(NO3NH4!B47="","",NO3NH4!B47)</f>
        <v/>
      </c>
      <c r="C47" s="42" t="str">
        <f>IF(NO3NH4!I47="","",Mediapar((NO3NH4!I47),1))</f>
        <v/>
      </c>
      <c r="D47" s="42" t="str">
        <f>IF(NO3NH4!J47="","",Mediapar((NO3NH4!J47),1))</f>
        <v/>
      </c>
      <c r="E47" s="42" t="str">
        <f t="shared" si="0"/>
        <v/>
      </c>
      <c r="F47" s="42" t="str">
        <f>IF(AND(C47="",D47=""),"",IF(AND(C47&lt;Datos!$G$2,D47&lt;Datos!$G$3),"&lt;",""))</f>
        <v/>
      </c>
      <c r="G47" s="42" t="str">
        <f>IF(AND(C47="",D47=""),"",IF(AND(C47&lt;Datos!$G$2,D47&lt;Datos!$G$3),Datos!$G$4,IF(C47&lt;Datos!$G$2,D47,IF(D47&lt;Datos!$G$3,C47,(C47+D47)))))</f>
        <v/>
      </c>
    </row>
    <row r="48" spans="1:7" x14ac:dyDescent="0.25">
      <c r="A48" s="36" t="str">
        <f>IF(NO3NH4!A48="","",NO3NH4!A48)</f>
        <v/>
      </c>
      <c r="B48" s="37" t="str">
        <f>IF(NO3NH4!B48="","",NO3NH4!B48)</f>
        <v/>
      </c>
      <c r="C48" s="42" t="str">
        <f>IF(NO3NH4!I48="","",Mediapar((NO3NH4!I48),1))</f>
        <v/>
      </c>
      <c r="D48" s="42" t="str">
        <f>IF(NO3NH4!J48="","",Mediapar((NO3NH4!J48),1))</f>
        <v/>
      </c>
      <c r="E48" s="42" t="str">
        <f t="shared" si="0"/>
        <v/>
      </c>
      <c r="F48" s="42" t="str">
        <f>IF(AND(C48="",D48=""),"",IF(AND(C48&lt;Datos!$G$2,D48&lt;Datos!$G$3),"&lt;",""))</f>
        <v/>
      </c>
      <c r="G48" s="42" t="str">
        <f>IF(AND(C48="",D48=""),"",IF(AND(C48&lt;Datos!$G$2,D48&lt;Datos!$G$3),Datos!$G$4,IF(C48&lt;Datos!$G$2,D48,IF(D48&lt;Datos!$G$3,C48,(C48+D48)))))</f>
        <v/>
      </c>
    </row>
    <row r="49" spans="1:7" x14ac:dyDescent="0.25">
      <c r="A49" s="36" t="str">
        <f>IF(NO3NH4!A49="","",NO3NH4!A49)</f>
        <v/>
      </c>
      <c r="B49" s="37" t="str">
        <f>IF(NO3NH4!B49="","",NO3NH4!B49)</f>
        <v/>
      </c>
      <c r="C49" s="42" t="str">
        <f>IF(NO3NH4!I49="","",Mediapar((NO3NH4!I49),1))</f>
        <v/>
      </c>
      <c r="D49" s="42" t="str">
        <f>IF(NO3NH4!J49="","",Mediapar((NO3NH4!J49),1))</f>
        <v/>
      </c>
      <c r="E49" s="42" t="str">
        <f t="shared" si="0"/>
        <v/>
      </c>
      <c r="F49" s="42" t="str">
        <f>IF(AND(C49="",D49=""),"",IF(AND(C49&lt;Datos!$G$2,D49&lt;Datos!$G$3),"&lt;",""))</f>
        <v/>
      </c>
      <c r="G49" s="42" t="str">
        <f>IF(AND(C49="",D49=""),"",IF(AND(C49&lt;Datos!$G$2,D49&lt;Datos!$G$3),Datos!$G$4,IF(C49&lt;Datos!$G$2,D49,IF(D49&lt;Datos!$G$3,C49,(C49+D49)))))</f>
        <v/>
      </c>
    </row>
    <row r="50" spans="1:7" x14ac:dyDescent="0.25">
      <c r="A50" s="36" t="str">
        <f>IF(NO3NH4!A50="","",NO3NH4!A50)</f>
        <v/>
      </c>
      <c r="B50" s="37" t="str">
        <f>IF(NO3NH4!B50="","",NO3NH4!B50)</f>
        <v/>
      </c>
      <c r="C50" s="42" t="str">
        <f>IF(NO3NH4!I50="","",Mediapar((NO3NH4!I50),1))</f>
        <v/>
      </c>
      <c r="D50" s="42" t="str">
        <f>IF(NO3NH4!J50="","",Mediapar((NO3NH4!J50),1))</f>
        <v/>
      </c>
      <c r="E50" s="42" t="str">
        <f t="shared" si="0"/>
        <v/>
      </c>
      <c r="F50" s="42" t="str">
        <f>IF(AND(C50="",D50=""),"",IF(AND(C50&lt;Datos!$G$2,D50&lt;Datos!$G$3),"&lt;",""))</f>
        <v/>
      </c>
      <c r="G50" s="42" t="str">
        <f>IF(AND(C50="",D50=""),"",IF(AND(C50&lt;Datos!$G$2,D50&lt;Datos!$G$3),Datos!$G$4,IF(C50&lt;Datos!$G$2,D50,IF(D50&lt;Datos!$G$3,C50,(C50+D50)))))</f>
        <v/>
      </c>
    </row>
    <row r="51" spans="1:7" x14ac:dyDescent="0.25">
      <c r="A51" s="36" t="str">
        <f>IF(NO3NH4!A51="","",NO3NH4!A51)</f>
        <v/>
      </c>
      <c r="B51" s="37" t="str">
        <f>IF(NO3NH4!B51="","",NO3NH4!B51)</f>
        <v/>
      </c>
      <c r="C51" s="42" t="str">
        <f>IF(NO3NH4!I51="","",Mediapar((NO3NH4!I51),1))</f>
        <v/>
      </c>
      <c r="D51" s="42" t="str">
        <f>IF(NO3NH4!J51="","",Mediapar((NO3NH4!J51),1))</f>
        <v/>
      </c>
      <c r="E51" s="42" t="str">
        <f t="shared" si="0"/>
        <v/>
      </c>
      <c r="F51" s="42" t="str">
        <f>IF(AND(C51="",D51=""),"",IF(AND(C51&lt;Datos!$G$2,D51&lt;Datos!$G$3),"&lt;",""))</f>
        <v/>
      </c>
      <c r="G51" s="42" t="str">
        <f>IF(AND(C51="",D51=""),"",IF(AND(C51&lt;Datos!$G$2,D51&lt;Datos!$G$3),Datos!$G$4,IF(C51&lt;Datos!$G$2,D51,IF(D51&lt;Datos!$G$3,C51,(C51+D51)))))</f>
        <v/>
      </c>
    </row>
    <row r="52" spans="1:7" x14ac:dyDescent="0.25">
      <c r="A52" s="36" t="str">
        <f>IF(NO3NH4!A52="","",NO3NH4!A52)</f>
        <v>R-</v>
      </c>
      <c r="B52" s="37" t="str">
        <f>IF(NO3NH4!B52="","",NO3NH4!B52)</f>
        <v/>
      </c>
      <c r="C52" s="42" t="str">
        <f>IF(NO3NH4!I52="","",Mediapar((NO3NH4!I52),1))</f>
        <v/>
      </c>
      <c r="D52" s="42" t="str">
        <f>IF(NO3NH4!J52="","",Mediapar((NO3NH4!J52),1))</f>
        <v/>
      </c>
      <c r="E52" s="42" t="str">
        <f t="shared" si="0"/>
        <v/>
      </c>
      <c r="F52" s="42" t="str">
        <f>IF(AND(C52="",D52=""),"",IF(AND(C52&lt;Datos!$G$2,D52&lt;Datos!$G$3),"&lt;",""))</f>
        <v/>
      </c>
      <c r="G52" s="42" t="str">
        <f>IF(AND(C52="",D52=""),"",IF(AND(C52&lt;Datos!$G$2,D52&lt;Datos!$G$3),Datos!$G$4,IF(C52&lt;Datos!$G$2,D52,IF(D52&lt;Datos!$G$3,C52,(C52+D52)))))</f>
        <v/>
      </c>
    </row>
    <row r="53" spans="1:7" x14ac:dyDescent="0.25">
      <c r="A53" s="36" t="str">
        <f>IF(NO3NH4!A53="","",NO3NH4!A53)</f>
        <v>R-</v>
      </c>
      <c r="B53" s="37" t="str">
        <f>IF(NO3NH4!B53="","",NO3NH4!B53)</f>
        <v/>
      </c>
      <c r="C53" s="42" t="str">
        <f>IF(NO3NH4!I53="","",Mediapar((NO3NH4!I53),1))</f>
        <v/>
      </c>
      <c r="D53" s="42" t="str">
        <f>IF(NO3NH4!J53="","",Mediapar((NO3NH4!J53),1))</f>
        <v/>
      </c>
      <c r="E53" s="42" t="str">
        <f t="shared" si="0"/>
        <v/>
      </c>
      <c r="F53" s="42" t="str">
        <f>IF(AND(C53="",D53=""),"",IF(AND(C53&lt;Datos!$G$2,D53&lt;Datos!$G$3),"&lt;",""))</f>
        <v/>
      </c>
      <c r="G53" s="42" t="str">
        <f>IF(AND(C53="",D53=""),"",IF(AND(C53&lt;Datos!$G$2,D53&lt;Datos!$G$3),Datos!$G$4,IF(C53&lt;Datos!$G$2,D53,IF(D53&lt;Datos!$G$3,C53,(C53+D53)))))</f>
        <v/>
      </c>
    </row>
    <row r="54" spans="1:7" x14ac:dyDescent="0.25">
      <c r="A54" s="36" t="str">
        <f>IF(NO3NH4!A54="","",NO3NH4!A54)</f>
        <v>R-</v>
      </c>
      <c r="B54" s="37" t="str">
        <f>IF(NO3NH4!B54="","",NO3NH4!B54)</f>
        <v/>
      </c>
      <c r="C54" s="42" t="str">
        <f>IF(NO3NH4!I54="","",Mediapar((NO3NH4!I54),1))</f>
        <v/>
      </c>
      <c r="D54" s="42" t="str">
        <f>IF(NO3NH4!J54="","",Mediapar((NO3NH4!J54),1))</f>
        <v/>
      </c>
      <c r="E54" s="42" t="str">
        <f t="shared" si="0"/>
        <v/>
      </c>
      <c r="F54" s="42" t="str">
        <f>IF(AND(C54="",D54=""),"",IF(AND(C54&lt;Datos!$G$2,D54&lt;Datos!$G$3),"&lt;",""))</f>
        <v/>
      </c>
      <c r="G54" s="42" t="str">
        <f>IF(AND(C54="",D54=""),"",IF(AND(C54&lt;Datos!$G$2,D54&lt;Datos!$G$3),Datos!$G$4,IF(C54&lt;Datos!$G$2,D54,IF(D54&lt;Datos!$G$3,C54,(C54+D54)))))</f>
        <v/>
      </c>
    </row>
    <row r="55" spans="1:7" x14ac:dyDescent="0.25">
      <c r="A55" s="36" t="str">
        <f>IF(NO3NH4!A55="","",NO3NH4!A55)</f>
        <v>R-</v>
      </c>
      <c r="B55" s="37" t="str">
        <f>IF(NO3NH4!B55="","",NO3NH4!B55)</f>
        <v/>
      </c>
      <c r="C55" s="42" t="str">
        <f>IF(NO3NH4!I55="","",Mediapar((NO3NH4!I55),1))</f>
        <v/>
      </c>
      <c r="D55" s="42" t="str">
        <f>IF(NO3NH4!J55="","",Mediapar((NO3NH4!J55),1))</f>
        <v/>
      </c>
      <c r="E55" s="42" t="str">
        <f t="shared" si="0"/>
        <v/>
      </c>
      <c r="F55" s="42" t="str">
        <f>IF(AND(C55="",D55=""),"",IF(AND(C55&lt;Datos!$G$2,D55&lt;Datos!$G$3),"&lt;",""))</f>
        <v/>
      </c>
      <c r="G55" s="42" t="str">
        <f>IF(AND(C55="",D55=""),"",IF(AND(C55&lt;Datos!$G$2,D55&lt;Datos!$G$3),Datos!$G$4,IF(C55&lt;Datos!$G$2,D55,IF(D55&lt;Datos!$G$3,C55,(C55+D55)))))</f>
        <v/>
      </c>
    </row>
    <row r="56" spans="1:7" x14ac:dyDescent="0.25">
      <c r="A56" s="36" t="str">
        <f>IF(NO3NH4!A56="","",NO3NH4!A56)</f>
        <v>R-</v>
      </c>
      <c r="B56" s="37" t="str">
        <f>IF(NO3NH4!B56="","",NO3NH4!B56)</f>
        <v/>
      </c>
      <c r="C56" s="42" t="str">
        <f>IF(NO3NH4!I56="","",Mediapar((NO3NH4!I56),1))</f>
        <v/>
      </c>
      <c r="D56" s="42" t="str">
        <f>IF(NO3NH4!J56="","",Mediapar((NO3NH4!J56),1))</f>
        <v/>
      </c>
      <c r="E56" s="42" t="str">
        <f t="shared" si="0"/>
        <v/>
      </c>
      <c r="F56" s="42" t="str">
        <f>IF(AND(C56="",D56=""),"",IF(AND(C56&lt;Datos!$G$2,D56&lt;Datos!$G$3),"&lt;",""))</f>
        <v/>
      </c>
      <c r="G56" s="42" t="str">
        <f>IF(AND(C56="",D56=""),"",IF(AND(C56&lt;Datos!$G$2,D56&lt;Datos!$G$3),Datos!$G$4,IF(C56&lt;Datos!$G$2,D56,IF(D56&lt;Datos!$G$3,C56,(C56+D56)))))</f>
        <v/>
      </c>
    </row>
  </sheetData>
  <sheetProtection password="D1D1" sheet="1" objects="1" scenarios="1"/>
  <conditionalFormatting sqref="A2:G56">
    <cfRule type="containsBlanks" priority="1" stopIfTrue="1">
      <formula>LEN(TRIM(A2))=0</formula>
    </cfRule>
    <cfRule type="expression" dxfId="4" priority="2">
      <formula>IF(A2=MATCH("R-"&amp;A2,$A$2:$A$56,0),FALSE,TRUE)</formula>
    </cfRule>
  </conditionalFormatting>
  <pageMargins left="0.7" right="0.7" top="0.75" bottom="0.75" header="0.3" footer="0.3"/>
  <pageSetup paperSize="9" scale="87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I56"/>
  <sheetViews>
    <sheetView workbookViewId="0">
      <selection activeCell="I1" sqref="I1"/>
    </sheetView>
  </sheetViews>
  <sheetFormatPr baseColWidth="10" defaultRowHeight="13.2" x14ac:dyDescent="0.25"/>
  <cols>
    <col min="1" max="1" width="9.88671875" bestFit="1" customWidth="1"/>
    <col min="2" max="2" width="10.109375" bestFit="1" customWidth="1"/>
    <col min="3" max="4" width="26.44140625" bestFit="1" customWidth="1"/>
    <col min="5" max="5" width="6.109375" bestFit="1" customWidth="1"/>
    <col min="6" max="6" width="4.21875" bestFit="1" customWidth="1"/>
    <col min="7" max="7" width="19" bestFit="1" customWidth="1"/>
    <col min="9" max="9" width="15.77734375" customWidth="1"/>
  </cols>
  <sheetData>
    <row r="1" spans="1:9" ht="52.8" x14ac:dyDescent="0.25">
      <c r="A1" s="30" t="s">
        <v>0</v>
      </c>
      <c r="B1" s="31" t="s">
        <v>1</v>
      </c>
      <c r="C1" s="33" t="s">
        <v>32</v>
      </c>
      <c r="D1" s="33" t="s">
        <v>33</v>
      </c>
      <c r="E1" s="33" t="s">
        <v>40</v>
      </c>
      <c r="F1" s="33" t="s">
        <v>38</v>
      </c>
      <c r="G1" s="33" t="s">
        <v>42</v>
      </c>
      <c r="H1" s="33" t="s">
        <v>43</v>
      </c>
      <c r="I1" s="33" t="s">
        <v>44</v>
      </c>
    </row>
    <row r="2" spans="1:9" x14ac:dyDescent="0.25">
      <c r="A2" s="36" t="str">
        <f>IF(NO3NH4!A2="","",NO3NH4!A2)</f>
        <v>PATRÓN</v>
      </c>
      <c r="B2" s="37" t="str">
        <f>IF(NO3NH4!B2="","",NO3NH4!B2)</f>
        <v/>
      </c>
      <c r="C2" s="42" t="str">
        <f>IF(NO3NH4!I2="","",Mediapar((NO3NH4!I2),1))</f>
        <v/>
      </c>
      <c r="D2" s="42" t="str">
        <f>IF(NO3NH4!J2="","",Mediapar((NO3NH4!J2),1))</f>
        <v/>
      </c>
      <c r="E2" s="42" t="str">
        <f>IF(F2="&lt;","003","")</f>
        <v/>
      </c>
      <c r="F2" s="42" t="str">
        <f>IF(AND(C2="",D2=""),"",IF(AND(C2&lt;Datos!$G$2,D2&lt;Datos!$G$3),"&lt;",""))</f>
        <v/>
      </c>
      <c r="G2" s="42" t="str">
        <f>IF(AND(C2="",D2=""),"",IF(AND(C2&lt;Datos!$G$2,D2&lt;Datos!$G$3),Datos!$G$4,IF(C2&lt;Datos!$G$2,D2,IF(D2&lt;Datos!$G$3,C2,(C2+D2)))))</f>
        <v/>
      </c>
      <c r="H2" s="44"/>
      <c r="I2" s="42" t="str">
        <f>IF(OR(G2="",H2=""),"",IF(F2="&lt;",H2,(H2-(G2/1000))))</f>
        <v/>
      </c>
    </row>
    <row r="3" spans="1:9" x14ac:dyDescent="0.25">
      <c r="A3" s="36" t="str">
        <f>IF(NO3NH4!A3="","",NO3NH4!A3)</f>
        <v/>
      </c>
      <c r="B3" s="37" t="str">
        <f>IF(NO3NH4!B3="","",NO3NH4!B3)</f>
        <v/>
      </c>
      <c r="C3" s="42" t="str">
        <f>IF(NO3NH4!I3="","",Mediapar((NO3NH4!I3),1))</f>
        <v/>
      </c>
      <c r="D3" s="42" t="str">
        <f>IF(NO3NH4!J3="","",Mediapar((NO3NH4!J3),1))</f>
        <v/>
      </c>
      <c r="E3" s="42" t="str">
        <f t="shared" ref="E3:E56" si="0">IF(F3="&lt;","003","")</f>
        <v/>
      </c>
      <c r="F3" s="42" t="str">
        <f>IF(AND(C3="",D3=""),"",IF(AND(C3&lt;Datos!$G$2,D3&lt;Datos!$G$3),"&lt;",""))</f>
        <v/>
      </c>
      <c r="G3" s="42" t="str">
        <f>IF(AND(C3="",D3=""),"",IF(AND(C3&lt;Datos!$G$2,D3&lt;Datos!$G$3),Datos!$G$4,IF(C3&lt;Datos!$G$2,D3,IF(D3&lt;Datos!$G$3,C3,(C3+D3)))))</f>
        <v/>
      </c>
      <c r="H3" s="45"/>
      <c r="I3" s="42" t="str">
        <f t="shared" ref="I3:I56" si="1">IF(OR(G3="",H3=""),"",IF(F3="&lt;",H3,(H3-(G3/1000))))</f>
        <v/>
      </c>
    </row>
    <row r="4" spans="1:9" x14ac:dyDescent="0.25">
      <c r="A4" s="36" t="str">
        <f>IF(NO3NH4!A4="","",NO3NH4!A4)</f>
        <v/>
      </c>
      <c r="B4" s="37" t="str">
        <f>IF(NO3NH4!B4="","",NO3NH4!B4)</f>
        <v/>
      </c>
      <c r="C4" s="42" t="str">
        <f>IF(NO3NH4!I4="","",Mediapar((NO3NH4!I4),1))</f>
        <v/>
      </c>
      <c r="D4" s="42" t="str">
        <f>IF(NO3NH4!J4="","",Mediapar((NO3NH4!J4),1))</f>
        <v/>
      </c>
      <c r="E4" s="42" t="str">
        <f t="shared" si="0"/>
        <v/>
      </c>
      <c r="F4" s="42" t="str">
        <f>IF(AND(C4="",D4=""),"",IF(AND(C4&lt;Datos!$G$2,D4&lt;Datos!$G$3),"&lt;",""))</f>
        <v/>
      </c>
      <c r="G4" s="42" t="str">
        <f>IF(AND(C4="",D4=""),"",IF(AND(C4&lt;Datos!$G$2,D4&lt;Datos!$G$3),Datos!$G$4,IF(C4&lt;Datos!$G$2,D4,IF(D4&lt;Datos!$G$3,C4,(C4+D4)))))</f>
        <v/>
      </c>
      <c r="H4" s="45"/>
      <c r="I4" s="42" t="str">
        <f t="shared" si="1"/>
        <v/>
      </c>
    </row>
    <row r="5" spans="1:9" x14ac:dyDescent="0.25">
      <c r="A5" s="36" t="str">
        <f>IF(NO3NH4!A5="","",NO3NH4!A5)</f>
        <v/>
      </c>
      <c r="B5" s="37" t="str">
        <f>IF(NO3NH4!B5="","",NO3NH4!B5)</f>
        <v/>
      </c>
      <c r="C5" s="42" t="str">
        <f>IF(NO3NH4!I5="","",Mediapar((NO3NH4!I5),1))</f>
        <v/>
      </c>
      <c r="D5" s="42" t="str">
        <f>IF(NO3NH4!J5="","",Mediapar((NO3NH4!J5),1))</f>
        <v/>
      </c>
      <c r="E5" s="42" t="str">
        <f t="shared" si="0"/>
        <v/>
      </c>
      <c r="F5" s="42" t="str">
        <f>IF(AND(C5="",D5=""),"",IF(AND(C5&lt;Datos!$G$2,D5&lt;Datos!$G$3),"&lt;",""))</f>
        <v/>
      </c>
      <c r="G5" s="42" t="str">
        <f>IF(AND(C5="",D5=""),"",IF(AND(C5&lt;Datos!$G$2,D5&lt;Datos!$G$3),Datos!$G$4,IF(C5&lt;Datos!$G$2,D5,IF(D5&lt;Datos!$G$3,C5,(C5+D5)))))</f>
        <v/>
      </c>
      <c r="H5" s="45"/>
      <c r="I5" s="42" t="str">
        <f t="shared" si="1"/>
        <v/>
      </c>
    </row>
    <row r="6" spans="1:9" x14ac:dyDescent="0.25">
      <c r="A6" s="36" t="str">
        <f>IF(NO3NH4!A6="","",NO3NH4!A6)</f>
        <v/>
      </c>
      <c r="B6" s="37" t="str">
        <f>IF(NO3NH4!B6="","",NO3NH4!B6)</f>
        <v/>
      </c>
      <c r="C6" s="42" t="str">
        <f>IF(NO3NH4!I6="","",Mediapar((NO3NH4!I6),1))</f>
        <v/>
      </c>
      <c r="D6" s="42" t="str">
        <f>IF(NO3NH4!J6="","",Mediapar((NO3NH4!J6),1))</f>
        <v/>
      </c>
      <c r="E6" s="42" t="str">
        <f t="shared" si="0"/>
        <v/>
      </c>
      <c r="F6" s="42" t="str">
        <f>IF(AND(C6="",D6=""),"",IF(AND(C6&lt;Datos!$G$2,D6&lt;Datos!$G$3),"&lt;",""))</f>
        <v/>
      </c>
      <c r="G6" s="42" t="str">
        <f>IF(AND(C6="",D6=""),"",IF(AND(C6&lt;Datos!$G$2,D6&lt;Datos!$G$3),Datos!$G$4,IF(C6&lt;Datos!$G$2,D6,IF(D6&lt;Datos!$G$3,C6,(C6+D6)))))</f>
        <v/>
      </c>
      <c r="H6" s="45"/>
      <c r="I6" s="42" t="str">
        <f t="shared" si="1"/>
        <v/>
      </c>
    </row>
    <row r="7" spans="1:9" x14ac:dyDescent="0.25">
      <c r="A7" s="36" t="str">
        <f>IF(NO3NH4!A7="","",NO3NH4!A7)</f>
        <v/>
      </c>
      <c r="B7" s="37" t="str">
        <f>IF(NO3NH4!B7="","",NO3NH4!B7)</f>
        <v/>
      </c>
      <c r="C7" s="42" t="str">
        <f>IF(NO3NH4!I7="","",Mediapar((NO3NH4!I7),1))</f>
        <v/>
      </c>
      <c r="D7" s="42" t="str">
        <f>IF(NO3NH4!J7="","",Mediapar((NO3NH4!J7),1))</f>
        <v/>
      </c>
      <c r="E7" s="42" t="str">
        <f t="shared" si="0"/>
        <v/>
      </c>
      <c r="F7" s="42" t="str">
        <f>IF(AND(C7="",D7=""),"",IF(AND(C7&lt;Datos!$G$2,D7&lt;Datos!$G$3),"&lt;",""))</f>
        <v/>
      </c>
      <c r="G7" s="42" t="str">
        <f>IF(AND(C7="",D7=""),"",IF(AND(C7&lt;Datos!$G$2,D7&lt;Datos!$G$3),Datos!$G$4,IF(C7&lt;Datos!$G$2,D7,IF(D7&lt;Datos!$G$3,C7,(C7+D7)))))</f>
        <v/>
      </c>
      <c r="H7" s="45"/>
      <c r="I7" s="42" t="str">
        <f t="shared" si="1"/>
        <v/>
      </c>
    </row>
    <row r="8" spans="1:9" x14ac:dyDescent="0.25">
      <c r="A8" s="36" t="str">
        <f>IF(NO3NH4!A8="","",NO3NH4!A8)</f>
        <v/>
      </c>
      <c r="B8" s="37" t="str">
        <f>IF(NO3NH4!B8="","",NO3NH4!B8)</f>
        <v/>
      </c>
      <c r="C8" s="42" t="str">
        <f>IF(NO3NH4!I8="","",Mediapar((NO3NH4!I8),1))</f>
        <v/>
      </c>
      <c r="D8" s="42" t="str">
        <f>IF(NO3NH4!J8="","",Mediapar((NO3NH4!J8),1))</f>
        <v/>
      </c>
      <c r="E8" s="42" t="str">
        <f t="shared" si="0"/>
        <v/>
      </c>
      <c r="F8" s="42" t="str">
        <f>IF(AND(C8="",D8=""),"",IF(AND(C8&lt;Datos!$G$2,D8&lt;Datos!$G$3),"&lt;",""))</f>
        <v/>
      </c>
      <c r="G8" s="42" t="str">
        <f>IF(AND(C8="",D8=""),"",IF(AND(C8&lt;Datos!$G$2,D8&lt;Datos!$G$3),Datos!$G$4,IF(C8&lt;Datos!$G$2,D8,IF(D8&lt;Datos!$G$3,C8,(C8+D8)))))</f>
        <v/>
      </c>
      <c r="H8" s="45"/>
      <c r="I8" s="42" t="str">
        <f t="shared" si="1"/>
        <v/>
      </c>
    </row>
    <row r="9" spans="1:9" x14ac:dyDescent="0.25">
      <c r="A9" s="36" t="str">
        <f>IF(NO3NH4!A9="","",NO3NH4!A9)</f>
        <v/>
      </c>
      <c r="B9" s="37" t="str">
        <f>IF(NO3NH4!B9="","",NO3NH4!B9)</f>
        <v/>
      </c>
      <c r="C9" s="42" t="str">
        <f>IF(NO3NH4!I9="","",Mediapar((NO3NH4!I9),1))</f>
        <v/>
      </c>
      <c r="D9" s="42" t="str">
        <f>IF(NO3NH4!J9="","",Mediapar((NO3NH4!J9),1))</f>
        <v/>
      </c>
      <c r="E9" s="42" t="str">
        <f t="shared" si="0"/>
        <v/>
      </c>
      <c r="F9" s="42" t="str">
        <f>IF(AND(C9="",D9=""),"",IF(AND(C9&lt;Datos!$G$2,D9&lt;Datos!$G$3),"&lt;",""))</f>
        <v/>
      </c>
      <c r="G9" s="42" t="str">
        <f>IF(AND(C9="",D9=""),"",IF(AND(C9&lt;Datos!$G$2,D9&lt;Datos!$G$3),Datos!$G$4,IF(C9&lt;Datos!$G$2,D9,IF(D9&lt;Datos!$G$3,C9,(C9+D9)))))</f>
        <v/>
      </c>
      <c r="H9" s="45"/>
      <c r="I9" s="42" t="str">
        <f t="shared" si="1"/>
        <v/>
      </c>
    </row>
    <row r="10" spans="1:9" x14ac:dyDescent="0.25">
      <c r="A10" s="36" t="str">
        <f>IF(NO3NH4!A10="","",NO3NH4!A10)</f>
        <v/>
      </c>
      <c r="B10" s="37" t="str">
        <f>IF(NO3NH4!B10="","",NO3NH4!B10)</f>
        <v/>
      </c>
      <c r="C10" s="42" t="str">
        <f>IF(NO3NH4!I10="","",Mediapar((NO3NH4!I10),1))</f>
        <v/>
      </c>
      <c r="D10" s="42" t="str">
        <f>IF(NO3NH4!J10="","",Mediapar((NO3NH4!J10),1))</f>
        <v/>
      </c>
      <c r="E10" s="42" t="str">
        <f t="shared" si="0"/>
        <v/>
      </c>
      <c r="F10" s="42" t="str">
        <f>IF(AND(C10="",D10=""),"",IF(AND(C10&lt;Datos!$G$2,D10&lt;Datos!$G$3),"&lt;",""))</f>
        <v/>
      </c>
      <c r="G10" s="42" t="str">
        <f>IF(AND(C10="",D10=""),"",IF(AND(C10&lt;Datos!$G$2,D10&lt;Datos!$G$3),Datos!$G$4,IF(C10&lt;Datos!$G$2,D10,IF(D10&lt;Datos!$G$3,C10,(C10+D10)))))</f>
        <v/>
      </c>
      <c r="H10" s="45"/>
      <c r="I10" s="42" t="str">
        <f t="shared" si="1"/>
        <v/>
      </c>
    </row>
    <row r="11" spans="1:9" x14ac:dyDescent="0.25">
      <c r="A11" s="36" t="str">
        <f>IF(NO3NH4!A11="","",NO3NH4!A11)</f>
        <v/>
      </c>
      <c r="B11" s="37" t="str">
        <f>IF(NO3NH4!B11="","",NO3NH4!B11)</f>
        <v/>
      </c>
      <c r="C11" s="42" t="str">
        <f>IF(NO3NH4!I11="","",Mediapar((NO3NH4!I11),1))</f>
        <v/>
      </c>
      <c r="D11" s="42" t="str">
        <f>IF(NO3NH4!J11="","",Mediapar((NO3NH4!J11),1))</f>
        <v/>
      </c>
      <c r="E11" s="42" t="str">
        <f t="shared" si="0"/>
        <v/>
      </c>
      <c r="F11" s="42" t="str">
        <f>IF(AND(C11="",D11=""),"",IF(AND(C11&lt;Datos!$G$2,D11&lt;Datos!$G$3),"&lt;",""))</f>
        <v/>
      </c>
      <c r="G11" s="42" t="str">
        <f>IF(AND(C11="",D11=""),"",IF(AND(C11&lt;Datos!$G$2,D11&lt;Datos!$G$3),Datos!$G$4,IF(C11&lt;Datos!$G$2,D11,IF(D11&lt;Datos!$G$3,C11,(C11+D11)))))</f>
        <v/>
      </c>
      <c r="H11" s="45"/>
      <c r="I11" s="42" t="str">
        <f t="shared" si="1"/>
        <v/>
      </c>
    </row>
    <row r="12" spans="1:9" x14ac:dyDescent="0.25">
      <c r="A12" s="36" t="str">
        <f>IF(NO3NH4!A12="","",NO3NH4!A12)</f>
        <v/>
      </c>
      <c r="B12" s="37" t="str">
        <f>IF(NO3NH4!B12="","",NO3NH4!B12)</f>
        <v/>
      </c>
      <c r="C12" s="42" t="str">
        <f>IF(NO3NH4!I12="","",Mediapar((NO3NH4!I12),1))</f>
        <v/>
      </c>
      <c r="D12" s="42" t="str">
        <f>IF(NO3NH4!J12="","",Mediapar((NO3NH4!J12),1))</f>
        <v/>
      </c>
      <c r="E12" s="42" t="str">
        <f t="shared" si="0"/>
        <v/>
      </c>
      <c r="F12" s="42" t="str">
        <f>IF(AND(C12="",D12=""),"",IF(AND(C12&lt;Datos!$G$2,D12&lt;Datos!$G$3),"&lt;",""))</f>
        <v/>
      </c>
      <c r="G12" s="42" t="str">
        <f>IF(AND(C12="",D12=""),"",IF(AND(C12&lt;Datos!$G$2,D12&lt;Datos!$G$3),Datos!$G$4,IF(C12&lt;Datos!$G$2,D12,IF(D12&lt;Datos!$G$3,C12,(C12+D12)))))</f>
        <v/>
      </c>
      <c r="H12" s="45"/>
      <c r="I12" s="42" t="str">
        <f t="shared" si="1"/>
        <v/>
      </c>
    </row>
    <row r="13" spans="1:9" x14ac:dyDescent="0.25">
      <c r="A13" s="36" t="str">
        <f>IF(NO3NH4!A13="","",NO3NH4!A13)</f>
        <v/>
      </c>
      <c r="B13" s="37" t="str">
        <f>IF(NO3NH4!B13="","",NO3NH4!B13)</f>
        <v/>
      </c>
      <c r="C13" s="42" t="str">
        <f>IF(NO3NH4!I13="","",Mediapar((NO3NH4!I13),1))</f>
        <v/>
      </c>
      <c r="D13" s="42" t="str">
        <f>IF(NO3NH4!J13="","",Mediapar((NO3NH4!J13),1))</f>
        <v/>
      </c>
      <c r="E13" s="42" t="str">
        <f t="shared" si="0"/>
        <v/>
      </c>
      <c r="F13" s="42" t="str">
        <f>IF(AND(C13="",D13=""),"",IF(AND(C13&lt;Datos!$G$2,D13&lt;Datos!$G$3),"&lt;",""))</f>
        <v/>
      </c>
      <c r="G13" s="42" t="str">
        <f>IF(AND(C13="",D13=""),"",IF(AND(C13&lt;Datos!$G$2,D13&lt;Datos!$G$3),Datos!$G$4,IF(C13&lt;Datos!$G$2,D13,IF(D13&lt;Datos!$G$3,C13,(C13+D13)))))</f>
        <v/>
      </c>
      <c r="H13" s="45"/>
      <c r="I13" s="42" t="str">
        <f t="shared" si="1"/>
        <v/>
      </c>
    </row>
    <row r="14" spans="1:9" x14ac:dyDescent="0.25">
      <c r="A14" s="36" t="str">
        <f>IF(NO3NH4!A14="","",NO3NH4!A14)</f>
        <v/>
      </c>
      <c r="B14" s="37" t="str">
        <f>IF(NO3NH4!B14="","",NO3NH4!B14)</f>
        <v/>
      </c>
      <c r="C14" s="42" t="str">
        <f>IF(NO3NH4!I14="","",Mediapar((NO3NH4!I14),1))</f>
        <v/>
      </c>
      <c r="D14" s="42" t="str">
        <f>IF(NO3NH4!J14="","",Mediapar((NO3NH4!J14),1))</f>
        <v/>
      </c>
      <c r="E14" s="42" t="str">
        <f t="shared" si="0"/>
        <v/>
      </c>
      <c r="F14" s="42" t="str">
        <f>IF(AND(C14="",D14=""),"",IF(AND(C14&lt;Datos!$G$2,D14&lt;Datos!$G$3),"&lt;",""))</f>
        <v/>
      </c>
      <c r="G14" s="42" t="str">
        <f>IF(AND(C14="",D14=""),"",IF(AND(C14&lt;Datos!$G$2,D14&lt;Datos!$G$3),Datos!$G$4,IF(C14&lt;Datos!$G$2,D14,IF(D14&lt;Datos!$G$3,C14,(C14+D14)))))</f>
        <v/>
      </c>
      <c r="H14" s="45"/>
      <c r="I14" s="42" t="str">
        <f t="shared" si="1"/>
        <v/>
      </c>
    </row>
    <row r="15" spans="1:9" x14ac:dyDescent="0.25">
      <c r="A15" s="36" t="str">
        <f>IF(NO3NH4!A15="","",NO3NH4!A15)</f>
        <v/>
      </c>
      <c r="B15" s="37" t="str">
        <f>IF(NO3NH4!B15="","",NO3NH4!B15)</f>
        <v/>
      </c>
      <c r="C15" s="42" t="str">
        <f>IF(NO3NH4!I15="","",Mediapar((NO3NH4!I15),1))</f>
        <v/>
      </c>
      <c r="D15" s="42" t="str">
        <f>IF(NO3NH4!J15="","",Mediapar((NO3NH4!J15),1))</f>
        <v/>
      </c>
      <c r="E15" s="42" t="str">
        <f t="shared" si="0"/>
        <v/>
      </c>
      <c r="F15" s="42" t="str">
        <f>IF(AND(C15="",D15=""),"",IF(AND(C15&lt;Datos!$G$2,D15&lt;Datos!$G$3),"&lt;",""))</f>
        <v/>
      </c>
      <c r="G15" s="42" t="str">
        <f>IF(AND(C15="",D15=""),"",IF(AND(C15&lt;Datos!$G$2,D15&lt;Datos!$G$3),Datos!$G$4,IF(C15&lt;Datos!$G$2,D15,IF(D15&lt;Datos!$G$3,C15,(C15+D15)))))</f>
        <v/>
      </c>
      <c r="H15" s="45"/>
      <c r="I15" s="42" t="str">
        <f t="shared" si="1"/>
        <v/>
      </c>
    </row>
    <row r="16" spans="1:9" x14ac:dyDescent="0.25">
      <c r="A16" s="36" t="str">
        <f>IF(NO3NH4!A16="","",NO3NH4!A16)</f>
        <v/>
      </c>
      <c r="B16" s="37" t="str">
        <f>IF(NO3NH4!B16="","",NO3NH4!B16)</f>
        <v/>
      </c>
      <c r="C16" s="42" t="str">
        <f>IF(NO3NH4!I16="","",Mediapar((NO3NH4!I16),1))</f>
        <v/>
      </c>
      <c r="D16" s="42" t="str">
        <f>IF(NO3NH4!J16="","",Mediapar((NO3NH4!J16),1))</f>
        <v/>
      </c>
      <c r="E16" s="42" t="str">
        <f t="shared" si="0"/>
        <v/>
      </c>
      <c r="F16" s="42" t="str">
        <f>IF(AND(C16="",D16=""),"",IF(AND(C16&lt;Datos!$G$2,D16&lt;Datos!$G$3),"&lt;",""))</f>
        <v/>
      </c>
      <c r="G16" s="42" t="str">
        <f>IF(AND(C16="",D16=""),"",IF(AND(C16&lt;Datos!$G$2,D16&lt;Datos!$G$3),Datos!$G$4,IF(C16&lt;Datos!$G$2,D16,IF(D16&lt;Datos!$G$3,C16,(C16+D16)))))</f>
        <v/>
      </c>
      <c r="H16" s="45"/>
      <c r="I16" s="42" t="str">
        <f t="shared" si="1"/>
        <v/>
      </c>
    </row>
    <row r="17" spans="1:9" x14ac:dyDescent="0.25">
      <c r="A17" s="36" t="str">
        <f>IF(NO3NH4!A17="","",NO3NH4!A17)</f>
        <v/>
      </c>
      <c r="B17" s="37" t="str">
        <f>IF(NO3NH4!B17="","",NO3NH4!B17)</f>
        <v/>
      </c>
      <c r="C17" s="42" t="str">
        <f>IF(NO3NH4!I17="","",Mediapar((NO3NH4!I17),1))</f>
        <v/>
      </c>
      <c r="D17" s="42" t="str">
        <f>IF(NO3NH4!J17="","",Mediapar((NO3NH4!J17),1))</f>
        <v/>
      </c>
      <c r="E17" s="42" t="str">
        <f t="shared" si="0"/>
        <v/>
      </c>
      <c r="F17" s="42" t="str">
        <f>IF(AND(C17="",D17=""),"",IF(AND(C17&lt;Datos!$G$2,D17&lt;Datos!$G$3),"&lt;",""))</f>
        <v/>
      </c>
      <c r="G17" s="42" t="str">
        <f>IF(AND(C17="",D17=""),"",IF(AND(C17&lt;Datos!$G$2,D17&lt;Datos!$G$3),Datos!$G$4,IF(C17&lt;Datos!$G$2,D17,IF(D17&lt;Datos!$G$3,C17,(C17+D17)))))</f>
        <v/>
      </c>
      <c r="H17" s="45"/>
      <c r="I17" s="42" t="str">
        <f t="shared" si="1"/>
        <v/>
      </c>
    </row>
    <row r="18" spans="1:9" x14ac:dyDescent="0.25">
      <c r="A18" s="36" t="str">
        <f>IF(NO3NH4!A18="","",NO3NH4!A18)</f>
        <v/>
      </c>
      <c r="B18" s="37" t="str">
        <f>IF(NO3NH4!B18="","",NO3NH4!B18)</f>
        <v/>
      </c>
      <c r="C18" s="42" t="str">
        <f>IF(NO3NH4!I18="","",Mediapar((NO3NH4!I18),1))</f>
        <v/>
      </c>
      <c r="D18" s="42" t="str">
        <f>IF(NO3NH4!J18="","",Mediapar((NO3NH4!J18),1))</f>
        <v/>
      </c>
      <c r="E18" s="42" t="str">
        <f t="shared" si="0"/>
        <v/>
      </c>
      <c r="F18" s="42" t="str">
        <f>IF(AND(C18="",D18=""),"",IF(AND(C18&lt;Datos!$G$2,D18&lt;Datos!$G$3),"&lt;",""))</f>
        <v/>
      </c>
      <c r="G18" s="42" t="str">
        <f>IF(AND(C18="",D18=""),"",IF(AND(C18&lt;Datos!$G$2,D18&lt;Datos!$G$3),Datos!$G$4,IF(C18&lt;Datos!$G$2,D18,IF(D18&lt;Datos!$G$3,C18,(C18+D18)))))</f>
        <v/>
      </c>
      <c r="H18" s="45"/>
      <c r="I18" s="42" t="str">
        <f t="shared" si="1"/>
        <v/>
      </c>
    </row>
    <row r="19" spans="1:9" x14ac:dyDescent="0.25">
      <c r="A19" s="36" t="str">
        <f>IF(NO3NH4!A19="","",NO3NH4!A19)</f>
        <v/>
      </c>
      <c r="B19" s="37" t="str">
        <f>IF(NO3NH4!B19="","",NO3NH4!B19)</f>
        <v/>
      </c>
      <c r="C19" s="42" t="str">
        <f>IF(NO3NH4!I19="","",Mediapar((NO3NH4!I19),1))</f>
        <v/>
      </c>
      <c r="D19" s="42" t="str">
        <f>IF(NO3NH4!J19="","",Mediapar((NO3NH4!J19),1))</f>
        <v/>
      </c>
      <c r="E19" s="42" t="str">
        <f t="shared" si="0"/>
        <v/>
      </c>
      <c r="F19" s="42" t="str">
        <f>IF(AND(C19="",D19=""),"",IF(AND(C19&lt;Datos!$G$2,D19&lt;Datos!$G$3),"&lt;",""))</f>
        <v/>
      </c>
      <c r="G19" s="42" t="str">
        <f>IF(AND(C19="",D19=""),"",IF(AND(C19&lt;Datos!$G$2,D19&lt;Datos!$G$3),Datos!$G$4,IF(C19&lt;Datos!$G$2,D19,IF(D19&lt;Datos!$G$3,C19,(C19+D19)))))</f>
        <v/>
      </c>
      <c r="H19" s="45"/>
      <c r="I19" s="42" t="str">
        <f t="shared" si="1"/>
        <v/>
      </c>
    </row>
    <row r="20" spans="1:9" x14ac:dyDescent="0.25">
      <c r="A20" s="36" t="str">
        <f>IF(NO3NH4!A20="","",NO3NH4!A20)</f>
        <v/>
      </c>
      <c r="B20" s="37" t="str">
        <f>IF(NO3NH4!B20="","",NO3NH4!B20)</f>
        <v/>
      </c>
      <c r="C20" s="42" t="str">
        <f>IF(NO3NH4!I20="","",Mediapar((NO3NH4!I20),1))</f>
        <v/>
      </c>
      <c r="D20" s="42" t="str">
        <f>IF(NO3NH4!J20="","",Mediapar((NO3NH4!J20),1))</f>
        <v/>
      </c>
      <c r="E20" s="42" t="str">
        <f t="shared" si="0"/>
        <v/>
      </c>
      <c r="F20" s="42" t="str">
        <f>IF(AND(C20="",D20=""),"",IF(AND(C20&lt;Datos!$G$2,D20&lt;Datos!$G$3),"&lt;",""))</f>
        <v/>
      </c>
      <c r="G20" s="42" t="str">
        <f>IF(AND(C20="",D20=""),"",IF(AND(C20&lt;Datos!$G$2,D20&lt;Datos!$G$3),Datos!$G$4,IF(C20&lt;Datos!$G$2,D20,IF(D20&lt;Datos!$G$3,C20,(C20+D20)))))</f>
        <v/>
      </c>
      <c r="H20" s="45"/>
      <c r="I20" s="42" t="str">
        <f t="shared" si="1"/>
        <v/>
      </c>
    </row>
    <row r="21" spans="1:9" x14ac:dyDescent="0.25">
      <c r="A21" s="36" t="str">
        <f>IF(NO3NH4!A21="","",NO3NH4!A21)</f>
        <v/>
      </c>
      <c r="B21" s="37" t="str">
        <f>IF(NO3NH4!B21="","",NO3NH4!B21)</f>
        <v/>
      </c>
      <c r="C21" s="42" t="str">
        <f>IF(NO3NH4!I21="","",Mediapar((NO3NH4!I21),1))</f>
        <v/>
      </c>
      <c r="D21" s="42" t="str">
        <f>IF(NO3NH4!J21="","",Mediapar((NO3NH4!J21),1))</f>
        <v/>
      </c>
      <c r="E21" s="42" t="str">
        <f t="shared" si="0"/>
        <v/>
      </c>
      <c r="F21" s="42" t="str">
        <f>IF(AND(C21="",D21=""),"",IF(AND(C21&lt;Datos!$G$2,D21&lt;Datos!$G$3),"&lt;",""))</f>
        <v/>
      </c>
      <c r="G21" s="42" t="str">
        <f>IF(AND(C21="",D21=""),"",IF(AND(C21&lt;Datos!$G$2,D21&lt;Datos!$G$3),Datos!$G$4,IF(C21&lt;Datos!$G$2,D21,IF(D21&lt;Datos!$G$3,C21,(C21+D21)))))</f>
        <v/>
      </c>
      <c r="H21" s="45"/>
      <c r="I21" s="42" t="str">
        <f t="shared" si="1"/>
        <v/>
      </c>
    </row>
    <row r="22" spans="1:9" x14ac:dyDescent="0.25">
      <c r="A22" s="36" t="str">
        <f>IF(NO3NH4!A22="","",NO3NH4!A22)</f>
        <v/>
      </c>
      <c r="B22" s="37" t="str">
        <f>IF(NO3NH4!B22="","",NO3NH4!B22)</f>
        <v/>
      </c>
      <c r="C22" s="42" t="str">
        <f>IF(NO3NH4!I22="","",Mediapar((NO3NH4!I22),1))</f>
        <v/>
      </c>
      <c r="D22" s="42" t="str">
        <f>IF(NO3NH4!J22="","",Mediapar((NO3NH4!J22),1))</f>
        <v/>
      </c>
      <c r="E22" s="42" t="str">
        <f t="shared" si="0"/>
        <v/>
      </c>
      <c r="F22" s="42" t="str">
        <f>IF(AND(C22="",D22=""),"",IF(AND(C22&lt;Datos!$G$2,D22&lt;Datos!$G$3),"&lt;",""))</f>
        <v/>
      </c>
      <c r="G22" s="42" t="str">
        <f>IF(AND(C22="",D22=""),"",IF(AND(C22&lt;Datos!$G$2,D22&lt;Datos!$G$3),Datos!$G$4,IF(C22&lt;Datos!$G$2,D22,IF(D22&lt;Datos!$G$3,C22,(C22+D22)))))</f>
        <v/>
      </c>
      <c r="H22" s="45"/>
      <c r="I22" s="42" t="str">
        <f t="shared" si="1"/>
        <v/>
      </c>
    </row>
    <row r="23" spans="1:9" x14ac:dyDescent="0.25">
      <c r="A23" s="36" t="str">
        <f>IF(NO3NH4!A23="","",NO3NH4!A23)</f>
        <v/>
      </c>
      <c r="B23" s="37" t="str">
        <f>IF(NO3NH4!B23="","",NO3NH4!B23)</f>
        <v/>
      </c>
      <c r="C23" s="42" t="str">
        <f>IF(NO3NH4!I23="","",Mediapar((NO3NH4!I23),1))</f>
        <v/>
      </c>
      <c r="D23" s="42" t="str">
        <f>IF(NO3NH4!J23="","",Mediapar((NO3NH4!J23),1))</f>
        <v/>
      </c>
      <c r="E23" s="42" t="str">
        <f t="shared" si="0"/>
        <v/>
      </c>
      <c r="F23" s="42" t="str">
        <f>IF(AND(C23="",D23=""),"",IF(AND(C23&lt;Datos!$G$2,D23&lt;Datos!$G$3),"&lt;",""))</f>
        <v/>
      </c>
      <c r="G23" s="42" t="str">
        <f>IF(AND(C23="",D23=""),"",IF(AND(C23&lt;Datos!$G$2,D23&lt;Datos!$G$3),Datos!$G$4,IF(C23&lt;Datos!$G$2,D23,IF(D23&lt;Datos!$G$3,C23,(C23+D23)))))</f>
        <v/>
      </c>
      <c r="H23" s="45"/>
      <c r="I23" s="42" t="str">
        <f t="shared" si="1"/>
        <v/>
      </c>
    </row>
    <row r="24" spans="1:9" x14ac:dyDescent="0.25">
      <c r="A24" s="36" t="str">
        <f>IF(NO3NH4!A24="","",NO3NH4!A24)</f>
        <v/>
      </c>
      <c r="B24" s="37" t="str">
        <f>IF(NO3NH4!B24="","",NO3NH4!B24)</f>
        <v/>
      </c>
      <c r="C24" s="42" t="str">
        <f>IF(NO3NH4!I24="","",Mediapar((NO3NH4!I24),1))</f>
        <v/>
      </c>
      <c r="D24" s="42" t="str">
        <f>IF(NO3NH4!J24="","",Mediapar((NO3NH4!J24),1))</f>
        <v/>
      </c>
      <c r="E24" s="42" t="str">
        <f t="shared" si="0"/>
        <v/>
      </c>
      <c r="F24" s="42" t="str">
        <f>IF(AND(C24="",D24=""),"",IF(AND(C24&lt;Datos!$G$2,D24&lt;Datos!$G$3),"&lt;",""))</f>
        <v/>
      </c>
      <c r="G24" s="42" t="str">
        <f>IF(AND(C24="",D24=""),"",IF(AND(C24&lt;Datos!$G$2,D24&lt;Datos!$G$3),Datos!$G$4,IF(C24&lt;Datos!$G$2,D24,IF(D24&lt;Datos!$G$3,C24,(C24+D24)))))</f>
        <v/>
      </c>
      <c r="H24" s="45"/>
      <c r="I24" s="42" t="str">
        <f t="shared" si="1"/>
        <v/>
      </c>
    </row>
    <row r="25" spans="1:9" x14ac:dyDescent="0.25">
      <c r="A25" s="36" t="str">
        <f>IF(NO3NH4!A25="","",NO3NH4!A25)</f>
        <v/>
      </c>
      <c r="B25" s="37" t="str">
        <f>IF(NO3NH4!B25="","",NO3NH4!B25)</f>
        <v/>
      </c>
      <c r="C25" s="42" t="str">
        <f>IF(NO3NH4!I25="","",Mediapar((NO3NH4!I25),1))</f>
        <v/>
      </c>
      <c r="D25" s="42" t="str">
        <f>IF(NO3NH4!J25="","",Mediapar((NO3NH4!J25),1))</f>
        <v/>
      </c>
      <c r="E25" s="42" t="str">
        <f t="shared" si="0"/>
        <v/>
      </c>
      <c r="F25" s="42" t="str">
        <f>IF(AND(C25="",D25=""),"",IF(AND(C25&lt;Datos!$G$2,D25&lt;Datos!$G$3),"&lt;",""))</f>
        <v/>
      </c>
      <c r="G25" s="42" t="str">
        <f>IF(AND(C25="",D25=""),"",IF(AND(C25&lt;Datos!$G$2,D25&lt;Datos!$G$3),Datos!$G$4,IF(C25&lt;Datos!$G$2,D25,IF(D25&lt;Datos!$G$3,C25,(C25+D25)))))</f>
        <v/>
      </c>
      <c r="H25" s="45"/>
      <c r="I25" s="42" t="str">
        <f t="shared" si="1"/>
        <v/>
      </c>
    </row>
    <row r="26" spans="1:9" x14ac:dyDescent="0.25">
      <c r="A26" s="36" t="str">
        <f>IF(NO3NH4!A26="","",NO3NH4!A26)</f>
        <v/>
      </c>
      <c r="B26" s="37" t="str">
        <f>IF(NO3NH4!B26="","",NO3NH4!B26)</f>
        <v/>
      </c>
      <c r="C26" s="42" t="str">
        <f>IF(NO3NH4!I26="","",Mediapar((NO3NH4!I26),1))</f>
        <v/>
      </c>
      <c r="D26" s="42" t="str">
        <f>IF(NO3NH4!J26="","",Mediapar((NO3NH4!J26),1))</f>
        <v/>
      </c>
      <c r="E26" s="42" t="str">
        <f t="shared" si="0"/>
        <v/>
      </c>
      <c r="F26" s="42" t="str">
        <f>IF(AND(C26="",D26=""),"",IF(AND(C26&lt;Datos!$G$2,D26&lt;Datos!$G$3),"&lt;",""))</f>
        <v/>
      </c>
      <c r="G26" s="42" t="str">
        <f>IF(AND(C26="",D26=""),"",IF(AND(C26&lt;Datos!$G$2,D26&lt;Datos!$G$3),Datos!$G$4,IF(C26&lt;Datos!$G$2,D26,IF(D26&lt;Datos!$G$3,C26,(C26+D26)))))</f>
        <v/>
      </c>
      <c r="H26" s="45"/>
      <c r="I26" s="42" t="str">
        <f t="shared" si="1"/>
        <v/>
      </c>
    </row>
    <row r="27" spans="1:9" x14ac:dyDescent="0.25">
      <c r="A27" s="36" t="str">
        <f>IF(NO3NH4!A27="","",NO3NH4!A27)</f>
        <v/>
      </c>
      <c r="B27" s="37" t="str">
        <f>IF(NO3NH4!B27="","",NO3NH4!B27)</f>
        <v/>
      </c>
      <c r="C27" s="42" t="str">
        <f>IF(NO3NH4!I27="","",Mediapar((NO3NH4!I27),1))</f>
        <v/>
      </c>
      <c r="D27" s="42" t="str">
        <f>IF(NO3NH4!J27="","",Mediapar((NO3NH4!J27),1))</f>
        <v/>
      </c>
      <c r="E27" s="42" t="str">
        <f t="shared" si="0"/>
        <v/>
      </c>
      <c r="F27" s="42" t="str">
        <f>IF(AND(C27="",D27=""),"",IF(AND(C27&lt;Datos!$G$2,D27&lt;Datos!$G$3),"&lt;",""))</f>
        <v/>
      </c>
      <c r="G27" s="42" t="str">
        <f>IF(AND(C27="",D27=""),"",IF(AND(C27&lt;Datos!$G$2,D27&lt;Datos!$G$3),Datos!$G$4,IF(C27&lt;Datos!$G$2,D27,IF(D27&lt;Datos!$G$3,C27,(C27+D27)))))</f>
        <v/>
      </c>
      <c r="H27" s="45"/>
      <c r="I27" s="42" t="str">
        <f t="shared" si="1"/>
        <v/>
      </c>
    </row>
    <row r="28" spans="1:9" x14ac:dyDescent="0.25">
      <c r="A28" s="36" t="str">
        <f>IF(NO3NH4!A28="","",NO3NH4!A28)</f>
        <v/>
      </c>
      <c r="B28" s="37" t="str">
        <f>IF(NO3NH4!B28="","",NO3NH4!B28)</f>
        <v/>
      </c>
      <c r="C28" s="42" t="str">
        <f>IF(NO3NH4!I28="","",Mediapar((NO3NH4!I28),1))</f>
        <v/>
      </c>
      <c r="D28" s="42" t="str">
        <f>IF(NO3NH4!J28="","",Mediapar((NO3NH4!J28),1))</f>
        <v/>
      </c>
      <c r="E28" s="42" t="str">
        <f t="shared" si="0"/>
        <v/>
      </c>
      <c r="F28" s="42" t="str">
        <f>IF(AND(C28="",D28=""),"",IF(AND(C28&lt;Datos!$G$2,D28&lt;Datos!$G$3),"&lt;",""))</f>
        <v/>
      </c>
      <c r="G28" s="42" t="str">
        <f>IF(AND(C28="",D28=""),"",IF(AND(C28&lt;Datos!$G$2,D28&lt;Datos!$G$3),Datos!$G$4,IF(C28&lt;Datos!$G$2,D28,IF(D28&lt;Datos!$G$3,C28,(C28+D28)))))</f>
        <v/>
      </c>
      <c r="H28" s="45"/>
      <c r="I28" s="42" t="str">
        <f t="shared" si="1"/>
        <v/>
      </c>
    </row>
    <row r="29" spans="1:9" x14ac:dyDescent="0.25">
      <c r="A29" s="36" t="str">
        <f>IF(NO3NH4!A29="","",NO3NH4!A29)</f>
        <v/>
      </c>
      <c r="B29" s="37" t="str">
        <f>IF(NO3NH4!B29="","",NO3NH4!B29)</f>
        <v/>
      </c>
      <c r="C29" s="42" t="str">
        <f>IF(NO3NH4!I29="","",Mediapar((NO3NH4!I29),1))</f>
        <v/>
      </c>
      <c r="D29" s="42" t="str">
        <f>IF(NO3NH4!J29="","",Mediapar((NO3NH4!J29),1))</f>
        <v/>
      </c>
      <c r="E29" s="42" t="str">
        <f t="shared" si="0"/>
        <v/>
      </c>
      <c r="F29" s="42" t="str">
        <f>IF(AND(C29="",D29=""),"",IF(AND(C29&lt;Datos!$G$2,D29&lt;Datos!$G$3),"&lt;",""))</f>
        <v/>
      </c>
      <c r="G29" s="42" t="str">
        <f>IF(AND(C29="",D29=""),"",IF(AND(C29&lt;Datos!$G$2,D29&lt;Datos!$G$3),Datos!$G$4,IF(C29&lt;Datos!$G$2,D29,IF(D29&lt;Datos!$G$3,C29,(C29+D29)))))</f>
        <v/>
      </c>
      <c r="H29" s="45"/>
      <c r="I29" s="42" t="str">
        <f t="shared" si="1"/>
        <v/>
      </c>
    </row>
    <row r="30" spans="1:9" x14ac:dyDescent="0.25">
      <c r="A30" s="36" t="str">
        <f>IF(NO3NH4!A30="","",NO3NH4!A30)</f>
        <v/>
      </c>
      <c r="B30" s="37" t="str">
        <f>IF(NO3NH4!B30="","",NO3NH4!B30)</f>
        <v/>
      </c>
      <c r="C30" s="42" t="str">
        <f>IF(NO3NH4!I30="","",Mediapar((NO3NH4!I30),1))</f>
        <v/>
      </c>
      <c r="D30" s="42" t="str">
        <f>IF(NO3NH4!J30="","",Mediapar((NO3NH4!J30),1))</f>
        <v/>
      </c>
      <c r="E30" s="42" t="str">
        <f t="shared" si="0"/>
        <v/>
      </c>
      <c r="F30" s="42" t="str">
        <f>IF(AND(C30="",D30=""),"",IF(AND(C30&lt;Datos!$G$2,D30&lt;Datos!$G$3),"&lt;",""))</f>
        <v/>
      </c>
      <c r="G30" s="42" t="str">
        <f>IF(AND(C30="",D30=""),"",IF(AND(C30&lt;Datos!$G$2,D30&lt;Datos!$G$3),Datos!$G$4,IF(C30&lt;Datos!$G$2,D30,IF(D30&lt;Datos!$G$3,C30,(C30+D30)))))</f>
        <v/>
      </c>
      <c r="H30" s="45"/>
      <c r="I30" s="42" t="str">
        <f t="shared" si="1"/>
        <v/>
      </c>
    </row>
    <row r="31" spans="1:9" x14ac:dyDescent="0.25">
      <c r="A31" s="36" t="str">
        <f>IF(NO3NH4!A31="","",NO3NH4!A31)</f>
        <v/>
      </c>
      <c r="B31" s="37" t="str">
        <f>IF(NO3NH4!B31="","",NO3NH4!B31)</f>
        <v/>
      </c>
      <c r="C31" s="42" t="str">
        <f>IF(NO3NH4!I31="","",Mediapar((NO3NH4!I31),1))</f>
        <v/>
      </c>
      <c r="D31" s="42" t="str">
        <f>IF(NO3NH4!J31="","",Mediapar((NO3NH4!J31),1))</f>
        <v/>
      </c>
      <c r="E31" s="42" t="str">
        <f t="shared" si="0"/>
        <v/>
      </c>
      <c r="F31" s="42" t="str">
        <f>IF(AND(C31="",D31=""),"",IF(AND(C31&lt;Datos!$G$2,D31&lt;Datos!$G$3),"&lt;",""))</f>
        <v/>
      </c>
      <c r="G31" s="42" t="str">
        <f>IF(AND(C31="",D31=""),"",IF(AND(C31&lt;Datos!$G$2,D31&lt;Datos!$G$3),Datos!$G$4,IF(C31&lt;Datos!$G$2,D31,IF(D31&lt;Datos!$G$3,C31,(C31+D31)))))</f>
        <v/>
      </c>
      <c r="H31" s="45"/>
      <c r="I31" s="42" t="str">
        <f t="shared" si="1"/>
        <v/>
      </c>
    </row>
    <row r="32" spans="1:9" x14ac:dyDescent="0.25">
      <c r="A32" s="36" t="str">
        <f>IF(NO3NH4!A32="","",NO3NH4!A32)</f>
        <v/>
      </c>
      <c r="B32" s="37" t="str">
        <f>IF(NO3NH4!B32="","",NO3NH4!B32)</f>
        <v/>
      </c>
      <c r="C32" s="42" t="str">
        <f>IF(NO3NH4!I32="","",Mediapar((NO3NH4!I32),1))</f>
        <v/>
      </c>
      <c r="D32" s="42" t="str">
        <f>IF(NO3NH4!J32="","",Mediapar((NO3NH4!J32),1))</f>
        <v/>
      </c>
      <c r="E32" s="42" t="str">
        <f t="shared" si="0"/>
        <v/>
      </c>
      <c r="F32" s="42" t="str">
        <f>IF(AND(C32="",D32=""),"",IF(AND(C32&lt;Datos!$G$2,D32&lt;Datos!$G$3),"&lt;",""))</f>
        <v/>
      </c>
      <c r="G32" s="42" t="str">
        <f>IF(AND(C32="",D32=""),"",IF(AND(C32&lt;Datos!$G$2,D32&lt;Datos!$G$3),Datos!$G$4,IF(C32&lt;Datos!$G$2,D32,IF(D32&lt;Datos!$G$3,C32,(C32+D32)))))</f>
        <v/>
      </c>
      <c r="H32" s="45"/>
      <c r="I32" s="42" t="str">
        <f t="shared" si="1"/>
        <v/>
      </c>
    </row>
    <row r="33" spans="1:9" x14ac:dyDescent="0.25">
      <c r="A33" s="36" t="str">
        <f>IF(NO3NH4!A33="","",NO3NH4!A33)</f>
        <v/>
      </c>
      <c r="B33" s="37" t="str">
        <f>IF(NO3NH4!B33="","",NO3NH4!B33)</f>
        <v/>
      </c>
      <c r="C33" s="42" t="str">
        <f>IF(NO3NH4!I33="","",Mediapar((NO3NH4!I33),1))</f>
        <v/>
      </c>
      <c r="D33" s="42" t="str">
        <f>IF(NO3NH4!J33="","",Mediapar((NO3NH4!J33),1))</f>
        <v/>
      </c>
      <c r="E33" s="42" t="str">
        <f t="shared" si="0"/>
        <v/>
      </c>
      <c r="F33" s="42" t="str">
        <f>IF(AND(C33="",D33=""),"",IF(AND(C33&lt;Datos!$G$2,D33&lt;Datos!$G$3),"&lt;",""))</f>
        <v/>
      </c>
      <c r="G33" s="42" t="str">
        <f>IF(AND(C33="",D33=""),"",IF(AND(C33&lt;Datos!$G$2,D33&lt;Datos!$G$3),Datos!$G$4,IF(C33&lt;Datos!$G$2,D33,IF(D33&lt;Datos!$G$3,C33,(C33+D33)))))</f>
        <v/>
      </c>
      <c r="H33" s="45"/>
      <c r="I33" s="42" t="str">
        <f t="shared" si="1"/>
        <v/>
      </c>
    </row>
    <row r="34" spans="1:9" x14ac:dyDescent="0.25">
      <c r="A34" s="36" t="str">
        <f>IF(NO3NH4!A34="","",NO3NH4!A34)</f>
        <v/>
      </c>
      <c r="B34" s="37" t="str">
        <f>IF(NO3NH4!B34="","",NO3NH4!B34)</f>
        <v/>
      </c>
      <c r="C34" s="42" t="str">
        <f>IF(NO3NH4!I34="","",Mediapar((NO3NH4!I34),1))</f>
        <v/>
      </c>
      <c r="D34" s="42" t="str">
        <f>IF(NO3NH4!J34="","",Mediapar((NO3NH4!J34),1))</f>
        <v/>
      </c>
      <c r="E34" s="42" t="str">
        <f t="shared" si="0"/>
        <v/>
      </c>
      <c r="F34" s="42" t="str">
        <f>IF(AND(C34="",D34=""),"",IF(AND(C34&lt;Datos!$G$2,D34&lt;Datos!$G$3),"&lt;",""))</f>
        <v/>
      </c>
      <c r="G34" s="42" t="str">
        <f>IF(AND(C34="",D34=""),"",IF(AND(C34&lt;Datos!$G$2,D34&lt;Datos!$G$3),Datos!$G$4,IF(C34&lt;Datos!$G$2,D34,IF(D34&lt;Datos!$G$3,C34,(C34+D34)))))</f>
        <v/>
      </c>
      <c r="H34" s="45"/>
      <c r="I34" s="42" t="str">
        <f t="shared" si="1"/>
        <v/>
      </c>
    </row>
    <row r="35" spans="1:9" x14ac:dyDescent="0.25">
      <c r="A35" s="36" t="str">
        <f>IF(NO3NH4!A35="","",NO3NH4!A35)</f>
        <v/>
      </c>
      <c r="B35" s="37" t="str">
        <f>IF(NO3NH4!B35="","",NO3NH4!B35)</f>
        <v/>
      </c>
      <c r="C35" s="42" t="str">
        <f>IF(NO3NH4!I35="","",Mediapar((NO3NH4!I35),1))</f>
        <v/>
      </c>
      <c r="D35" s="42" t="str">
        <f>IF(NO3NH4!J35="","",Mediapar((NO3NH4!J35),1))</f>
        <v/>
      </c>
      <c r="E35" s="42" t="str">
        <f t="shared" si="0"/>
        <v/>
      </c>
      <c r="F35" s="42" t="str">
        <f>IF(AND(C35="",D35=""),"",IF(AND(C35&lt;Datos!$G$2,D35&lt;Datos!$G$3),"&lt;",""))</f>
        <v/>
      </c>
      <c r="G35" s="42" t="str">
        <f>IF(AND(C35="",D35=""),"",IF(AND(C35&lt;Datos!$G$2,D35&lt;Datos!$G$3),Datos!$G$4,IF(C35&lt;Datos!$G$2,D35,IF(D35&lt;Datos!$G$3,C35,(C35+D35)))))</f>
        <v/>
      </c>
      <c r="H35" s="45"/>
      <c r="I35" s="42" t="str">
        <f t="shared" si="1"/>
        <v/>
      </c>
    </row>
    <row r="36" spans="1:9" x14ac:dyDescent="0.25">
      <c r="A36" s="36" t="str">
        <f>IF(NO3NH4!A36="","",NO3NH4!A36)</f>
        <v/>
      </c>
      <c r="B36" s="37" t="str">
        <f>IF(NO3NH4!B36="","",NO3NH4!B36)</f>
        <v/>
      </c>
      <c r="C36" s="42" t="str">
        <f>IF(NO3NH4!I36="","",Mediapar((NO3NH4!I36),1))</f>
        <v/>
      </c>
      <c r="D36" s="42" t="str">
        <f>IF(NO3NH4!J36="","",Mediapar((NO3NH4!J36),1))</f>
        <v/>
      </c>
      <c r="E36" s="42" t="str">
        <f t="shared" si="0"/>
        <v/>
      </c>
      <c r="F36" s="42" t="str">
        <f>IF(AND(C36="",D36=""),"",IF(AND(C36&lt;Datos!$G$2,D36&lt;Datos!$G$3),"&lt;",""))</f>
        <v/>
      </c>
      <c r="G36" s="42" t="str">
        <f>IF(AND(C36="",D36=""),"",IF(AND(C36&lt;Datos!$G$2,D36&lt;Datos!$G$3),Datos!$G$4,IF(C36&lt;Datos!$G$2,D36,IF(D36&lt;Datos!$G$3,C36,(C36+D36)))))</f>
        <v/>
      </c>
      <c r="H36" s="45"/>
      <c r="I36" s="42" t="str">
        <f t="shared" si="1"/>
        <v/>
      </c>
    </row>
    <row r="37" spans="1:9" x14ac:dyDescent="0.25">
      <c r="A37" s="36" t="str">
        <f>IF(NO3NH4!A37="","",NO3NH4!A37)</f>
        <v/>
      </c>
      <c r="B37" s="37" t="str">
        <f>IF(NO3NH4!B37="","",NO3NH4!B37)</f>
        <v/>
      </c>
      <c r="C37" s="42" t="str">
        <f>IF(NO3NH4!I37="","",Mediapar((NO3NH4!I37),1))</f>
        <v/>
      </c>
      <c r="D37" s="42" t="str">
        <f>IF(NO3NH4!J37="","",Mediapar((NO3NH4!J37),1))</f>
        <v/>
      </c>
      <c r="E37" s="42" t="str">
        <f t="shared" si="0"/>
        <v/>
      </c>
      <c r="F37" s="42" t="str">
        <f>IF(AND(C37="",D37=""),"",IF(AND(C37&lt;Datos!$G$2,D37&lt;Datos!$G$3),"&lt;",""))</f>
        <v/>
      </c>
      <c r="G37" s="42" t="str">
        <f>IF(AND(C37="",D37=""),"",IF(AND(C37&lt;Datos!$G$2,D37&lt;Datos!$G$3),Datos!$G$4,IF(C37&lt;Datos!$G$2,D37,IF(D37&lt;Datos!$G$3,C37,(C37+D37)))))</f>
        <v/>
      </c>
      <c r="H37" s="45"/>
      <c r="I37" s="42" t="str">
        <f t="shared" si="1"/>
        <v/>
      </c>
    </row>
    <row r="38" spans="1:9" x14ac:dyDescent="0.25">
      <c r="A38" s="36" t="str">
        <f>IF(NO3NH4!A38="","",NO3NH4!A38)</f>
        <v/>
      </c>
      <c r="B38" s="37" t="str">
        <f>IF(NO3NH4!B38="","",NO3NH4!B38)</f>
        <v/>
      </c>
      <c r="C38" s="42" t="str">
        <f>IF(NO3NH4!I38="","",Mediapar((NO3NH4!I38),1))</f>
        <v/>
      </c>
      <c r="D38" s="42" t="str">
        <f>IF(NO3NH4!J38="","",Mediapar((NO3NH4!J38),1))</f>
        <v/>
      </c>
      <c r="E38" s="42" t="str">
        <f t="shared" si="0"/>
        <v/>
      </c>
      <c r="F38" s="42" t="str">
        <f>IF(AND(C38="",D38=""),"",IF(AND(C38&lt;Datos!$G$2,D38&lt;Datos!$G$3),"&lt;",""))</f>
        <v/>
      </c>
      <c r="G38" s="42" t="str">
        <f>IF(AND(C38="",D38=""),"",IF(AND(C38&lt;Datos!$G$2,D38&lt;Datos!$G$3),Datos!$G$4,IF(C38&lt;Datos!$G$2,D38,IF(D38&lt;Datos!$G$3,C38,(C38+D38)))))</f>
        <v/>
      </c>
      <c r="H38" s="45"/>
      <c r="I38" s="42" t="str">
        <f t="shared" si="1"/>
        <v/>
      </c>
    </row>
    <row r="39" spans="1:9" x14ac:dyDescent="0.25">
      <c r="A39" s="36" t="str">
        <f>IF(NO3NH4!A39="","",NO3NH4!A39)</f>
        <v/>
      </c>
      <c r="B39" s="37" t="str">
        <f>IF(NO3NH4!B39="","",NO3NH4!B39)</f>
        <v/>
      </c>
      <c r="C39" s="42" t="str">
        <f>IF(NO3NH4!I39="","",Mediapar((NO3NH4!I39),1))</f>
        <v/>
      </c>
      <c r="D39" s="42" t="str">
        <f>IF(NO3NH4!J39="","",Mediapar((NO3NH4!J39),1))</f>
        <v/>
      </c>
      <c r="E39" s="42" t="str">
        <f t="shared" si="0"/>
        <v/>
      </c>
      <c r="F39" s="42" t="str">
        <f>IF(AND(C39="",D39=""),"",IF(AND(C39&lt;Datos!$G$2,D39&lt;Datos!$G$3),"&lt;",""))</f>
        <v/>
      </c>
      <c r="G39" s="42" t="str">
        <f>IF(AND(C39="",D39=""),"",IF(AND(C39&lt;Datos!$G$2,D39&lt;Datos!$G$3),Datos!$G$4,IF(C39&lt;Datos!$G$2,D39,IF(D39&lt;Datos!$G$3,C39,(C39+D39)))))</f>
        <v/>
      </c>
      <c r="H39" s="45"/>
      <c r="I39" s="42" t="str">
        <f t="shared" si="1"/>
        <v/>
      </c>
    </row>
    <row r="40" spans="1:9" x14ac:dyDescent="0.25">
      <c r="A40" s="36" t="str">
        <f>IF(NO3NH4!A40="","",NO3NH4!A40)</f>
        <v/>
      </c>
      <c r="B40" s="37" t="str">
        <f>IF(NO3NH4!B40="","",NO3NH4!B40)</f>
        <v/>
      </c>
      <c r="C40" s="42" t="str">
        <f>IF(NO3NH4!I40="","",Mediapar((NO3NH4!I40),1))</f>
        <v/>
      </c>
      <c r="D40" s="42" t="str">
        <f>IF(NO3NH4!J40="","",Mediapar((NO3NH4!J40),1))</f>
        <v/>
      </c>
      <c r="E40" s="42" t="str">
        <f t="shared" si="0"/>
        <v/>
      </c>
      <c r="F40" s="42" t="str">
        <f>IF(AND(C40="",D40=""),"",IF(AND(C40&lt;Datos!$G$2,D40&lt;Datos!$G$3),"&lt;",""))</f>
        <v/>
      </c>
      <c r="G40" s="42" t="str">
        <f>IF(AND(C40="",D40=""),"",IF(AND(C40&lt;Datos!$G$2,D40&lt;Datos!$G$3),Datos!$G$4,IF(C40&lt;Datos!$G$2,D40,IF(D40&lt;Datos!$G$3,C40,(C40+D40)))))</f>
        <v/>
      </c>
      <c r="H40" s="45"/>
      <c r="I40" s="42" t="str">
        <f t="shared" si="1"/>
        <v/>
      </c>
    </row>
    <row r="41" spans="1:9" x14ac:dyDescent="0.25">
      <c r="A41" s="36" t="str">
        <f>IF(NO3NH4!A41="","",NO3NH4!A41)</f>
        <v/>
      </c>
      <c r="B41" s="37" t="str">
        <f>IF(NO3NH4!B41="","",NO3NH4!B41)</f>
        <v/>
      </c>
      <c r="C41" s="42" t="str">
        <f>IF(NO3NH4!I41="","",Mediapar((NO3NH4!I41),1))</f>
        <v/>
      </c>
      <c r="D41" s="42" t="str">
        <f>IF(NO3NH4!J41="","",Mediapar((NO3NH4!J41),1))</f>
        <v/>
      </c>
      <c r="E41" s="42" t="str">
        <f t="shared" si="0"/>
        <v/>
      </c>
      <c r="F41" s="42" t="str">
        <f>IF(AND(C41="",D41=""),"",IF(AND(C41&lt;Datos!$G$2,D41&lt;Datos!$G$3),"&lt;",""))</f>
        <v/>
      </c>
      <c r="G41" s="42" t="str">
        <f>IF(AND(C41="",D41=""),"",IF(AND(C41&lt;Datos!$G$2,D41&lt;Datos!$G$3),Datos!$G$4,IF(C41&lt;Datos!$G$2,D41,IF(D41&lt;Datos!$G$3,C41,(C41+D41)))))</f>
        <v/>
      </c>
      <c r="H41" s="45"/>
      <c r="I41" s="42" t="str">
        <f t="shared" si="1"/>
        <v/>
      </c>
    </row>
    <row r="42" spans="1:9" x14ac:dyDescent="0.25">
      <c r="A42" s="36" t="str">
        <f>IF(NO3NH4!A42="","",NO3NH4!A42)</f>
        <v/>
      </c>
      <c r="B42" s="37" t="str">
        <f>IF(NO3NH4!B42="","",NO3NH4!B42)</f>
        <v/>
      </c>
      <c r="C42" s="42" t="str">
        <f>IF(NO3NH4!I42="","",Mediapar((NO3NH4!I42),1))</f>
        <v/>
      </c>
      <c r="D42" s="42" t="str">
        <f>IF(NO3NH4!J42="","",Mediapar((NO3NH4!J42),1))</f>
        <v/>
      </c>
      <c r="E42" s="42" t="str">
        <f t="shared" si="0"/>
        <v/>
      </c>
      <c r="F42" s="42" t="str">
        <f>IF(AND(C42="",D42=""),"",IF(AND(C42&lt;Datos!$G$2,D42&lt;Datos!$G$3),"&lt;",""))</f>
        <v/>
      </c>
      <c r="G42" s="42" t="str">
        <f>IF(AND(C42="",D42=""),"",IF(AND(C42&lt;Datos!$G$2,D42&lt;Datos!$G$3),Datos!$G$4,IF(C42&lt;Datos!$G$2,D42,IF(D42&lt;Datos!$G$3,C42,(C42+D42)))))</f>
        <v/>
      </c>
      <c r="H42" s="45"/>
      <c r="I42" s="42" t="str">
        <f t="shared" si="1"/>
        <v/>
      </c>
    </row>
    <row r="43" spans="1:9" x14ac:dyDescent="0.25">
      <c r="A43" s="36" t="str">
        <f>IF(NO3NH4!A43="","",NO3NH4!A43)</f>
        <v/>
      </c>
      <c r="B43" s="37" t="str">
        <f>IF(NO3NH4!B43="","",NO3NH4!B43)</f>
        <v/>
      </c>
      <c r="C43" s="42" t="str">
        <f>IF(NO3NH4!I43="","",Mediapar((NO3NH4!I43),1))</f>
        <v/>
      </c>
      <c r="D43" s="42" t="str">
        <f>IF(NO3NH4!J43="","",Mediapar((NO3NH4!J43),1))</f>
        <v/>
      </c>
      <c r="E43" s="42" t="str">
        <f t="shared" si="0"/>
        <v/>
      </c>
      <c r="F43" s="42" t="str">
        <f>IF(AND(C43="",D43=""),"",IF(AND(C43&lt;Datos!$G$2,D43&lt;Datos!$G$3),"&lt;",""))</f>
        <v/>
      </c>
      <c r="G43" s="42" t="str">
        <f>IF(AND(C43="",D43=""),"",IF(AND(C43&lt;Datos!$G$2,D43&lt;Datos!$G$3),Datos!$G$4,IF(C43&lt;Datos!$G$2,D43,IF(D43&lt;Datos!$G$3,C43,(C43+D43)))))</f>
        <v/>
      </c>
      <c r="H43" s="45"/>
      <c r="I43" s="42" t="str">
        <f t="shared" si="1"/>
        <v/>
      </c>
    </row>
    <row r="44" spans="1:9" x14ac:dyDescent="0.25">
      <c r="A44" s="36" t="str">
        <f>IF(NO3NH4!A44="","",NO3NH4!A44)</f>
        <v/>
      </c>
      <c r="B44" s="37" t="str">
        <f>IF(NO3NH4!B44="","",NO3NH4!B44)</f>
        <v/>
      </c>
      <c r="C44" s="42" t="str">
        <f>IF(NO3NH4!I44="","",Mediapar((NO3NH4!I44),1))</f>
        <v/>
      </c>
      <c r="D44" s="42" t="str">
        <f>IF(NO3NH4!J44="","",Mediapar((NO3NH4!J44),1))</f>
        <v/>
      </c>
      <c r="E44" s="42" t="str">
        <f t="shared" si="0"/>
        <v/>
      </c>
      <c r="F44" s="42" t="str">
        <f>IF(AND(C44="",D44=""),"",IF(AND(C44&lt;Datos!$G$2,D44&lt;Datos!$G$3),"&lt;",""))</f>
        <v/>
      </c>
      <c r="G44" s="42" t="str">
        <f>IF(AND(C44="",D44=""),"",IF(AND(C44&lt;Datos!$G$2,D44&lt;Datos!$G$3),Datos!$G$4,IF(C44&lt;Datos!$G$2,D44,IF(D44&lt;Datos!$G$3,C44,(C44+D44)))))</f>
        <v/>
      </c>
      <c r="H44" s="45"/>
      <c r="I44" s="42" t="str">
        <f t="shared" si="1"/>
        <v/>
      </c>
    </row>
    <row r="45" spans="1:9" x14ac:dyDescent="0.25">
      <c r="A45" s="36" t="str">
        <f>IF(NO3NH4!A45="","",NO3NH4!A45)</f>
        <v/>
      </c>
      <c r="B45" s="37" t="str">
        <f>IF(NO3NH4!B45="","",NO3NH4!B45)</f>
        <v/>
      </c>
      <c r="C45" s="42" t="str">
        <f>IF(NO3NH4!I45="","",Mediapar((NO3NH4!I45),1))</f>
        <v/>
      </c>
      <c r="D45" s="42" t="str">
        <f>IF(NO3NH4!J45="","",Mediapar((NO3NH4!J45),1))</f>
        <v/>
      </c>
      <c r="E45" s="42" t="str">
        <f t="shared" si="0"/>
        <v/>
      </c>
      <c r="F45" s="42" t="str">
        <f>IF(AND(C45="",D45=""),"",IF(AND(C45&lt;Datos!$G$2,D45&lt;Datos!$G$3),"&lt;",""))</f>
        <v/>
      </c>
      <c r="G45" s="42" t="str">
        <f>IF(AND(C45="",D45=""),"",IF(AND(C45&lt;Datos!$G$2,D45&lt;Datos!$G$3),Datos!$G$4,IF(C45&lt;Datos!$G$2,D45,IF(D45&lt;Datos!$G$3,C45,(C45+D45)))))</f>
        <v/>
      </c>
      <c r="H45" s="45"/>
      <c r="I45" s="42" t="str">
        <f t="shared" si="1"/>
        <v/>
      </c>
    </row>
    <row r="46" spans="1:9" x14ac:dyDescent="0.25">
      <c r="A46" s="36" t="str">
        <f>IF(NO3NH4!A46="","",NO3NH4!A46)</f>
        <v/>
      </c>
      <c r="B46" s="37" t="str">
        <f>IF(NO3NH4!B46="","",NO3NH4!B46)</f>
        <v/>
      </c>
      <c r="C46" s="42" t="str">
        <f>IF(NO3NH4!I46="","",Mediapar((NO3NH4!I46),1))</f>
        <v/>
      </c>
      <c r="D46" s="42" t="str">
        <f>IF(NO3NH4!J46="","",Mediapar((NO3NH4!J46),1))</f>
        <v/>
      </c>
      <c r="E46" s="42" t="str">
        <f t="shared" si="0"/>
        <v/>
      </c>
      <c r="F46" s="42" t="str">
        <f>IF(AND(C46="",D46=""),"",IF(AND(C46&lt;Datos!$G$2,D46&lt;Datos!$G$3),"&lt;",""))</f>
        <v/>
      </c>
      <c r="G46" s="42" t="str">
        <f>IF(AND(C46="",D46=""),"",IF(AND(C46&lt;Datos!$G$2,D46&lt;Datos!$G$3),Datos!$G$4,IF(C46&lt;Datos!$G$2,D46,IF(D46&lt;Datos!$G$3,C46,(C46+D46)))))</f>
        <v/>
      </c>
      <c r="H46" s="45"/>
      <c r="I46" s="42" t="str">
        <f t="shared" si="1"/>
        <v/>
      </c>
    </row>
    <row r="47" spans="1:9" x14ac:dyDescent="0.25">
      <c r="A47" s="36" t="str">
        <f>IF(NO3NH4!A47="","",NO3NH4!A47)</f>
        <v/>
      </c>
      <c r="B47" s="37" t="str">
        <f>IF(NO3NH4!B47="","",NO3NH4!B47)</f>
        <v/>
      </c>
      <c r="C47" s="42" t="str">
        <f>IF(NO3NH4!I47="","",Mediapar((NO3NH4!I47),1))</f>
        <v/>
      </c>
      <c r="D47" s="42" t="str">
        <f>IF(NO3NH4!J47="","",Mediapar((NO3NH4!J47),1))</f>
        <v/>
      </c>
      <c r="E47" s="42" t="str">
        <f t="shared" si="0"/>
        <v/>
      </c>
      <c r="F47" s="42" t="str">
        <f>IF(AND(C47="",D47=""),"",IF(AND(C47&lt;Datos!$G$2,D47&lt;Datos!$G$3),"&lt;",""))</f>
        <v/>
      </c>
      <c r="G47" s="42" t="str">
        <f>IF(AND(C47="",D47=""),"",IF(AND(C47&lt;Datos!$G$2,D47&lt;Datos!$G$3),Datos!$G$4,IF(C47&lt;Datos!$G$2,D47,IF(D47&lt;Datos!$G$3,C47,(C47+D47)))))</f>
        <v/>
      </c>
      <c r="H47" s="45"/>
      <c r="I47" s="42" t="str">
        <f t="shared" si="1"/>
        <v/>
      </c>
    </row>
    <row r="48" spans="1:9" x14ac:dyDescent="0.25">
      <c r="A48" s="36" t="str">
        <f>IF(NO3NH4!A48="","",NO3NH4!A48)</f>
        <v/>
      </c>
      <c r="B48" s="37" t="str">
        <f>IF(NO3NH4!B48="","",NO3NH4!B48)</f>
        <v/>
      </c>
      <c r="C48" s="42" t="str">
        <f>IF(NO3NH4!I48="","",Mediapar((NO3NH4!I48),1))</f>
        <v/>
      </c>
      <c r="D48" s="42" t="str">
        <f>IF(NO3NH4!J48="","",Mediapar((NO3NH4!J48),1))</f>
        <v/>
      </c>
      <c r="E48" s="42" t="str">
        <f t="shared" si="0"/>
        <v/>
      </c>
      <c r="F48" s="42" t="str">
        <f>IF(AND(C48="",D48=""),"",IF(AND(C48&lt;Datos!$G$2,D48&lt;Datos!$G$3),"&lt;",""))</f>
        <v/>
      </c>
      <c r="G48" s="42" t="str">
        <f>IF(AND(C48="",D48=""),"",IF(AND(C48&lt;Datos!$G$2,D48&lt;Datos!$G$3),Datos!$G$4,IF(C48&lt;Datos!$G$2,D48,IF(D48&lt;Datos!$G$3,C48,(C48+D48)))))</f>
        <v/>
      </c>
      <c r="H48" s="45"/>
      <c r="I48" s="42" t="str">
        <f t="shared" si="1"/>
        <v/>
      </c>
    </row>
    <row r="49" spans="1:9" x14ac:dyDescent="0.25">
      <c r="A49" s="36" t="str">
        <f>IF(NO3NH4!A49="","",NO3NH4!A49)</f>
        <v/>
      </c>
      <c r="B49" s="37" t="str">
        <f>IF(NO3NH4!B49="","",NO3NH4!B49)</f>
        <v/>
      </c>
      <c r="C49" s="42" t="str">
        <f>IF(NO3NH4!I49="","",Mediapar((NO3NH4!I49),1))</f>
        <v/>
      </c>
      <c r="D49" s="42" t="str">
        <f>IF(NO3NH4!J49="","",Mediapar((NO3NH4!J49),1))</f>
        <v/>
      </c>
      <c r="E49" s="42" t="str">
        <f t="shared" si="0"/>
        <v/>
      </c>
      <c r="F49" s="42" t="str">
        <f>IF(AND(C49="",D49=""),"",IF(AND(C49&lt;Datos!$G$2,D49&lt;Datos!$G$3),"&lt;",""))</f>
        <v/>
      </c>
      <c r="G49" s="42" t="str">
        <f>IF(AND(C49="",D49=""),"",IF(AND(C49&lt;Datos!$G$2,D49&lt;Datos!$G$3),Datos!$G$4,IF(C49&lt;Datos!$G$2,D49,IF(D49&lt;Datos!$G$3,C49,(C49+D49)))))</f>
        <v/>
      </c>
      <c r="H49" s="45"/>
      <c r="I49" s="42" t="str">
        <f t="shared" si="1"/>
        <v/>
      </c>
    </row>
    <row r="50" spans="1:9" x14ac:dyDescent="0.25">
      <c r="A50" s="36" t="str">
        <f>IF(NO3NH4!A50="","",NO3NH4!A50)</f>
        <v/>
      </c>
      <c r="B50" s="37" t="str">
        <f>IF(NO3NH4!B50="","",NO3NH4!B50)</f>
        <v/>
      </c>
      <c r="C50" s="42" t="str">
        <f>IF(NO3NH4!I50="","",Mediapar((NO3NH4!I50),1))</f>
        <v/>
      </c>
      <c r="D50" s="42" t="str">
        <f>IF(NO3NH4!J50="","",Mediapar((NO3NH4!J50),1))</f>
        <v/>
      </c>
      <c r="E50" s="42" t="str">
        <f t="shared" si="0"/>
        <v/>
      </c>
      <c r="F50" s="42" t="str">
        <f>IF(AND(C50="",D50=""),"",IF(AND(C50&lt;Datos!$G$2,D50&lt;Datos!$G$3),"&lt;",""))</f>
        <v/>
      </c>
      <c r="G50" s="42" t="str">
        <f>IF(AND(C50="",D50=""),"",IF(AND(C50&lt;Datos!$G$2,D50&lt;Datos!$G$3),Datos!$G$4,IF(C50&lt;Datos!$G$2,D50,IF(D50&lt;Datos!$G$3,C50,(C50+D50)))))</f>
        <v/>
      </c>
      <c r="H50" s="45"/>
      <c r="I50" s="42" t="str">
        <f t="shared" si="1"/>
        <v/>
      </c>
    </row>
    <row r="51" spans="1:9" x14ac:dyDescent="0.25">
      <c r="A51" s="36" t="str">
        <f>IF(NO3NH4!A51="","",NO3NH4!A51)</f>
        <v/>
      </c>
      <c r="B51" s="37" t="str">
        <f>IF(NO3NH4!B51="","",NO3NH4!B51)</f>
        <v/>
      </c>
      <c r="C51" s="42" t="str">
        <f>IF(NO3NH4!I51="","",Mediapar((NO3NH4!I51),1))</f>
        <v/>
      </c>
      <c r="D51" s="42" t="str">
        <f>IF(NO3NH4!J51="","",Mediapar((NO3NH4!J51),1))</f>
        <v/>
      </c>
      <c r="E51" s="42" t="str">
        <f t="shared" si="0"/>
        <v/>
      </c>
      <c r="F51" s="42" t="str">
        <f>IF(AND(C51="",D51=""),"",IF(AND(C51&lt;Datos!$G$2,D51&lt;Datos!$G$3),"&lt;",""))</f>
        <v/>
      </c>
      <c r="G51" s="42" t="str">
        <f>IF(AND(C51="",D51=""),"",IF(AND(C51&lt;Datos!$G$2,D51&lt;Datos!$G$3),Datos!$G$4,IF(C51&lt;Datos!$G$2,D51,IF(D51&lt;Datos!$G$3,C51,(C51+D51)))))</f>
        <v/>
      </c>
      <c r="H51" s="45"/>
      <c r="I51" s="42" t="str">
        <f t="shared" si="1"/>
        <v/>
      </c>
    </row>
    <row r="52" spans="1:9" x14ac:dyDescent="0.25">
      <c r="A52" s="36" t="str">
        <f>IF(NO3NH4!A52="","",NO3NH4!A52)</f>
        <v>R-</v>
      </c>
      <c r="B52" s="37" t="str">
        <f>IF(NO3NH4!B52="","",NO3NH4!B52)</f>
        <v/>
      </c>
      <c r="C52" s="42" t="str">
        <f>IF(NO3NH4!I52="","",Mediapar((NO3NH4!I52),1))</f>
        <v/>
      </c>
      <c r="D52" s="42" t="str">
        <f>IF(NO3NH4!J52="","",Mediapar((NO3NH4!J52),1))</f>
        <v/>
      </c>
      <c r="E52" s="42" t="str">
        <f t="shared" si="0"/>
        <v/>
      </c>
      <c r="F52" s="42" t="str">
        <f>IF(AND(C52="",D52=""),"",IF(AND(C52&lt;Datos!$G$2,D52&lt;Datos!$G$3),"&lt;",""))</f>
        <v/>
      </c>
      <c r="G52" s="42" t="str">
        <f>IF(AND(C52="",D52=""),"",IF(AND(C52&lt;Datos!$G$2,D52&lt;Datos!$G$3),Datos!$G$4,IF(C52&lt;Datos!$G$2,D52,IF(D52&lt;Datos!$G$3,C52,(C52+D52)))))</f>
        <v/>
      </c>
      <c r="H52" s="45"/>
      <c r="I52" s="42" t="str">
        <f t="shared" si="1"/>
        <v/>
      </c>
    </row>
    <row r="53" spans="1:9" x14ac:dyDescent="0.25">
      <c r="A53" s="36" t="str">
        <f>IF(NO3NH4!A53="","",NO3NH4!A53)</f>
        <v>R-</v>
      </c>
      <c r="B53" s="37" t="str">
        <f>IF(NO3NH4!B53="","",NO3NH4!B53)</f>
        <v/>
      </c>
      <c r="C53" s="42" t="str">
        <f>IF(NO3NH4!I53="","",Mediapar((NO3NH4!I53),1))</f>
        <v/>
      </c>
      <c r="D53" s="42" t="str">
        <f>IF(NO3NH4!J53="","",Mediapar((NO3NH4!J53),1))</f>
        <v/>
      </c>
      <c r="E53" s="42" t="str">
        <f t="shared" si="0"/>
        <v/>
      </c>
      <c r="F53" s="42" t="str">
        <f>IF(AND(C53="",D53=""),"",IF(AND(C53&lt;Datos!$G$2,D53&lt;Datos!$G$3),"&lt;",""))</f>
        <v/>
      </c>
      <c r="G53" s="42" t="str">
        <f>IF(AND(C53="",D53=""),"",IF(AND(C53&lt;Datos!$G$2,D53&lt;Datos!$G$3),Datos!$G$4,IF(C53&lt;Datos!$G$2,D53,IF(D53&lt;Datos!$G$3,C53,(C53+D53)))))</f>
        <v/>
      </c>
      <c r="H53" s="45"/>
      <c r="I53" s="42" t="str">
        <f t="shared" si="1"/>
        <v/>
      </c>
    </row>
    <row r="54" spans="1:9" x14ac:dyDescent="0.25">
      <c r="A54" s="36" t="str">
        <f>IF(NO3NH4!A54="","",NO3NH4!A54)</f>
        <v>R-</v>
      </c>
      <c r="B54" s="37" t="str">
        <f>IF(NO3NH4!B54="","",NO3NH4!B54)</f>
        <v/>
      </c>
      <c r="C54" s="42" t="str">
        <f>IF(NO3NH4!I54="","",Mediapar((NO3NH4!I54),1))</f>
        <v/>
      </c>
      <c r="D54" s="42" t="str">
        <f>IF(NO3NH4!J54="","",Mediapar((NO3NH4!J54),1))</f>
        <v/>
      </c>
      <c r="E54" s="42" t="str">
        <f t="shared" si="0"/>
        <v/>
      </c>
      <c r="F54" s="42" t="str">
        <f>IF(AND(C54="",D54=""),"",IF(AND(C54&lt;Datos!$G$2,D54&lt;Datos!$G$3),"&lt;",""))</f>
        <v/>
      </c>
      <c r="G54" s="42" t="str">
        <f>IF(AND(C54="",D54=""),"",IF(AND(C54&lt;Datos!$G$2,D54&lt;Datos!$G$3),Datos!$G$4,IF(C54&lt;Datos!$G$2,D54,IF(D54&lt;Datos!$G$3,C54,(C54+D54)))))</f>
        <v/>
      </c>
      <c r="H54" s="45"/>
      <c r="I54" s="42" t="str">
        <f t="shared" si="1"/>
        <v/>
      </c>
    </row>
    <row r="55" spans="1:9" x14ac:dyDescent="0.25">
      <c r="A55" s="36" t="str">
        <f>IF(NO3NH4!A55="","",NO3NH4!A55)</f>
        <v>R-</v>
      </c>
      <c r="B55" s="37" t="str">
        <f>IF(NO3NH4!B55="","",NO3NH4!B55)</f>
        <v/>
      </c>
      <c r="C55" s="42" t="str">
        <f>IF(NO3NH4!I55="","",Mediapar((NO3NH4!I55),1))</f>
        <v/>
      </c>
      <c r="D55" s="42" t="str">
        <f>IF(NO3NH4!J55="","",Mediapar((NO3NH4!J55),1))</f>
        <v/>
      </c>
      <c r="E55" s="42" t="str">
        <f t="shared" si="0"/>
        <v/>
      </c>
      <c r="F55" s="42" t="str">
        <f>IF(AND(C55="",D55=""),"",IF(AND(C55&lt;Datos!$G$2,D55&lt;Datos!$G$3),"&lt;",""))</f>
        <v/>
      </c>
      <c r="G55" s="42" t="str">
        <f>IF(AND(C55="",D55=""),"",IF(AND(C55&lt;Datos!$G$2,D55&lt;Datos!$G$3),Datos!$G$4,IF(C55&lt;Datos!$G$2,D55,IF(D55&lt;Datos!$G$3,C55,(C55+D55)))))</f>
        <v/>
      </c>
      <c r="H55" s="45"/>
      <c r="I55" s="42" t="str">
        <f t="shared" si="1"/>
        <v/>
      </c>
    </row>
    <row r="56" spans="1:9" x14ac:dyDescent="0.25">
      <c r="A56" s="36" t="str">
        <f>IF(NO3NH4!A56="","",NO3NH4!A56)</f>
        <v>R-</v>
      </c>
      <c r="B56" s="37" t="str">
        <f>IF(NO3NH4!B56="","",NO3NH4!B56)</f>
        <v/>
      </c>
      <c r="C56" s="42" t="str">
        <f>IF(NO3NH4!I56="","",Mediapar((NO3NH4!I56),1))</f>
        <v/>
      </c>
      <c r="D56" s="42" t="str">
        <f>IF(NO3NH4!J56="","",Mediapar((NO3NH4!J56),1))</f>
        <v/>
      </c>
      <c r="E56" s="42" t="str">
        <f t="shared" si="0"/>
        <v/>
      </c>
      <c r="F56" s="42" t="str">
        <f>IF(AND(C56="",D56=""),"",IF(AND(C56&lt;Datos!$G$2,D56&lt;Datos!$G$3),"&lt;",""))</f>
        <v/>
      </c>
      <c r="G56" s="42" t="str">
        <f>IF(AND(C56="",D56=""),"",IF(AND(C56&lt;Datos!$G$2,D56&lt;Datos!$G$3),Datos!$G$4,IF(C56&lt;Datos!$G$2,D56,IF(D56&lt;Datos!$G$3,C56,(C56+D56)))))</f>
        <v/>
      </c>
      <c r="H56" s="45"/>
      <c r="I56" s="42" t="str">
        <f t="shared" si="1"/>
        <v/>
      </c>
    </row>
  </sheetData>
  <sheetProtection password="D1D1" sheet="1" objects="1" scenarios="1"/>
  <conditionalFormatting sqref="B2:G56">
    <cfRule type="containsBlanks" priority="7" stopIfTrue="1">
      <formula>LEN(TRIM(B2))=0</formula>
    </cfRule>
    <cfRule type="expression" dxfId="3" priority="8">
      <formula>IF(B2=MATCH("R-"&amp;B2,$A$2:$A$56,0),FALSE,TRUE)</formula>
    </cfRule>
  </conditionalFormatting>
  <conditionalFormatting sqref="A2:A56">
    <cfRule type="containsBlanks" priority="5" stopIfTrue="1">
      <formula>LEN(TRIM(A2))=0</formula>
    </cfRule>
    <cfRule type="expression" dxfId="2" priority="6">
      <formula>IF(A2=MATCH("R-"&amp;A2,$A$2:$A$56,0),FALSE,TRUE)</formula>
    </cfRule>
  </conditionalFormatting>
  <conditionalFormatting sqref="H2">
    <cfRule type="containsBlanks" priority="3" stopIfTrue="1">
      <formula>LEN(TRIM(H2))=0</formula>
    </cfRule>
    <cfRule type="expression" dxfId="1" priority="4">
      <formula>IF(H2=MATCH("R-"&amp;H2,$A$2:$A$56,0),FALSE,TRUE)</formula>
    </cfRule>
  </conditionalFormatting>
  <conditionalFormatting sqref="I2:I56">
    <cfRule type="containsBlanks" priority="1" stopIfTrue="1">
      <formula>LEN(TRIM(I2))=0</formula>
    </cfRule>
    <cfRule type="expression" dxfId="0" priority="2">
      <formula>IF(I2=MATCH("R-"&amp;I2,$A$2:$A$56,0),FALSE,TRUE)</formula>
    </cfRule>
  </conditionalFormatting>
  <pageMargins left="0.7" right="0.7" top="0.75" bottom="0.75" header="0.3" footer="0.3"/>
  <pageSetup paperSize="9" orientation="portrait" r:id="rId1"/>
</worksheet>
</file>

<file path=customUI/_rels/customUI14.xml.rels><?xml version="1.0" encoding="UTF-8" standalone="yes"?>
<Relationships xmlns="http://schemas.openxmlformats.org/package/2006/relationships"><Relationship Id="SMART" Type="http://schemas.openxmlformats.org/officeDocument/2006/relationships/image" Target="images/SMART.png"/><Relationship Id="humedad" Type="http://schemas.openxmlformats.org/officeDocument/2006/relationships/image" Target="images/humedad.png"/><Relationship Id="LECO" Type="http://schemas.openxmlformats.org/officeDocument/2006/relationships/image" Target="images/LECO.png"/></Relationships>
</file>

<file path=customUI/customUI14.xml><?xml version="1.0" encoding="utf-8"?>
<customUI xmlns="http://schemas.microsoft.com/office/2009/07/customui">
  <ribbon>
    <tabs>
      <tab id="Fosforo_Olsen" label="Fósforo Olsen" insertBeforeMso="TabHome">
        <group id="customGroup3" label="Conectar y Desconectar">
          <button id="Conectar" label="Conectar" size="large" imageMso="AcceptInvitation" onAction="Modulo5.Conectar"/>
          <button id="Reset" label="Desconectar" size="large" imageMso="PrintPreviewClose" onAction="Modulo5.Terminar_Click"/>
        </group>
        <group id="customGroup7" label="Capturar OT">
          <button id="ListadoOT" label="Capturar OT" size="large" imageMso="CreateReport" onAction="Modulo5.ListadoOT_Click"/>
        </group>
        <group id="customGroup" label="Capturar Factores de Corrección">
          <button id="CapturarFC" label="Capturar FC" size="large" image="humedad" onAction="Modulo5.importarFC_Click"/>
        </group>
        <group id="customGroup1" label="Capturar SmartChem 200">
          <button id="CapturarSMART" label="Capturar SmartChem 200" size="large" image="SMART" onAction="Modulo5.importar_Click"/>
        </group>
        <group id="customGroup5" label="Generar Listado">
          <button id="ListadoMuestras" label="Generar Listado" size="large" imageMso="CreateReport" onAction="Modulo5.ListadoMuestras_Click"/>
        </group>
        <group id="customGroup8" label="Capturar Nitrógeno total">
          <button id="CapNtotal" label="Capturar Nitrógeno total" size="large" image="LECO" onAction="Modulo5.CapNtotal_Click"/>
        </group>
        <group id="customGroup4">
          <button id="MostrarFormulario" label="Mostrar Control de muestra" size="large" imageMso="ControlLayoutRemove" onAction="Modulo5.MostrarFormulario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2</vt:i4>
      </vt:variant>
    </vt:vector>
  </HeadingPairs>
  <TitlesOfParts>
    <vt:vector size="8" baseType="lpstr">
      <vt:lpstr>NO3NH4</vt:lpstr>
      <vt:lpstr>Datos</vt:lpstr>
      <vt:lpstr>NH4</vt:lpstr>
      <vt:lpstr>NO3</vt:lpstr>
      <vt:lpstr>NMIN</vt:lpstr>
      <vt:lpstr>NORG</vt:lpstr>
      <vt:lpstr>NO3NH4!Área_de_impresión</vt:lpstr>
      <vt:lpstr>NO3NH4!Títulos_a_imprimir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ms1</dc:creator>
  <cp:keywords>IT-15.21.09</cp:keywords>
  <cp:lastModifiedBy>ms1</cp:lastModifiedBy>
  <cp:lastPrinted>2021-05-03T10:39:46Z</cp:lastPrinted>
  <dcterms:created xsi:type="dcterms:W3CDTF">2010-01-18T16:18:30Z</dcterms:created>
  <dcterms:modified xsi:type="dcterms:W3CDTF">2021-10-28T08:02:44Z</dcterms:modified>
</cp:coreProperties>
</file>