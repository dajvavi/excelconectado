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f4dbbdc2fc44a0e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19200" windowHeight="7452"/>
  </bookViews>
  <sheets>
    <sheet name="LECO" sheetId="1" r:id="rId1"/>
    <sheet name="Rangos" sheetId="2" r:id="rId2"/>
  </sheets>
  <functionGroups builtInGroupCount="17"/>
  <definedNames>
    <definedName name="_xlnm.Print_Area" localSheetId="0">LECO!$A$1:$R$247</definedName>
    <definedName name="_xlnm.Print_Titles" localSheetId="0">LECO!$1:$1</definedName>
  </definedNames>
  <calcPr calcId="145621"/>
</workbook>
</file>

<file path=xl/calcChain.xml><?xml version="1.0" encoding="utf-8"?>
<calcChain xmlns="http://schemas.openxmlformats.org/spreadsheetml/2006/main">
  <c r="H37" i="1" l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O14" i="1" l="1"/>
  <c r="O2" i="1"/>
  <c r="O251" i="1" l="1"/>
  <c r="N251" i="1"/>
  <c r="H251" i="1"/>
  <c r="G251" i="1"/>
  <c r="O250" i="1"/>
  <c r="N250" i="1"/>
  <c r="H250" i="1"/>
  <c r="G250" i="1"/>
  <c r="O249" i="1"/>
  <c r="N249" i="1"/>
  <c r="H249" i="1"/>
  <c r="G249" i="1"/>
  <c r="O248" i="1"/>
  <c r="N248" i="1"/>
  <c r="H248" i="1"/>
  <c r="G248" i="1"/>
  <c r="O247" i="1"/>
  <c r="N247" i="1"/>
  <c r="H247" i="1"/>
  <c r="G247" i="1"/>
  <c r="O246" i="1"/>
  <c r="N246" i="1"/>
  <c r="H246" i="1"/>
  <c r="R246" i="1" s="1"/>
  <c r="G246" i="1"/>
  <c r="O245" i="1"/>
  <c r="N245" i="1"/>
  <c r="H245" i="1"/>
  <c r="G245" i="1"/>
  <c r="O244" i="1"/>
  <c r="N244" i="1"/>
  <c r="H244" i="1"/>
  <c r="G244" i="1"/>
  <c r="O243" i="1"/>
  <c r="N243" i="1"/>
  <c r="H243" i="1"/>
  <c r="G243" i="1"/>
  <c r="O242" i="1"/>
  <c r="N242" i="1"/>
  <c r="H242" i="1"/>
  <c r="G242" i="1"/>
  <c r="O241" i="1"/>
  <c r="N241" i="1"/>
  <c r="H241" i="1"/>
  <c r="R241" i="1" s="1"/>
  <c r="G241" i="1"/>
  <c r="O240" i="1"/>
  <c r="N240" i="1"/>
  <c r="H240" i="1"/>
  <c r="G240" i="1"/>
  <c r="O239" i="1"/>
  <c r="N239" i="1"/>
  <c r="H239" i="1"/>
  <c r="R239" i="1" s="1"/>
  <c r="G239" i="1"/>
  <c r="O238" i="1"/>
  <c r="N238" i="1"/>
  <c r="H238" i="1"/>
  <c r="G238" i="1"/>
  <c r="O237" i="1"/>
  <c r="N237" i="1"/>
  <c r="H237" i="1"/>
  <c r="R237" i="1" s="1"/>
  <c r="G237" i="1"/>
  <c r="O236" i="1"/>
  <c r="N236" i="1"/>
  <c r="H236" i="1"/>
  <c r="R236" i="1" s="1"/>
  <c r="G236" i="1"/>
  <c r="O235" i="1"/>
  <c r="N235" i="1"/>
  <c r="H235" i="1"/>
  <c r="R235" i="1" s="1"/>
  <c r="G235" i="1"/>
  <c r="O234" i="1"/>
  <c r="N234" i="1"/>
  <c r="H234" i="1"/>
  <c r="G234" i="1"/>
  <c r="O233" i="1"/>
  <c r="N233" i="1"/>
  <c r="H233" i="1"/>
  <c r="G233" i="1"/>
  <c r="O232" i="1"/>
  <c r="N232" i="1"/>
  <c r="H232" i="1"/>
  <c r="G232" i="1"/>
  <c r="O231" i="1"/>
  <c r="N231" i="1"/>
  <c r="H231" i="1"/>
  <c r="G231" i="1"/>
  <c r="O230" i="1"/>
  <c r="N230" i="1"/>
  <c r="H230" i="1"/>
  <c r="G230" i="1"/>
  <c r="O229" i="1"/>
  <c r="N229" i="1"/>
  <c r="H229" i="1"/>
  <c r="G229" i="1"/>
  <c r="O228" i="1"/>
  <c r="N228" i="1"/>
  <c r="H228" i="1"/>
  <c r="R228" i="1" s="1"/>
  <c r="G228" i="1"/>
  <c r="O227" i="1"/>
  <c r="N227" i="1"/>
  <c r="H227" i="1"/>
  <c r="G227" i="1"/>
  <c r="O226" i="1"/>
  <c r="N226" i="1"/>
  <c r="H226" i="1"/>
  <c r="G226" i="1"/>
  <c r="O225" i="1"/>
  <c r="N225" i="1"/>
  <c r="H225" i="1"/>
  <c r="G225" i="1"/>
  <c r="O224" i="1"/>
  <c r="N224" i="1"/>
  <c r="H224" i="1"/>
  <c r="R224" i="1" s="1"/>
  <c r="G224" i="1"/>
  <c r="O223" i="1"/>
  <c r="N223" i="1"/>
  <c r="H223" i="1"/>
  <c r="G223" i="1"/>
  <c r="O222" i="1"/>
  <c r="N222" i="1"/>
  <c r="H222" i="1"/>
  <c r="R222" i="1" s="1"/>
  <c r="G222" i="1"/>
  <c r="O221" i="1"/>
  <c r="N221" i="1"/>
  <c r="H221" i="1"/>
  <c r="G221" i="1"/>
  <c r="O220" i="1"/>
  <c r="N220" i="1"/>
  <c r="H220" i="1"/>
  <c r="G220" i="1"/>
  <c r="O219" i="1"/>
  <c r="N219" i="1"/>
  <c r="H219" i="1"/>
  <c r="G219" i="1"/>
  <c r="O218" i="1"/>
  <c r="N218" i="1"/>
  <c r="H218" i="1"/>
  <c r="R218" i="1" s="1"/>
  <c r="G218" i="1"/>
  <c r="O217" i="1"/>
  <c r="N217" i="1"/>
  <c r="H217" i="1"/>
  <c r="G217" i="1"/>
  <c r="O216" i="1"/>
  <c r="N216" i="1"/>
  <c r="H216" i="1"/>
  <c r="R216" i="1" s="1"/>
  <c r="G216" i="1"/>
  <c r="O215" i="1"/>
  <c r="N215" i="1"/>
  <c r="H215" i="1"/>
  <c r="G215" i="1"/>
  <c r="O214" i="1"/>
  <c r="N214" i="1"/>
  <c r="H214" i="1"/>
  <c r="G214" i="1"/>
  <c r="O213" i="1"/>
  <c r="N213" i="1"/>
  <c r="H213" i="1"/>
  <c r="G213" i="1"/>
  <c r="O212" i="1"/>
  <c r="N212" i="1"/>
  <c r="H212" i="1"/>
  <c r="G212" i="1"/>
  <c r="O211" i="1"/>
  <c r="N211" i="1"/>
  <c r="H211" i="1"/>
  <c r="G211" i="1"/>
  <c r="O210" i="1"/>
  <c r="N210" i="1"/>
  <c r="H210" i="1"/>
  <c r="G210" i="1"/>
  <c r="O209" i="1"/>
  <c r="N209" i="1"/>
  <c r="H209" i="1"/>
  <c r="G209" i="1"/>
  <c r="O208" i="1"/>
  <c r="N208" i="1"/>
  <c r="H208" i="1"/>
  <c r="G208" i="1"/>
  <c r="O207" i="1"/>
  <c r="N207" i="1"/>
  <c r="H207" i="1"/>
  <c r="G207" i="1"/>
  <c r="O206" i="1"/>
  <c r="N206" i="1"/>
  <c r="H206" i="1"/>
  <c r="G206" i="1"/>
  <c r="O205" i="1"/>
  <c r="N205" i="1"/>
  <c r="H205" i="1"/>
  <c r="G205" i="1"/>
  <c r="O204" i="1"/>
  <c r="N204" i="1"/>
  <c r="H204" i="1"/>
  <c r="G204" i="1"/>
  <c r="O203" i="1"/>
  <c r="N203" i="1"/>
  <c r="H203" i="1"/>
  <c r="G203" i="1"/>
  <c r="O202" i="1"/>
  <c r="N202" i="1"/>
  <c r="H202" i="1"/>
  <c r="G202" i="1"/>
  <c r="O201" i="1"/>
  <c r="N201" i="1"/>
  <c r="H201" i="1"/>
  <c r="G201" i="1"/>
  <c r="O200" i="1"/>
  <c r="N200" i="1"/>
  <c r="H200" i="1"/>
  <c r="G200" i="1"/>
  <c r="O199" i="1"/>
  <c r="N199" i="1"/>
  <c r="H199" i="1"/>
  <c r="G199" i="1"/>
  <c r="O198" i="1"/>
  <c r="N198" i="1"/>
  <c r="H198" i="1"/>
  <c r="G198" i="1"/>
  <c r="O197" i="1"/>
  <c r="N197" i="1"/>
  <c r="H197" i="1"/>
  <c r="G197" i="1"/>
  <c r="O196" i="1"/>
  <c r="N196" i="1"/>
  <c r="H196" i="1"/>
  <c r="G196" i="1"/>
  <c r="O195" i="1"/>
  <c r="N195" i="1"/>
  <c r="H195" i="1"/>
  <c r="G195" i="1"/>
  <c r="O194" i="1"/>
  <c r="N194" i="1"/>
  <c r="H194" i="1"/>
  <c r="G194" i="1"/>
  <c r="O193" i="1"/>
  <c r="N193" i="1"/>
  <c r="H193" i="1"/>
  <c r="G193" i="1"/>
  <c r="O192" i="1"/>
  <c r="N192" i="1"/>
  <c r="H192" i="1"/>
  <c r="G192" i="1"/>
  <c r="O191" i="1"/>
  <c r="N191" i="1"/>
  <c r="H191" i="1"/>
  <c r="G191" i="1"/>
  <c r="O190" i="1"/>
  <c r="N190" i="1"/>
  <c r="H190" i="1"/>
  <c r="G190" i="1"/>
  <c r="O189" i="1"/>
  <c r="N189" i="1"/>
  <c r="H189" i="1"/>
  <c r="G189" i="1"/>
  <c r="O188" i="1"/>
  <c r="N188" i="1"/>
  <c r="H188" i="1"/>
  <c r="G188" i="1"/>
  <c r="O187" i="1"/>
  <c r="N187" i="1"/>
  <c r="H187" i="1"/>
  <c r="G187" i="1"/>
  <c r="O186" i="1"/>
  <c r="N186" i="1"/>
  <c r="H186" i="1"/>
  <c r="G186" i="1"/>
  <c r="O185" i="1"/>
  <c r="N185" i="1"/>
  <c r="H185" i="1"/>
  <c r="G185" i="1"/>
  <c r="O184" i="1"/>
  <c r="N184" i="1"/>
  <c r="H184" i="1"/>
  <c r="R184" i="1" s="1"/>
  <c r="G184" i="1"/>
  <c r="O183" i="1"/>
  <c r="N183" i="1"/>
  <c r="H183" i="1"/>
  <c r="G183" i="1"/>
  <c r="O182" i="1"/>
  <c r="N182" i="1"/>
  <c r="H182" i="1"/>
  <c r="R182" i="1" s="1"/>
  <c r="G182" i="1"/>
  <c r="O181" i="1"/>
  <c r="N181" i="1"/>
  <c r="H181" i="1"/>
  <c r="G181" i="1"/>
  <c r="O180" i="1"/>
  <c r="N180" i="1"/>
  <c r="H180" i="1"/>
  <c r="G180" i="1"/>
  <c r="O179" i="1"/>
  <c r="N179" i="1"/>
  <c r="H179" i="1"/>
  <c r="G179" i="1"/>
  <c r="O178" i="1"/>
  <c r="N178" i="1"/>
  <c r="H178" i="1"/>
  <c r="R178" i="1" s="1"/>
  <c r="G178" i="1"/>
  <c r="O177" i="1"/>
  <c r="N177" i="1"/>
  <c r="H177" i="1"/>
  <c r="G177" i="1"/>
  <c r="O176" i="1"/>
  <c r="N176" i="1"/>
  <c r="H176" i="1"/>
  <c r="R176" i="1" s="1"/>
  <c r="G176" i="1"/>
  <c r="O175" i="1"/>
  <c r="N175" i="1"/>
  <c r="H175" i="1"/>
  <c r="G175" i="1"/>
  <c r="O174" i="1"/>
  <c r="N174" i="1"/>
  <c r="H174" i="1"/>
  <c r="G174" i="1"/>
  <c r="O173" i="1"/>
  <c r="N173" i="1"/>
  <c r="H173" i="1"/>
  <c r="G173" i="1"/>
  <c r="O172" i="1"/>
  <c r="N172" i="1"/>
  <c r="H172" i="1"/>
  <c r="G172" i="1"/>
  <c r="O171" i="1"/>
  <c r="N171" i="1"/>
  <c r="H171" i="1"/>
  <c r="G171" i="1"/>
  <c r="O170" i="1"/>
  <c r="N170" i="1"/>
  <c r="H170" i="1"/>
  <c r="G170" i="1"/>
  <c r="O169" i="1"/>
  <c r="N169" i="1"/>
  <c r="H169" i="1"/>
  <c r="G169" i="1"/>
  <c r="O168" i="1"/>
  <c r="N168" i="1"/>
  <c r="H168" i="1"/>
  <c r="G168" i="1"/>
  <c r="O167" i="1"/>
  <c r="N167" i="1"/>
  <c r="H167" i="1"/>
  <c r="G167" i="1"/>
  <c r="O166" i="1"/>
  <c r="N166" i="1"/>
  <c r="H166" i="1"/>
  <c r="G166" i="1"/>
  <c r="O165" i="1"/>
  <c r="N165" i="1"/>
  <c r="H165" i="1"/>
  <c r="G165" i="1"/>
  <c r="O164" i="1"/>
  <c r="N164" i="1"/>
  <c r="H164" i="1"/>
  <c r="G164" i="1"/>
  <c r="O163" i="1"/>
  <c r="N163" i="1"/>
  <c r="H163" i="1"/>
  <c r="G163" i="1"/>
  <c r="O162" i="1"/>
  <c r="N162" i="1"/>
  <c r="H162" i="1"/>
  <c r="G162" i="1"/>
  <c r="O161" i="1"/>
  <c r="N161" i="1"/>
  <c r="H161" i="1"/>
  <c r="G161" i="1"/>
  <c r="O160" i="1"/>
  <c r="N160" i="1"/>
  <c r="H160" i="1"/>
  <c r="G160" i="1"/>
  <c r="O159" i="1"/>
  <c r="N159" i="1"/>
  <c r="H159" i="1"/>
  <c r="G159" i="1"/>
  <c r="O158" i="1"/>
  <c r="N158" i="1"/>
  <c r="H158" i="1"/>
  <c r="G158" i="1"/>
  <c r="O157" i="1"/>
  <c r="N157" i="1"/>
  <c r="H157" i="1"/>
  <c r="G157" i="1"/>
  <c r="O156" i="1"/>
  <c r="N156" i="1"/>
  <c r="H156" i="1"/>
  <c r="G156" i="1"/>
  <c r="O155" i="1"/>
  <c r="N155" i="1"/>
  <c r="H155" i="1"/>
  <c r="G155" i="1"/>
  <c r="O154" i="1"/>
  <c r="N154" i="1"/>
  <c r="H154" i="1"/>
  <c r="G154" i="1"/>
  <c r="O153" i="1"/>
  <c r="N153" i="1"/>
  <c r="H153" i="1"/>
  <c r="G153" i="1"/>
  <c r="O152" i="1"/>
  <c r="N152" i="1"/>
  <c r="H152" i="1"/>
  <c r="G152" i="1"/>
  <c r="O151" i="1"/>
  <c r="N151" i="1"/>
  <c r="H151" i="1"/>
  <c r="G151" i="1"/>
  <c r="O150" i="1"/>
  <c r="N150" i="1"/>
  <c r="H150" i="1"/>
  <c r="G150" i="1"/>
  <c r="O149" i="1"/>
  <c r="N149" i="1"/>
  <c r="H149" i="1"/>
  <c r="G149" i="1"/>
  <c r="O148" i="1"/>
  <c r="N148" i="1"/>
  <c r="H148" i="1"/>
  <c r="G148" i="1"/>
  <c r="O147" i="1"/>
  <c r="N147" i="1"/>
  <c r="H147" i="1"/>
  <c r="G147" i="1"/>
  <c r="O146" i="1"/>
  <c r="N146" i="1"/>
  <c r="H146" i="1"/>
  <c r="G146" i="1"/>
  <c r="O145" i="1"/>
  <c r="N145" i="1"/>
  <c r="H145" i="1"/>
  <c r="G145" i="1"/>
  <c r="O144" i="1"/>
  <c r="N144" i="1"/>
  <c r="H144" i="1"/>
  <c r="G144" i="1"/>
  <c r="O143" i="1"/>
  <c r="N143" i="1"/>
  <c r="H143" i="1"/>
  <c r="G143" i="1"/>
  <c r="O142" i="1"/>
  <c r="N142" i="1"/>
  <c r="H142" i="1"/>
  <c r="G142" i="1"/>
  <c r="O141" i="1"/>
  <c r="N141" i="1"/>
  <c r="H141" i="1"/>
  <c r="G141" i="1"/>
  <c r="O140" i="1"/>
  <c r="N140" i="1"/>
  <c r="H140" i="1"/>
  <c r="G140" i="1"/>
  <c r="O139" i="1"/>
  <c r="N139" i="1"/>
  <c r="H139" i="1"/>
  <c r="G139" i="1"/>
  <c r="O138" i="1"/>
  <c r="N138" i="1"/>
  <c r="H138" i="1"/>
  <c r="G138" i="1"/>
  <c r="O137" i="1"/>
  <c r="N137" i="1"/>
  <c r="H137" i="1"/>
  <c r="G137" i="1"/>
  <c r="O136" i="1"/>
  <c r="N136" i="1"/>
  <c r="H136" i="1"/>
  <c r="G136" i="1"/>
  <c r="O135" i="1"/>
  <c r="N135" i="1"/>
  <c r="H135" i="1"/>
  <c r="G135" i="1"/>
  <c r="O134" i="1"/>
  <c r="N134" i="1"/>
  <c r="H134" i="1"/>
  <c r="G134" i="1"/>
  <c r="O133" i="1"/>
  <c r="N133" i="1"/>
  <c r="H133" i="1"/>
  <c r="G133" i="1"/>
  <c r="O132" i="1"/>
  <c r="N132" i="1"/>
  <c r="H132" i="1"/>
  <c r="G132" i="1"/>
  <c r="O131" i="1"/>
  <c r="N131" i="1"/>
  <c r="H131" i="1"/>
  <c r="G131" i="1"/>
  <c r="O130" i="1"/>
  <c r="N130" i="1"/>
  <c r="H130" i="1"/>
  <c r="G130" i="1"/>
  <c r="O129" i="1"/>
  <c r="N129" i="1"/>
  <c r="H129" i="1"/>
  <c r="G129" i="1"/>
  <c r="O128" i="1"/>
  <c r="N128" i="1"/>
  <c r="H128" i="1"/>
  <c r="G128" i="1"/>
  <c r="O127" i="1"/>
  <c r="N127" i="1"/>
  <c r="H127" i="1"/>
  <c r="G127" i="1"/>
  <c r="O126" i="1"/>
  <c r="N126" i="1"/>
  <c r="H126" i="1"/>
  <c r="G126" i="1"/>
  <c r="O125" i="1"/>
  <c r="N125" i="1"/>
  <c r="H125" i="1"/>
  <c r="G125" i="1"/>
  <c r="O124" i="1"/>
  <c r="N124" i="1"/>
  <c r="H124" i="1"/>
  <c r="G124" i="1"/>
  <c r="O123" i="1"/>
  <c r="N123" i="1"/>
  <c r="H123" i="1"/>
  <c r="G123" i="1"/>
  <c r="O122" i="1"/>
  <c r="N122" i="1"/>
  <c r="H122" i="1"/>
  <c r="G122" i="1"/>
  <c r="O121" i="1"/>
  <c r="N121" i="1"/>
  <c r="H121" i="1"/>
  <c r="G121" i="1"/>
  <c r="O120" i="1"/>
  <c r="N120" i="1"/>
  <c r="H120" i="1"/>
  <c r="G120" i="1"/>
  <c r="O119" i="1"/>
  <c r="N119" i="1"/>
  <c r="H119" i="1"/>
  <c r="G119" i="1"/>
  <c r="O118" i="1"/>
  <c r="N118" i="1"/>
  <c r="H118" i="1"/>
  <c r="G118" i="1"/>
  <c r="O117" i="1"/>
  <c r="N117" i="1"/>
  <c r="H117" i="1"/>
  <c r="G117" i="1"/>
  <c r="O116" i="1"/>
  <c r="N116" i="1"/>
  <c r="H116" i="1"/>
  <c r="G116" i="1"/>
  <c r="O115" i="1"/>
  <c r="N115" i="1"/>
  <c r="H115" i="1"/>
  <c r="G115" i="1"/>
  <c r="O114" i="1"/>
  <c r="N114" i="1"/>
  <c r="H114" i="1"/>
  <c r="G114" i="1"/>
  <c r="O113" i="1"/>
  <c r="N113" i="1"/>
  <c r="H113" i="1"/>
  <c r="G113" i="1"/>
  <c r="O112" i="1"/>
  <c r="N112" i="1"/>
  <c r="H112" i="1"/>
  <c r="R112" i="1" s="1"/>
  <c r="G112" i="1"/>
  <c r="O111" i="1"/>
  <c r="N111" i="1"/>
  <c r="H111" i="1"/>
  <c r="G111" i="1"/>
  <c r="O110" i="1"/>
  <c r="N110" i="1"/>
  <c r="H110" i="1"/>
  <c r="G110" i="1"/>
  <c r="O109" i="1"/>
  <c r="N109" i="1"/>
  <c r="H109" i="1"/>
  <c r="G109" i="1"/>
  <c r="O108" i="1"/>
  <c r="N108" i="1"/>
  <c r="H108" i="1"/>
  <c r="G108" i="1"/>
  <c r="O107" i="1"/>
  <c r="N107" i="1"/>
  <c r="H107" i="1"/>
  <c r="G107" i="1"/>
  <c r="O106" i="1"/>
  <c r="N106" i="1"/>
  <c r="H106" i="1"/>
  <c r="G106" i="1"/>
  <c r="O105" i="1"/>
  <c r="N105" i="1"/>
  <c r="H105" i="1"/>
  <c r="G105" i="1"/>
  <c r="O104" i="1"/>
  <c r="N104" i="1"/>
  <c r="H104" i="1"/>
  <c r="G104" i="1"/>
  <c r="O103" i="1"/>
  <c r="N103" i="1"/>
  <c r="H103" i="1"/>
  <c r="G103" i="1"/>
  <c r="O102" i="1"/>
  <c r="N102" i="1"/>
  <c r="H102" i="1"/>
  <c r="G102" i="1"/>
  <c r="O101" i="1"/>
  <c r="N101" i="1"/>
  <c r="H101" i="1"/>
  <c r="G101" i="1"/>
  <c r="O100" i="1"/>
  <c r="N100" i="1"/>
  <c r="H100" i="1"/>
  <c r="G100" i="1"/>
  <c r="O99" i="1"/>
  <c r="N99" i="1"/>
  <c r="H99" i="1"/>
  <c r="G99" i="1"/>
  <c r="O98" i="1"/>
  <c r="N98" i="1"/>
  <c r="H98" i="1"/>
  <c r="G98" i="1"/>
  <c r="O97" i="1"/>
  <c r="N97" i="1"/>
  <c r="H97" i="1"/>
  <c r="G97" i="1"/>
  <c r="O96" i="1"/>
  <c r="N96" i="1"/>
  <c r="H96" i="1"/>
  <c r="G96" i="1"/>
  <c r="O95" i="1"/>
  <c r="N95" i="1"/>
  <c r="H95" i="1"/>
  <c r="G95" i="1"/>
  <c r="O94" i="1"/>
  <c r="N94" i="1"/>
  <c r="H94" i="1"/>
  <c r="G94" i="1"/>
  <c r="O93" i="1"/>
  <c r="N93" i="1"/>
  <c r="H93" i="1"/>
  <c r="G93" i="1"/>
  <c r="O92" i="1"/>
  <c r="N92" i="1"/>
  <c r="H92" i="1"/>
  <c r="G92" i="1"/>
  <c r="O91" i="1"/>
  <c r="N91" i="1"/>
  <c r="H91" i="1"/>
  <c r="G91" i="1"/>
  <c r="O90" i="1"/>
  <c r="N90" i="1"/>
  <c r="H90" i="1"/>
  <c r="G90" i="1"/>
  <c r="O89" i="1"/>
  <c r="N89" i="1"/>
  <c r="H89" i="1"/>
  <c r="G89" i="1"/>
  <c r="O88" i="1"/>
  <c r="N88" i="1"/>
  <c r="H88" i="1"/>
  <c r="G88" i="1"/>
  <c r="O87" i="1"/>
  <c r="N87" i="1"/>
  <c r="H87" i="1"/>
  <c r="G87" i="1"/>
  <c r="O86" i="1"/>
  <c r="N86" i="1"/>
  <c r="H86" i="1"/>
  <c r="G86" i="1"/>
  <c r="O85" i="1"/>
  <c r="N85" i="1"/>
  <c r="H85" i="1"/>
  <c r="G85" i="1"/>
  <c r="O84" i="1"/>
  <c r="N84" i="1"/>
  <c r="H84" i="1"/>
  <c r="G84" i="1"/>
  <c r="O83" i="1"/>
  <c r="N83" i="1"/>
  <c r="H83" i="1"/>
  <c r="R83" i="1" s="1"/>
  <c r="G83" i="1"/>
  <c r="O82" i="1"/>
  <c r="N82" i="1"/>
  <c r="H82" i="1"/>
  <c r="G82" i="1"/>
  <c r="O81" i="1"/>
  <c r="N81" i="1"/>
  <c r="H81" i="1"/>
  <c r="G81" i="1"/>
  <c r="O80" i="1"/>
  <c r="N80" i="1"/>
  <c r="H80" i="1"/>
  <c r="G80" i="1"/>
  <c r="O79" i="1"/>
  <c r="N79" i="1"/>
  <c r="H79" i="1"/>
  <c r="R79" i="1" s="1"/>
  <c r="G79" i="1"/>
  <c r="O78" i="1"/>
  <c r="N78" i="1"/>
  <c r="H78" i="1"/>
  <c r="G78" i="1"/>
  <c r="O77" i="1"/>
  <c r="N77" i="1"/>
  <c r="H77" i="1"/>
  <c r="R77" i="1" s="1"/>
  <c r="G77" i="1"/>
  <c r="O76" i="1"/>
  <c r="N76" i="1"/>
  <c r="H76" i="1"/>
  <c r="G76" i="1"/>
  <c r="O75" i="1"/>
  <c r="N75" i="1"/>
  <c r="H75" i="1"/>
  <c r="R75" i="1" s="1"/>
  <c r="G75" i="1"/>
  <c r="O74" i="1"/>
  <c r="N74" i="1"/>
  <c r="H74" i="1"/>
  <c r="G74" i="1"/>
  <c r="O73" i="1"/>
  <c r="N73" i="1"/>
  <c r="H73" i="1"/>
  <c r="R73" i="1" s="1"/>
  <c r="G73" i="1"/>
  <c r="O72" i="1"/>
  <c r="N72" i="1"/>
  <c r="H72" i="1"/>
  <c r="G72" i="1"/>
  <c r="O71" i="1"/>
  <c r="N71" i="1"/>
  <c r="H71" i="1"/>
  <c r="R71" i="1" s="1"/>
  <c r="G71" i="1"/>
  <c r="O70" i="1"/>
  <c r="N70" i="1"/>
  <c r="H70" i="1"/>
  <c r="G70" i="1"/>
  <c r="O69" i="1"/>
  <c r="N69" i="1"/>
  <c r="H69" i="1"/>
  <c r="R69" i="1" s="1"/>
  <c r="G69" i="1"/>
  <c r="O68" i="1"/>
  <c r="N68" i="1"/>
  <c r="H68" i="1"/>
  <c r="G68" i="1"/>
  <c r="O67" i="1"/>
  <c r="N67" i="1"/>
  <c r="H67" i="1"/>
  <c r="G67" i="1"/>
  <c r="O66" i="1"/>
  <c r="N66" i="1"/>
  <c r="H66" i="1"/>
  <c r="G66" i="1"/>
  <c r="O65" i="1"/>
  <c r="N65" i="1"/>
  <c r="H65" i="1"/>
  <c r="R65" i="1" s="1"/>
  <c r="G65" i="1"/>
  <c r="O64" i="1"/>
  <c r="N64" i="1"/>
  <c r="H64" i="1"/>
  <c r="G64" i="1"/>
  <c r="O63" i="1"/>
  <c r="N63" i="1"/>
  <c r="H63" i="1"/>
  <c r="R63" i="1" s="1"/>
  <c r="G63" i="1"/>
  <c r="O62" i="1"/>
  <c r="N62" i="1"/>
  <c r="H62" i="1"/>
  <c r="G62" i="1"/>
  <c r="O61" i="1"/>
  <c r="N61" i="1"/>
  <c r="H61" i="1"/>
  <c r="R61" i="1" s="1"/>
  <c r="G61" i="1"/>
  <c r="O60" i="1"/>
  <c r="N60" i="1"/>
  <c r="H60" i="1"/>
  <c r="G60" i="1"/>
  <c r="O59" i="1"/>
  <c r="N59" i="1"/>
  <c r="H59" i="1"/>
  <c r="G59" i="1"/>
  <c r="O58" i="1"/>
  <c r="N58" i="1"/>
  <c r="H58" i="1"/>
  <c r="G58" i="1"/>
  <c r="O57" i="1"/>
  <c r="N57" i="1"/>
  <c r="H57" i="1"/>
  <c r="G57" i="1"/>
  <c r="O56" i="1"/>
  <c r="N56" i="1"/>
  <c r="H56" i="1"/>
  <c r="G56" i="1"/>
  <c r="O55" i="1"/>
  <c r="N55" i="1"/>
  <c r="H55" i="1"/>
  <c r="G55" i="1"/>
  <c r="O54" i="1"/>
  <c r="N54" i="1"/>
  <c r="H54" i="1"/>
  <c r="G54" i="1"/>
  <c r="O53" i="1"/>
  <c r="N53" i="1"/>
  <c r="H53" i="1"/>
  <c r="R53" i="1" s="1"/>
  <c r="G53" i="1"/>
  <c r="O52" i="1"/>
  <c r="N52" i="1"/>
  <c r="H52" i="1"/>
  <c r="G52" i="1"/>
  <c r="O51" i="1"/>
  <c r="N51" i="1"/>
  <c r="H51" i="1"/>
  <c r="R51" i="1" s="1"/>
  <c r="G51" i="1"/>
  <c r="O50" i="1"/>
  <c r="N50" i="1"/>
  <c r="H50" i="1"/>
  <c r="G50" i="1"/>
  <c r="O49" i="1"/>
  <c r="N49" i="1"/>
  <c r="H49" i="1"/>
  <c r="G49" i="1"/>
  <c r="O48" i="1"/>
  <c r="N48" i="1"/>
  <c r="H48" i="1"/>
  <c r="G48" i="1"/>
  <c r="O47" i="1"/>
  <c r="N47" i="1"/>
  <c r="H47" i="1"/>
  <c r="G47" i="1"/>
  <c r="O46" i="1"/>
  <c r="N46" i="1"/>
  <c r="H46" i="1"/>
  <c r="G46" i="1"/>
  <c r="O45" i="1"/>
  <c r="N45" i="1"/>
  <c r="H45" i="1"/>
  <c r="G45" i="1"/>
  <c r="O44" i="1"/>
  <c r="N44" i="1"/>
  <c r="H44" i="1"/>
  <c r="G44" i="1"/>
  <c r="O43" i="1"/>
  <c r="N43" i="1"/>
  <c r="H43" i="1"/>
  <c r="G43" i="1"/>
  <c r="O42" i="1"/>
  <c r="N42" i="1"/>
  <c r="H42" i="1"/>
  <c r="G42" i="1"/>
  <c r="O41" i="1"/>
  <c r="N41" i="1"/>
  <c r="H41" i="1"/>
  <c r="G41" i="1"/>
  <c r="O40" i="1"/>
  <c r="N40" i="1"/>
  <c r="H40" i="1"/>
  <c r="G40" i="1"/>
  <c r="O39" i="1"/>
  <c r="N39" i="1"/>
  <c r="H39" i="1"/>
  <c r="G39" i="1"/>
  <c r="O38" i="1"/>
  <c r="N38" i="1"/>
  <c r="H38" i="1"/>
  <c r="G38" i="1"/>
  <c r="O37" i="1"/>
  <c r="R37" i="1" s="1"/>
  <c r="N37" i="1"/>
  <c r="G37" i="1"/>
  <c r="O36" i="1"/>
  <c r="R36" i="1" s="1"/>
  <c r="N36" i="1"/>
  <c r="G36" i="1"/>
  <c r="O35" i="1"/>
  <c r="R35" i="1" s="1"/>
  <c r="N35" i="1"/>
  <c r="G35" i="1"/>
  <c r="O34" i="1"/>
  <c r="R34" i="1" s="1"/>
  <c r="N34" i="1"/>
  <c r="G34" i="1"/>
  <c r="O33" i="1"/>
  <c r="R33" i="1" s="1"/>
  <c r="N33" i="1"/>
  <c r="G33" i="1"/>
  <c r="O32" i="1"/>
  <c r="R32" i="1" s="1"/>
  <c r="N32" i="1"/>
  <c r="G32" i="1"/>
  <c r="O31" i="1"/>
  <c r="R31" i="1" s="1"/>
  <c r="N31" i="1"/>
  <c r="G31" i="1"/>
  <c r="O30" i="1"/>
  <c r="R30" i="1" s="1"/>
  <c r="N30" i="1"/>
  <c r="G30" i="1"/>
  <c r="O29" i="1"/>
  <c r="R29" i="1" s="1"/>
  <c r="N29" i="1"/>
  <c r="G29" i="1"/>
  <c r="O28" i="1"/>
  <c r="R28" i="1" s="1"/>
  <c r="N28" i="1"/>
  <c r="G28" i="1"/>
  <c r="O27" i="1"/>
  <c r="N27" i="1"/>
  <c r="G27" i="1"/>
  <c r="O26" i="1"/>
  <c r="N26" i="1"/>
  <c r="G26" i="1"/>
  <c r="O25" i="1"/>
  <c r="N25" i="1"/>
  <c r="G25" i="1"/>
  <c r="O24" i="1"/>
  <c r="N24" i="1"/>
  <c r="G24" i="1"/>
  <c r="O23" i="1"/>
  <c r="N23" i="1"/>
  <c r="G23" i="1"/>
  <c r="O22" i="1"/>
  <c r="N22" i="1"/>
  <c r="G22" i="1"/>
  <c r="O21" i="1"/>
  <c r="N21" i="1"/>
  <c r="G21" i="1"/>
  <c r="O20" i="1"/>
  <c r="N20" i="1"/>
  <c r="G20" i="1"/>
  <c r="O19" i="1"/>
  <c r="N19" i="1"/>
  <c r="G19" i="1"/>
  <c r="O18" i="1"/>
  <c r="N18" i="1"/>
  <c r="G18" i="1"/>
  <c r="O17" i="1"/>
  <c r="N17" i="1"/>
  <c r="G17" i="1"/>
  <c r="O16" i="1"/>
  <c r="N16" i="1"/>
  <c r="G16" i="1"/>
  <c r="O15" i="1"/>
  <c r="N15" i="1"/>
  <c r="G15" i="1"/>
  <c r="N14" i="1"/>
  <c r="G14" i="1"/>
  <c r="O13" i="1"/>
  <c r="N13" i="1"/>
  <c r="G13" i="1"/>
  <c r="O12" i="1"/>
  <c r="N12" i="1"/>
  <c r="G12" i="1"/>
  <c r="O11" i="1"/>
  <c r="N11" i="1"/>
  <c r="G11" i="1"/>
  <c r="O10" i="1"/>
  <c r="N10" i="1"/>
  <c r="G10" i="1"/>
  <c r="O9" i="1"/>
  <c r="N9" i="1"/>
  <c r="G9" i="1"/>
  <c r="O8" i="1"/>
  <c r="N8" i="1"/>
  <c r="G8" i="1"/>
  <c r="O7" i="1"/>
  <c r="N7" i="1"/>
  <c r="G7" i="1"/>
  <c r="O6" i="1"/>
  <c r="N6" i="1"/>
  <c r="G6" i="1"/>
  <c r="O5" i="1"/>
  <c r="N5" i="1"/>
  <c r="G5" i="1"/>
  <c r="O4" i="1"/>
  <c r="N4" i="1"/>
  <c r="G4" i="1"/>
  <c r="O3" i="1"/>
  <c r="N3" i="1"/>
  <c r="G3" i="1"/>
  <c r="R2" i="1"/>
  <c r="N2" i="1"/>
  <c r="G2" i="1"/>
  <c r="Q89" i="1" l="1"/>
  <c r="Q99" i="1"/>
  <c r="Q101" i="1"/>
  <c r="Q105" i="1"/>
  <c r="Q229" i="1"/>
  <c r="Q138" i="1"/>
  <c r="Q150" i="1"/>
  <c r="Q54" i="1"/>
  <c r="Q56" i="1"/>
  <c r="Q57" i="1"/>
  <c r="R165" i="1"/>
  <c r="R40" i="1"/>
  <c r="R50" i="1"/>
  <c r="R52" i="1"/>
  <c r="R54" i="1"/>
  <c r="R60" i="1"/>
  <c r="R62" i="1"/>
  <c r="R80" i="1"/>
  <c r="R82" i="1"/>
  <c r="Q86" i="1"/>
  <c r="Q98" i="1"/>
  <c r="Q102" i="1"/>
  <c r="Q104" i="1"/>
  <c r="Q108" i="1"/>
  <c r="Q230" i="1"/>
  <c r="Q232" i="1"/>
  <c r="Q242" i="1"/>
  <c r="Q244" i="1"/>
  <c r="R128" i="1"/>
  <c r="R136" i="1"/>
  <c r="R140" i="1"/>
  <c r="R172" i="1"/>
  <c r="R119" i="1"/>
  <c r="R175" i="1"/>
  <c r="R179" i="1"/>
  <c r="R181" i="1"/>
  <c r="R195" i="1"/>
  <c r="R217" i="1"/>
  <c r="R219" i="1"/>
  <c r="R221" i="1"/>
  <c r="R223" i="1"/>
  <c r="R225" i="1"/>
  <c r="R227" i="1"/>
  <c r="R231" i="1"/>
  <c r="R233" i="1"/>
  <c r="Q141" i="1"/>
  <c r="Q173" i="1"/>
  <c r="Q61" i="1"/>
  <c r="R93" i="1"/>
  <c r="R95" i="1"/>
  <c r="R97" i="1"/>
  <c r="R101" i="1"/>
  <c r="R103" i="1"/>
  <c r="R105" i="1"/>
  <c r="R107" i="1"/>
  <c r="R109" i="1"/>
  <c r="R111" i="1"/>
  <c r="Q121" i="1"/>
  <c r="Q131" i="1"/>
  <c r="Q133" i="1"/>
  <c r="Q171" i="1"/>
  <c r="Q196" i="1"/>
  <c r="R121" i="1"/>
  <c r="R147" i="1"/>
  <c r="R149" i="1"/>
  <c r="R151" i="1"/>
  <c r="R153" i="1"/>
  <c r="R155" i="1"/>
  <c r="R157" i="1"/>
  <c r="R159" i="1"/>
  <c r="Q187" i="1"/>
  <c r="Q195" i="1"/>
  <c r="R198" i="1"/>
  <c r="R210" i="1"/>
  <c r="R115" i="1"/>
  <c r="Q58" i="1"/>
  <c r="Q62" i="1"/>
  <c r="R90" i="1"/>
  <c r="R92" i="1"/>
  <c r="R94" i="1"/>
  <c r="Q118" i="1"/>
  <c r="Q130" i="1"/>
  <c r="Q134" i="1"/>
  <c r="Q136" i="1"/>
  <c r="Q217" i="1"/>
  <c r="Q221" i="1"/>
  <c r="R44" i="1"/>
  <c r="R48" i="1"/>
  <c r="Q90" i="1"/>
  <c r="R122" i="1"/>
  <c r="R124" i="1"/>
  <c r="R150" i="1"/>
  <c r="R152" i="1"/>
  <c r="R156" i="1"/>
  <c r="Q184" i="1"/>
  <c r="Q194" i="1"/>
  <c r="R41" i="1"/>
  <c r="R43" i="1"/>
  <c r="R45" i="1"/>
  <c r="R47" i="1"/>
  <c r="R85" i="1"/>
  <c r="R114" i="1"/>
  <c r="R125" i="1"/>
  <c r="R127" i="1"/>
  <c r="R129" i="1"/>
  <c r="R133" i="1"/>
  <c r="R135" i="1"/>
  <c r="Q137" i="1"/>
  <c r="Q147" i="1"/>
  <c r="R148" i="1"/>
  <c r="R160" i="1"/>
  <c r="R162" i="1"/>
  <c r="R164" i="1"/>
  <c r="R168" i="1"/>
  <c r="R170" i="1"/>
  <c r="R185" i="1"/>
  <c r="R187" i="1"/>
  <c r="R191" i="1"/>
  <c r="R193" i="1"/>
  <c r="Q197" i="1"/>
  <c r="Q203" i="1"/>
  <c r="Q236" i="1"/>
  <c r="R248" i="1"/>
  <c r="Q66" i="1"/>
  <c r="Q70" i="1"/>
  <c r="Q72" i="1"/>
  <c r="R87" i="1"/>
  <c r="R89" i="1"/>
  <c r="R96" i="1"/>
  <c r="R102" i="1"/>
  <c r="R108" i="1"/>
  <c r="R116" i="1"/>
  <c r="R118" i="1"/>
  <c r="Q120" i="1"/>
  <c r="Q125" i="1"/>
  <c r="R139" i="1"/>
  <c r="R141" i="1"/>
  <c r="R143" i="1"/>
  <c r="R145" i="1"/>
  <c r="Q153" i="1"/>
  <c r="Q172" i="1"/>
  <c r="Q180" i="1"/>
  <c r="Q185" i="1"/>
  <c r="Q189" i="1"/>
  <c r="R199" i="1"/>
  <c r="R201" i="1"/>
  <c r="R203" i="1"/>
  <c r="R205" i="1"/>
  <c r="R209" i="1"/>
  <c r="R211" i="1"/>
  <c r="R213" i="1"/>
  <c r="Q225" i="1"/>
  <c r="Q227" i="1"/>
  <c r="R243" i="1"/>
  <c r="R245" i="1"/>
  <c r="R42" i="1"/>
  <c r="R55" i="1"/>
  <c r="R57" i="1"/>
  <c r="R64" i="1"/>
  <c r="R76" i="1"/>
  <c r="R84" i="1"/>
  <c r="R86" i="1"/>
  <c r="Q93" i="1"/>
  <c r="Q117" i="1"/>
  <c r="Q122" i="1"/>
  <c r="R126" i="1"/>
  <c r="Q140" i="1"/>
  <c r="R161" i="1"/>
  <c r="R163" i="1"/>
  <c r="R167" i="1"/>
  <c r="R186" i="1"/>
  <c r="R188" i="1"/>
  <c r="R190" i="1"/>
  <c r="R192" i="1"/>
  <c r="Q198" i="1"/>
  <c r="Q200" i="1"/>
  <c r="Q210" i="1"/>
  <c r="Q212" i="1"/>
  <c r="R247" i="1"/>
  <c r="R251" i="1"/>
  <c r="Q42" i="1"/>
  <c r="Q67" i="1"/>
  <c r="Q69" i="1"/>
  <c r="Q73" i="1"/>
  <c r="R117" i="1"/>
  <c r="R138" i="1"/>
  <c r="R144" i="1"/>
  <c r="R146" i="1"/>
  <c r="Q152" i="1"/>
  <c r="Q156" i="1"/>
  <c r="R173" i="1"/>
  <c r="Q177" i="1"/>
  <c r="R196" i="1"/>
  <c r="R202" i="1"/>
  <c r="R204" i="1"/>
  <c r="R214" i="1"/>
  <c r="Q226" i="1"/>
  <c r="R46" i="1"/>
  <c r="Q50" i="1"/>
  <c r="R66" i="1"/>
  <c r="R68" i="1"/>
  <c r="R70" i="1"/>
  <c r="R72" i="1"/>
  <c r="R74" i="1"/>
  <c r="R78" i="1"/>
  <c r="Q82" i="1"/>
  <c r="Q85" i="1"/>
  <c r="Q94" i="1"/>
  <c r="R98" i="1"/>
  <c r="R100" i="1"/>
  <c r="R104" i="1"/>
  <c r="R106" i="1"/>
  <c r="R110" i="1"/>
  <c r="Q114" i="1"/>
  <c r="Q126" i="1"/>
  <c r="R130" i="1"/>
  <c r="R132" i="1"/>
  <c r="R134" i="1"/>
  <c r="Q145" i="1"/>
  <c r="Q149" i="1"/>
  <c r="R154" i="1"/>
  <c r="Q161" i="1"/>
  <c r="R174" i="1"/>
  <c r="Q178" i="1"/>
  <c r="R183" i="1"/>
  <c r="R194" i="1"/>
  <c r="Q209" i="1"/>
  <c r="Q211" i="1"/>
  <c r="Q213" i="1"/>
  <c r="R226" i="1"/>
  <c r="Q228" i="1"/>
  <c r="Q241" i="1"/>
  <c r="Q243" i="1"/>
  <c r="Q245" i="1"/>
  <c r="R250" i="1"/>
  <c r="Q46" i="1"/>
  <c r="Q74" i="1"/>
  <c r="Q78" i="1"/>
  <c r="Q106" i="1"/>
  <c r="Q110" i="1"/>
  <c r="Q154" i="1"/>
  <c r="Q165" i="1"/>
  <c r="Q205" i="1"/>
  <c r="R220" i="1"/>
  <c r="Q237" i="1"/>
  <c r="R39" i="1"/>
  <c r="Q41" i="1"/>
  <c r="R59" i="1"/>
  <c r="R91" i="1"/>
  <c r="R123" i="1"/>
  <c r="R142" i="1"/>
  <c r="Q146" i="1"/>
  <c r="R158" i="1"/>
  <c r="R169" i="1"/>
  <c r="R171" i="1"/>
  <c r="R180" i="1"/>
  <c r="R200" i="1"/>
  <c r="R215" i="1"/>
  <c r="Q219" i="1"/>
  <c r="R230" i="1"/>
  <c r="R232" i="1"/>
  <c r="Q142" i="1"/>
  <c r="Q158" i="1"/>
  <c r="R207" i="1"/>
  <c r="R234" i="1"/>
  <c r="Q38" i="1"/>
  <c r="Q40" i="1"/>
  <c r="Q45" i="1"/>
  <c r="R49" i="1"/>
  <c r="Q51" i="1"/>
  <c r="R56" i="1"/>
  <c r="Q65" i="1"/>
  <c r="Q77" i="1"/>
  <c r="R81" i="1"/>
  <c r="Q83" i="1"/>
  <c r="R88" i="1"/>
  <c r="Q92" i="1"/>
  <c r="Q109" i="1"/>
  <c r="R113" i="1"/>
  <c r="Q115" i="1"/>
  <c r="R120" i="1"/>
  <c r="Q124" i="1"/>
  <c r="Q129" i="1"/>
  <c r="R137" i="1"/>
  <c r="R166" i="1"/>
  <c r="Q168" i="1"/>
  <c r="R177" i="1"/>
  <c r="Q179" i="1"/>
  <c r="Q181" i="1"/>
  <c r="R189" i="1"/>
  <c r="Q193" i="1"/>
  <c r="R197" i="1"/>
  <c r="R206" i="1"/>
  <c r="R208" i="1"/>
  <c r="R212" i="1"/>
  <c r="Q216" i="1"/>
  <c r="R229" i="1"/>
  <c r="R238" i="1"/>
  <c r="R240" i="1"/>
  <c r="R242" i="1"/>
  <c r="R244" i="1"/>
  <c r="Q249" i="1"/>
  <c r="R38" i="1"/>
  <c r="Q49" i="1"/>
  <c r="Q53" i="1"/>
  <c r="R58" i="1"/>
  <c r="R67" i="1"/>
  <c r="Q81" i="1"/>
  <c r="R99" i="1"/>
  <c r="Q113" i="1"/>
  <c r="R131" i="1"/>
  <c r="Q157" i="1"/>
  <c r="Q248" i="1"/>
  <c r="R249" i="1"/>
  <c r="Q37" i="1"/>
  <c r="Q35" i="1"/>
  <c r="Q34" i="1"/>
  <c r="Q33" i="1"/>
  <c r="Q30" i="1"/>
  <c r="Q29" i="1"/>
  <c r="R27" i="1"/>
  <c r="Q52" i="1"/>
  <c r="Q84" i="1"/>
  <c r="Q116" i="1"/>
  <c r="Q182" i="1"/>
  <c r="Q214" i="1"/>
  <c r="Q246" i="1"/>
  <c r="Q55" i="1"/>
  <c r="Q87" i="1"/>
  <c r="Q119" i="1"/>
  <c r="Q151" i="1"/>
  <c r="Q176" i="1"/>
  <c r="Q188" i="1"/>
  <c r="Q208" i="1"/>
  <c r="Q220" i="1"/>
  <c r="Q240" i="1"/>
  <c r="R26" i="1"/>
  <c r="Q36" i="1"/>
  <c r="Q68" i="1"/>
  <c r="Q100" i="1"/>
  <c r="Q132" i="1"/>
  <c r="Q39" i="1"/>
  <c r="Q71" i="1"/>
  <c r="Q103" i="1"/>
  <c r="Q135" i="1"/>
  <c r="Q192" i="1"/>
  <c r="Q204" i="1"/>
  <c r="Q224" i="1"/>
  <c r="Q88" i="1"/>
  <c r="Q97" i="1"/>
  <c r="Q169" i="1"/>
  <c r="Q201" i="1"/>
  <c r="Q233" i="1"/>
  <c r="Q26" i="1"/>
  <c r="R11" i="1"/>
  <c r="Q32" i="1"/>
  <c r="Q48" i="1"/>
  <c r="Q64" i="1"/>
  <c r="Q80" i="1"/>
  <c r="Q96" i="1"/>
  <c r="Q112" i="1"/>
  <c r="Q128" i="1"/>
  <c r="Q144" i="1"/>
  <c r="Q160" i="1"/>
  <c r="Q163" i="1"/>
  <c r="Q166" i="1"/>
  <c r="Q175" i="1"/>
  <c r="Q191" i="1"/>
  <c r="Q207" i="1"/>
  <c r="Q223" i="1"/>
  <c r="Q239" i="1"/>
  <c r="Q28" i="1"/>
  <c r="Q44" i="1"/>
  <c r="Q60" i="1"/>
  <c r="Q76" i="1"/>
  <c r="Q235" i="1"/>
  <c r="Q251" i="1"/>
  <c r="Q31" i="1"/>
  <c r="Q63" i="1"/>
  <c r="Q79" i="1"/>
  <c r="Q127" i="1"/>
  <c r="Q143" i="1"/>
  <c r="Q159" i="1"/>
  <c r="Q162" i="1"/>
  <c r="Q174" i="1"/>
  <c r="Q190" i="1"/>
  <c r="Q206" i="1"/>
  <c r="Q222" i="1"/>
  <c r="Q238" i="1"/>
  <c r="Q47" i="1"/>
  <c r="Q95" i="1"/>
  <c r="Q111" i="1"/>
  <c r="Q183" i="1"/>
  <c r="Q199" i="1"/>
  <c r="Q215" i="1"/>
  <c r="Q231" i="1"/>
  <c r="Q247" i="1"/>
  <c r="Q27" i="1"/>
  <c r="Q43" i="1"/>
  <c r="Q59" i="1"/>
  <c r="Q91" i="1"/>
  <c r="Q107" i="1"/>
  <c r="Q139" i="1"/>
  <c r="Q155" i="1"/>
  <c r="Q164" i="1"/>
  <c r="Q167" i="1"/>
  <c r="Q170" i="1"/>
  <c r="Q186" i="1"/>
  <c r="Q202" i="1"/>
  <c r="Q218" i="1"/>
  <c r="Q234" i="1"/>
  <c r="Q250" i="1"/>
  <c r="Q75" i="1"/>
  <c r="Q123" i="1"/>
  <c r="Q148" i="1"/>
  <c r="R22" i="1"/>
  <c r="R18" i="1"/>
  <c r="R14" i="1"/>
  <c r="R10" i="1"/>
  <c r="R9" i="1"/>
  <c r="R7" i="1"/>
  <c r="R6" i="1"/>
  <c r="R3" i="1"/>
  <c r="Q25" i="1"/>
  <c r="Q9" i="1"/>
  <c r="Q17" i="1"/>
  <c r="Q21" i="1"/>
  <c r="Q4" i="1"/>
  <c r="Q10" i="1"/>
  <c r="Q16" i="1"/>
  <c r="Q20" i="1"/>
  <c r="Q22" i="1"/>
  <c r="Q24" i="1"/>
  <c r="R25" i="1"/>
  <c r="R24" i="1"/>
  <c r="R23" i="1"/>
  <c r="Q23" i="1"/>
  <c r="R21" i="1"/>
  <c r="R20" i="1"/>
  <c r="R19" i="1"/>
  <c r="Q19" i="1"/>
  <c r="Q18" i="1"/>
  <c r="R17" i="1"/>
  <c r="R16" i="1"/>
  <c r="R15" i="1"/>
  <c r="Q15" i="1"/>
  <c r="Q14" i="1"/>
  <c r="R13" i="1"/>
  <c r="Q13" i="1"/>
  <c r="R12" i="1"/>
  <c r="Q12" i="1"/>
  <c r="Q11" i="1"/>
  <c r="R8" i="1"/>
  <c r="Q8" i="1"/>
  <c r="Q7" i="1"/>
  <c r="Q6" i="1"/>
  <c r="R5" i="1"/>
  <c r="Q5" i="1"/>
  <c r="R4" i="1"/>
  <c r="Q3" i="1"/>
  <c r="Q2" i="1"/>
</calcChain>
</file>

<file path=xl/sharedStrings.xml><?xml version="1.0" encoding="utf-8"?>
<sst xmlns="http://schemas.openxmlformats.org/spreadsheetml/2006/main" count="20" uniqueCount="20">
  <si>
    <t>Relación C/N</t>
  </si>
  <si>
    <t>Nº Recepcion</t>
  </si>
  <si>
    <t>Nitrógeno total
(g/Kg sms 105°C)</t>
  </si>
  <si>
    <t>Observaciones
CT</t>
  </si>
  <si>
    <t>Observaciones
NT</t>
  </si>
  <si>
    <t>C total A
(g/100 g)</t>
  </si>
  <si>
    <t>N total A
(g/100 g)</t>
  </si>
  <si>
    <t>C total B
(g/100 g)</t>
  </si>
  <si>
    <t>N total B
(g/100 g)</t>
  </si>
  <si>
    <t>Carbono total
(g/Kg sms 105°C)</t>
  </si>
  <si>
    <t>F.C.
(105)</t>
  </si>
  <si>
    <r>
      <t>C (</t>
    </r>
    <r>
      <rPr>
        <u/>
        <sz val="11"/>
        <color theme="1"/>
        <rFont val="Calibri"/>
        <family val="2"/>
        <scheme val="minor"/>
      </rPr>
      <t>&gt;</t>
    </r>
    <r>
      <rPr>
        <sz val="11"/>
        <color theme="1"/>
        <rFont val="Calibri"/>
        <family val="2"/>
        <scheme val="minor"/>
      </rPr>
      <t>)</t>
    </r>
  </si>
  <si>
    <r>
      <t>N (</t>
    </r>
    <r>
      <rPr>
        <u/>
        <sz val="11"/>
        <color theme="1"/>
        <rFont val="Calibri"/>
        <family val="2"/>
        <scheme val="minor"/>
      </rPr>
      <t>&gt;</t>
    </r>
    <r>
      <rPr>
        <sz val="11"/>
        <color theme="1"/>
        <rFont val="Calibri"/>
        <family val="2"/>
        <scheme val="minor"/>
      </rPr>
      <t>)</t>
    </r>
  </si>
  <si>
    <t>Fecha
CA</t>
  </si>
  <si>
    <t>Fecha
NA</t>
  </si>
  <si>
    <t>Fecha
CB</t>
  </si>
  <si>
    <t>Fecha
NB</t>
  </si>
  <si>
    <t>Fecha
Relación CN</t>
  </si>
  <si>
    <t>Fecha
C</t>
  </si>
  <si>
    <t>Fecha
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</si>
</sst>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0.0000"/>
    <numFmt numFmtId="166" formatCode="0.0"/>
    <numFmt numFmtId="167" formatCode="dd:mm:yy"/>
  </numFmts>
  <fonts count="3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38">
    <xf numFmtId="0" fontId="0" fillId="0" borderId="0" xfId="0"/>
    <xf numFmtId="2" fontId="0" fillId="0" borderId="0" xfId="0" applyNumberFormat="1"/>
    <xf numFmtId="164" fontId="0" fillId="0" borderId="0" xfId="0" applyNumberFormat="1"/>
    <xf numFmtId="1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 applyAlignment="1">
      <alignment vertical="top"/>
    </xf>
    <xf numFmtId="2" fontId="0" fillId="0" borderId="2" xfId="0" applyNumberFormat="1" applyFont="1" applyBorder="1"/>
    <xf numFmtId="14" fontId="0" fillId="0" borderId="2" xfId="0" applyNumberFormat="1" applyFont="1" applyBorder="1"/>
    <xf numFmtId="166" fontId="0" fillId="0" borderId="2" xfId="0" applyNumberFormat="1" applyFont="1" applyBorder="1"/>
    <xf numFmtId="14" fontId="0" fillId="0" borderId="3" xfId="0" applyNumberFormat="1" applyFont="1" applyBorder="1"/>
    <xf numFmtId="167" fontId="2" fillId="2" borderId="4" xfId="0" applyNumberFormat="1" applyFont="1" applyFill="1" applyBorder="1" applyAlignment="1">
      <alignment horizontal="center" vertical="top"/>
    </xf>
    <xf numFmtId="167" fontId="2" fillId="2" borderId="5" xfId="0" applyNumberFormat="1" applyFont="1" applyFill="1" applyBorder="1" applyAlignment="1">
      <alignment horizontal="center" vertical="top" wrapText="1"/>
    </xf>
    <xf numFmtId="167" fontId="2" fillId="2" borderId="5" xfId="0" applyNumberFormat="1" applyFont="1" applyFill="1" applyBorder="1" applyAlignment="1">
      <alignment horizontal="center" vertical="top"/>
    </xf>
    <xf numFmtId="167" fontId="2" fillId="2" borderId="6" xfId="0" applyNumberFormat="1" applyFont="1" applyFill="1" applyBorder="1" applyAlignment="1">
      <alignment horizontal="center" vertical="top" wrapText="1"/>
    </xf>
    <xf numFmtId="2" fontId="0" fillId="3" borderId="5" xfId="0" applyNumberFormat="1" applyFont="1" applyFill="1" applyBorder="1"/>
    <xf numFmtId="14" fontId="0" fillId="3" borderId="5" xfId="0" applyNumberFormat="1" applyFont="1" applyFill="1" applyBorder="1"/>
    <xf numFmtId="166" fontId="0" fillId="3" borderId="5" xfId="0" applyNumberFormat="1" applyFont="1" applyFill="1" applyBorder="1"/>
    <xf numFmtId="14" fontId="0" fillId="3" borderId="6" xfId="0" applyNumberFormat="1" applyFont="1" applyFill="1" applyBorder="1"/>
    <xf numFmtId="2" fontId="0" fillId="0" borderId="5" xfId="0" applyNumberFormat="1" applyFont="1" applyBorder="1"/>
    <xf numFmtId="14" fontId="0" fillId="0" borderId="5" xfId="0" applyNumberFormat="1" applyFont="1" applyBorder="1"/>
    <xf numFmtId="166" fontId="0" fillId="0" borderId="5" xfId="0" applyNumberFormat="1" applyFont="1" applyBorder="1"/>
    <xf numFmtId="14" fontId="0" fillId="0" borderId="6" xfId="0" applyNumberFormat="1" applyFont="1" applyBorder="1"/>
    <xf numFmtId="0" fontId="0" fillId="3" borderId="4" xfId="0" applyFont="1" applyFill="1" applyBorder="1" applyProtection="1">
      <protection locked="0"/>
    </xf>
    <xf numFmtId="164" fontId="0" fillId="3" borderId="5" xfId="0" applyNumberFormat="1" applyFont="1" applyFill="1" applyBorder="1" applyProtection="1">
      <protection locked="0"/>
    </xf>
    <xf numFmtId="2" fontId="0" fillId="3" borderId="5" xfId="0" applyNumberFormat="1" applyFont="1" applyFill="1" applyBorder="1" applyProtection="1">
      <protection locked="0"/>
    </xf>
    <xf numFmtId="0" fontId="0" fillId="0" borderId="4" xfId="0" applyFont="1" applyBorder="1" applyProtection="1">
      <protection locked="0"/>
    </xf>
    <xf numFmtId="164" fontId="0" fillId="0" borderId="5" xfId="0" applyNumberFormat="1" applyFont="1" applyBorder="1" applyProtection="1">
      <protection locked="0"/>
    </xf>
    <xf numFmtId="2" fontId="0" fillId="0" borderId="5" xfId="0" applyNumberFormat="1" applyFont="1" applyBorder="1" applyProtection="1">
      <protection locked="0"/>
    </xf>
    <xf numFmtId="0" fontId="0" fillId="0" borderId="1" xfId="0" applyFont="1" applyBorder="1" applyProtection="1">
      <protection locked="0"/>
    </xf>
    <xf numFmtId="164" fontId="0" fillId="0" borderId="2" xfId="0" applyNumberFormat="1" applyFont="1" applyBorder="1" applyProtection="1">
      <protection locked="0"/>
    </xf>
    <xf numFmtId="2" fontId="0" fillId="0" borderId="2" xfId="0" applyNumberFormat="1" applyFont="1" applyBorder="1" applyProtection="1">
      <protection locked="0"/>
    </xf>
    <xf numFmtId="0" fontId="0" fillId="3" borderId="5" xfId="0" applyFont="1" applyFill="1" applyBorder="1" applyProtection="1">
      <protection locked="0"/>
    </xf>
    <xf numFmtId="0" fontId="0" fillId="0" borderId="5" xfId="0" applyFont="1" applyBorder="1" applyProtection="1">
      <protection locked="0"/>
    </xf>
    <xf numFmtId="0" fontId="0" fillId="0" borderId="2" xfId="0" applyFont="1" applyBorder="1" applyProtection="1">
      <protection locked="0"/>
    </xf>
    <xf numFmtId="14" fontId="0" fillId="3" borderId="5" xfId="0" applyNumberFormat="1" applyFont="1" applyFill="1" applyBorder="1" applyProtection="1">
      <protection locked="0"/>
    </xf>
    <xf numFmtId="14" fontId="0" fillId="0" borderId="5" xfId="0" applyNumberFormat="1" applyFont="1" applyBorder="1" applyProtection="1">
      <protection locked="0"/>
    </xf>
    <xf numFmtId="14" fontId="0" fillId="0" borderId="2" xfId="0" applyNumberFormat="1" applyFont="1" applyBorder="1" applyProtection="1">
      <protection locked="0"/>
    </xf>
  </cellXfs>
  <cellStyles count="1">
    <cellStyle name="Normal" xfId="0" builtinId="0"/>
  </cellStyles>
  <dxfs count="4"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</dxfs>
  <tableStyles count="0" defaultTableStyle="TableStyleMedium2" defaultPivotStyle="PivotStyleLight16"/>
  <colors>
    <mruColors>
      <color rgb="FFFF757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R251"/>
  <sheetViews>
    <sheetView tabSelected="1" zoomScaleNormal="100" zoomScaleSheetLayoutView="40" zoomScalePageLayoutView="85" workbookViewId="0">
      <selection activeCell="A2" sqref="A2"/>
    </sheetView>
  </sheetViews>
  <sheetFormatPr baseColWidth="10" defaultRowHeight="14.4" x14ac:dyDescent="0.3"/>
  <cols>
    <col min="1" max="1" width="14" customWidth="1"/>
    <col min="2" max="2" width="9.6640625" style="4" customWidth="1"/>
    <col min="3" max="3" width="12.5546875" customWidth="1"/>
    <col min="4" max="4" width="13.109375" style="3" hidden="1" customWidth="1"/>
    <col min="5" max="5" width="12.5546875" hidden="1" customWidth="1"/>
    <col min="6" max="6" width="11.5546875" style="3" hidden="1" customWidth="1"/>
    <col min="7" max="7" width="19.44140625" style="5" customWidth="1"/>
    <col min="8" max="8" width="10.6640625" style="3" bestFit="1" customWidth="1"/>
    <col min="9" max="9" width="14" customWidth="1"/>
    <col min="10" max="10" width="12.88671875" customWidth="1"/>
    <col min="11" max="11" width="13" style="3" hidden="1" customWidth="1"/>
    <col min="12" max="12" width="12.6640625" hidden="1" customWidth="1"/>
    <col min="13" max="13" width="13.44140625" style="3" hidden="1" customWidth="1"/>
    <col min="14" max="14" width="19.5546875" style="1" customWidth="1"/>
    <col min="15" max="15" width="11.33203125" style="3" customWidth="1"/>
    <col min="16" max="16" width="14.5546875" customWidth="1"/>
    <col min="17" max="17" width="14.6640625" style="1" customWidth="1"/>
    <col min="18" max="18" width="15.88671875" style="3" bestFit="1" customWidth="1"/>
  </cols>
  <sheetData>
    <row r="1" spans="1:18" s="6" customFormat="1" ht="28.8" x14ac:dyDescent="0.3">
      <c r="A1" s="11" t="s">
        <v>1</v>
      </c>
      <c r="B1" s="12" t="s">
        <v>10</v>
      </c>
      <c r="C1" s="12" t="s">
        <v>5</v>
      </c>
      <c r="D1" s="12" t="s">
        <v>13</v>
      </c>
      <c r="E1" s="12" t="s">
        <v>7</v>
      </c>
      <c r="F1" s="12" t="s">
        <v>15</v>
      </c>
      <c r="G1" s="12" t="s">
        <v>9</v>
      </c>
      <c r="H1" s="12" t="s">
        <v>18</v>
      </c>
      <c r="I1" s="12" t="s">
        <v>3</v>
      </c>
      <c r="J1" s="12" t="s">
        <v>6</v>
      </c>
      <c r="K1" s="12" t="s">
        <v>14</v>
      </c>
      <c r="L1" s="12" t="s">
        <v>8</v>
      </c>
      <c r="M1" s="12" t="s">
        <v>16</v>
      </c>
      <c r="N1" s="12" t="s">
        <v>2</v>
      </c>
      <c r="O1" s="12" t="s">
        <v>19</v>
      </c>
      <c r="P1" s="12" t="s">
        <v>4</v>
      </c>
      <c r="Q1" s="13" t="s">
        <v>0</v>
      </c>
      <c r="R1" s="14" t="s">
        <v>17</v>
      </c>
    </row>
    <row r="2" spans="1:18" ht="14.55" x14ac:dyDescent="0.35">
      <c r="A2" s="23"/>
      <c r="B2" s="24"/>
      <c r="C2" s="25"/>
      <c r="D2" s="35"/>
      <c r="E2" s="15"/>
      <c r="F2" s="16"/>
      <c r="G2" s="17" t="str">
        <f>IF(OR(A2="",B2="",AND(C2="",E2=""),AND(C2&lt;Rangos!$B$1,E2="")),"",IF(C2&gt;=Rangos!$B$1,10*B2*C2,10*B2*E2))</f>
        <v/>
      </c>
      <c r="H2" s="16" t="str">
        <f>IF(AND(LECO!$D2="",LECO!$F2=""),"",IF(LECO!$F2="",LECO!$D2,LECO!$F2))</f>
        <v/>
      </c>
      <c r="I2" s="32"/>
      <c r="J2" s="25"/>
      <c r="K2" s="35"/>
      <c r="L2" s="15"/>
      <c r="M2" s="16"/>
      <c r="N2" s="15" t="str">
        <f>IF(OR(A2="",B2="",AND(J2="",L2=""),AND(J2&lt;Rangos!$B$2,L2="")),"",IF(J2&gt;=Rangos!$B$2,10*B2*J2,10*B2*L2))</f>
        <v/>
      </c>
      <c r="O2" s="16" t="str">
        <f>IF(AND(LECO!$K2="",LECO!$M2=""),"",IF(LECO!$M2="",LECO!$K2,LECO!$M2))</f>
        <v/>
      </c>
      <c r="P2" s="32"/>
      <c r="Q2" s="15" t="str">
        <f>IF(OR(G2="",N2=""),"",G2/N2)</f>
        <v/>
      </c>
      <c r="R2" s="18" t="str">
        <f>IF(OR(LECO!$H2="",LECO!$O2=""),"",MAX(LECO!$H2,LECO!$O2))</f>
        <v/>
      </c>
    </row>
    <row r="3" spans="1:18" ht="14.55" x14ac:dyDescent="0.35">
      <c r="A3" s="26"/>
      <c r="B3" s="27"/>
      <c r="C3" s="28"/>
      <c r="D3" s="36"/>
      <c r="E3" s="19"/>
      <c r="F3" s="20"/>
      <c r="G3" s="21" t="str">
        <f>IF(OR(A3="",B3="",AND(C3="",E3=""),AND(C3&lt;Rangos!$B$1,E3="")),"",IF(C3&gt;=Rangos!$B$1,10*B3*C3,10*B3*E3))</f>
        <v/>
      </c>
      <c r="H3" s="20" t="str">
        <f>IF(AND(LECO!$D3="",LECO!$F3=""),"",IF(LECO!$F3="",LECO!$D3,LECO!$F3))</f>
        <v/>
      </c>
      <c r="I3" s="33"/>
      <c r="J3" s="28"/>
      <c r="K3" s="36"/>
      <c r="L3" s="19"/>
      <c r="M3" s="20"/>
      <c r="N3" s="19" t="str">
        <f>IF(OR(A3="",B3="",AND(J3="",L3=""),AND(J3&lt;Rangos!$B$2,L3="")),"",IF(J3&gt;=Rangos!$B$2,10*B3*J3,10*B3*L3))</f>
        <v/>
      </c>
      <c r="O3" s="20" t="str">
        <f>IF(AND(LECO!$K3="",LECO!$M3=""),"",IF(LECO!$M3="",LECO!$K3,LECO!$M3))</f>
        <v/>
      </c>
      <c r="P3" s="33"/>
      <c r="Q3" s="19" t="str">
        <f>IF(OR(G3="",N3=""),"",G3/N3)</f>
        <v/>
      </c>
      <c r="R3" s="22" t="str">
        <f>IF(OR(LECO!$H3="",LECO!$O3=""),"",MAX(LECO!$H3,LECO!$O3))</f>
        <v/>
      </c>
    </row>
    <row r="4" spans="1:18" ht="14.55" x14ac:dyDescent="0.35">
      <c r="A4" s="23"/>
      <c r="B4" s="24"/>
      <c r="C4" s="25"/>
      <c r="D4" s="35"/>
      <c r="E4" s="15"/>
      <c r="F4" s="16"/>
      <c r="G4" s="17" t="str">
        <f>IF(OR(A4="",B4="",AND(C4="",E4=""),AND(C4&lt;Rangos!$B$1,E4="")),"",IF(C4&gt;=Rangos!$B$1,10*B4*C4,10*B4*E4))</f>
        <v/>
      </c>
      <c r="H4" s="16" t="str">
        <f>IF(AND(LECO!$D4="",LECO!$F4=""),"",IF(LECO!$F4="",LECO!$D4,LECO!$F4))</f>
        <v/>
      </c>
      <c r="I4" s="32"/>
      <c r="J4" s="25"/>
      <c r="K4" s="35"/>
      <c r="L4" s="15"/>
      <c r="M4" s="16"/>
      <c r="N4" s="15" t="str">
        <f>IF(OR(A4="",B4="",AND(J4="",L4=""),AND(J4&lt;Rangos!$B$2,L4="")),"",IF(J4&gt;=Rangos!$B$2,10*B4*J4,10*B4*L4))</f>
        <v/>
      </c>
      <c r="O4" s="16" t="str">
        <f>IF(AND(LECO!$K4="",LECO!$M4=""),"",IF(LECO!$M4="",LECO!$K4,LECO!$M4))</f>
        <v/>
      </c>
      <c r="P4" s="32"/>
      <c r="Q4" s="15" t="str">
        <f>IF(OR(G4="",N4=""),"",G4/N4)</f>
        <v/>
      </c>
      <c r="R4" s="18" t="str">
        <f>IF(OR(LECO!$H4="",LECO!$O4=""),"",MAX(LECO!$H4,LECO!$O4))</f>
        <v/>
      </c>
    </row>
    <row r="5" spans="1:18" ht="14.55" x14ac:dyDescent="0.35">
      <c r="A5" s="26"/>
      <c r="B5" s="27"/>
      <c r="C5" s="28"/>
      <c r="D5" s="36"/>
      <c r="E5" s="19"/>
      <c r="F5" s="20"/>
      <c r="G5" s="21" t="str">
        <f>IF(OR(A5="",B5="",AND(C5="",E5=""),AND(C5&lt;Rangos!$B$1,E5="")),"",IF(C5&gt;=Rangos!$B$1,10*B5*C5,10*B5*E5))</f>
        <v/>
      </c>
      <c r="H5" s="20" t="str">
        <f>IF(AND(LECO!$D5="",LECO!$F5=""),"",IF(LECO!$F5="",LECO!$D5,LECO!$F5))</f>
        <v/>
      </c>
      <c r="I5" s="33"/>
      <c r="J5" s="28"/>
      <c r="K5" s="36"/>
      <c r="L5" s="19"/>
      <c r="M5" s="20"/>
      <c r="N5" s="19" t="str">
        <f>IF(OR(A5="",B5="",AND(J5="",L5=""),AND(J5&lt;Rangos!$B$2,L5="")),"",IF(J5&gt;=Rangos!$B$2,10*B5*J5,10*B5*L5))</f>
        <v/>
      </c>
      <c r="O5" s="20" t="str">
        <f>IF(AND(LECO!$K5="",LECO!$M5=""),"",IF(LECO!$M5="",LECO!$K5,LECO!$M5))</f>
        <v/>
      </c>
      <c r="P5" s="33"/>
      <c r="Q5" s="19" t="str">
        <f>IF(OR(G5="",N5=""),"",G5/N5)</f>
        <v/>
      </c>
      <c r="R5" s="22" t="str">
        <f>IF(OR(LECO!$H5="",LECO!$O5=""),"",MAX(LECO!$H5,LECO!$O5))</f>
        <v/>
      </c>
    </row>
    <row r="6" spans="1:18" ht="14.55" x14ac:dyDescent="0.35">
      <c r="A6" s="23"/>
      <c r="B6" s="24"/>
      <c r="C6" s="25"/>
      <c r="D6" s="35"/>
      <c r="E6" s="15"/>
      <c r="F6" s="16"/>
      <c r="G6" s="17" t="str">
        <f>IF(OR(A6="",B6="",AND(C6="",E6=""),AND(C6&lt;Rangos!$B$1,E6="")),"",IF(C6&gt;=Rangos!$B$1,10*B6*C6,10*B6*E6))</f>
        <v/>
      </c>
      <c r="H6" s="16" t="str">
        <f>IF(AND(LECO!$D6="",LECO!$F6=""),"",IF(LECO!$F6="",LECO!$D6,LECO!$F6))</f>
        <v/>
      </c>
      <c r="I6" s="32"/>
      <c r="J6" s="25"/>
      <c r="K6" s="35"/>
      <c r="L6" s="15"/>
      <c r="M6" s="16"/>
      <c r="N6" s="15" t="str">
        <f>IF(OR(A6="",B6="",AND(J6="",L6=""),AND(J6&lt;Rangos!$B$2,L6="")),"",IF(J6&gt;=Rangos!$B$2,10*B6*J6,10*B6*L6))</f>
        <v/>
      </c>
      <c r="O6" s="16" t="str">
        <f>IF(AND(LECO!$K6="",LECO!$M6=""),"",IF(LECO!$M6="",LECO!$K6,LECO!$M6))</f>
        <v/>
      </c>
      <c r="P6" s="32"/>
      <c r="Q6" s="15" t="str">
        <f t="shared" ref="Q6:Q69" si="0">IF(OR(G6="",N6=""),"",G6/N6)</f>
        <v/>
      </c>
      <c r="R6" s="18" t="str">
        <f>IF(OR(LECO!$H6="",LECO!$O6=""),"",MAX(LECO!$H6,LECO!$O6))</f>
        <v/>
      </c>
    </row>
    <row r="7" spans="1:18" ht="14.55" x14ac:dyDescent="0.35">
      <c r="A7" s="26"/>
      <c r="B7" s="27"/>
      <c r="C7" s="28"/>
      <c r="D7" s="36"/>
      <c r="E7" s="19"/>
      <c r="F7" s="20"/>
      <c r="G7" s="21" t="str">
        <f>IF(OR(A7="",B7="",AND(C7="",E7=""),AND(C7&lt;Rangos!$B$1,E7="")),"",IF(C7&gt;=Rangos!$B$1,10*B7*C7,10*B7*E7))</f>
        <v/>
      </c>
      <c r="H7" s="20" t="str">
        <f>IF(AND(LECO!$D7="",LECO!$F7=""),"",IF(LECO!$F7="",LECO!$D7,LECO!$F7))</f>
        <v/>
      </c>
      <c r="I7" s="33"/>
      <c r="J7" s="28"/>
      <c r="K7" s="36"/>
      <c r="L7" s="19"/>
      <c r="M7" s="20"/>
      <c r="N7" s="19" t="str">
        <f>IF(OR(A7="",B7="",AND(J7="",L7=""),AND(J7&lt;Rangos!$B$2,L7="")),"",IF(J7&gt;=Rangos!$B$2,10*B7*J7,10*B7*L7))</f>
        <v/>
      </c>
      <c r="O7" s="20" t="str">
        <f>IF(AND(LECO!$K7="",LECO!$M7=""),"",IF(LECO!$M7="",LECO!$K7,LECO!$M7))</f>
        <v/>
      </c>
      <c r="P7" s="33"/>
      <c r="Q7" s="19" t="str">
        <f t="shared" si="0"/>
        <v/>
      </c>
      <c r="R7" s="22" t="str">
        <f>IF(OR(LECO!$H7="",LECO!$O7=""),"",MAX(LECO!$H7,LECO!$O7))</f>
        <v/>
      </c>
    </row>
    <row r="8" spans="1:18" ht="14.55" x14ac:dyDescent="0.35">
      <c r="A8" s="23"/>
      <c r="B8" s="24"/>
      <c r="C8" s="25"/>
      <c r="D8" s="35"/>
      <c r="E8" s="15"/>
      <c r="F8" s="16"/>
      <c r="G8" s="17" t="str">
        <f>IF(OR(A8="",B8="",AND(C8="",E8=""),AND(C8&lt;Rangos!$B$1,E8="")),"",IF(C8&gt;=Rangos!$B$1,10*B8*C8,10*B8*E8))</f>
        <v/>
      </c>
      <c r="H8" s="16" t="str">
        <f>IF(AND(LECO!$D8="",LECO!$F8=""),"",IF(LECO!$F8="",LECO!$D8,LECO!$F8))</f>
        <v/>
      </c>
      <c r="I8" s="32"/>
      <c r="J8" s="25"/>
      <c r="K8" s="35"/>
      <c r="L8" s="15"/>
      <c r="M8" s="16"/>
      <c r="N8" s="15" t="str">
        <f>IF(OR(A8="",B8="",AND(J8="",L8=""),AND(J8&lt;Rangos!$B$2,L8="")),"",IF(J8&gt;=Rangos!$B$2,10*B8*J8,10*B8*L8))</f>
        <v/>
      </c>
      <c r="O8" s="16" t="str">
        <f>IF(AND(LECO!$K8="",LECO!$M8=""),"",IF(LECO!$M8="",LECO!$K8,LECO!$M8))</f>
        <v/>
      </c>
      <c r="P8" s="32"/>
      <c r="Q8" s="15" t="str">
        <f t="shared" si="0"/>
        <v/>
      </c>
      <c r="R8" s="18" t="str">
        <f>IF(OR(LECO!$H8="",LECO!$O8=""),"",MAX(LECO!$H8,LECO!$O8))</f>
        <v/>
      </c>
    </row>
    <row r="9" spans="1:18" ht="14.55" x14ac:dyDescent="0.35">
      <c r="A9" s="26"/>
      <c r="B9" s="27"/>
      <c r="C9" s="28"/>
      <c r="D9" s="36"/>
      <c r="E9" s="19"/>
      <c r="F9" s="20"/>
      <c r="G9" s="21" t="str">
        <f>IF(OR(A9="",B9="",AND(C9="",E9=""),AND(C9&lt;Rangos!$B$1,E9="")),"",IF(C9&gt;=Rangos!$B$1,10*B9*C9,10*B9*E9))</f>
        <v/>
      </c>
      <c r="H9" s="20" t="str">
        <f>IF(AND(LECO!$D9="",LECO!$F9=""),"",IF(LECO!$F9="",LECO!$D9,LECO!$F9))</f>
        <v/>
      </c>
      <c r="I9" s="33"/>
      <c r="J9" s="28"/>
      <c r="K9" s="36"/>
      <c r="L9" s="19"/>
      <c r="M9" s="20"/>
      <c r="N9" s="19" t="str">
        <f>IF(OR(A9="",B9="",AND(J9="",L9=""),AND(J9&lt;Rangos!$B$2,L9="")),"",IF(J9&gt;=Rangos!$B$2,10*B9*J9,10*B9*L9))</f>
        <v/>
      </c>
      <c r="O9" s="20" t="str">
        <f>IF(AND(LECO!$K9="",LECO!$M9=""),"",IF(LECO!$M9="",LECO!$K9,LECO!$M9))</f>
        <v/>
      </c>
      <c r="P9" s="33"/>
      <c r="Q9" s="19" t="str">
        <f t="shared" si="0"/>
        <v/>
      </c>
      <c r="R9" s="22" t="str">
        <f>IF(OR(LECO!$H9="",LECO!$O9=""),"",MAX(LECO!$H9,LECO!$O9))</f>
        <v/>
      </c>
    </row>
    <row r="10" spans="1:18" ht="14.55" x14ac:dyDescent="0.35">
      <c r="A10" s="23"/>
      <c r="B10" s="24"/>
      <c r="C10" s="25"/>
      <c r="D10" s="35"/>
      <c r="E10" s="15"/>
      <c r="F10" s="16"/>
      <c r="G10" s="17" t="str">
        <f>IF(OR(A10="",B10="",AND(C10="",E10=""),AND(C10&lt;Rangos!$B$1,E10="")),"",IF(C10&gt;=Rangos!$B$1,10*B10*C10,10*B10*E10))</f>
        <v/>
      </c>
      <c r="H10" s="16" t="str">
        <f>IF(AND(LECO!$D10="",LECO!$F10=""),"",IF(LECO!$F10="",LECO!$D10,LECO!$F10))</f>
        <v/>
      </c>
      <c r="I10" s="32"/>
      <c r="J10" s="25"/>
      <c r="K10" s="35"/>
      <c r="L10" s="15"/>
      <c r="M10" s="16"/>
      <c r="N10" s="15" t="str">
        <f>IF(OR(A10="",B10="",AND(J10="",L10=""),AND(J10&lt;Rangos!$B$2,L10="")),"",IF(J10&gt;=Rangos!$B$2,10*B10*J10,10*B10*L10))</f>
        <v/>
      </c>
      <c r="O10" s="16" t="str">
        <f>IF(AND(LECO!$K10="",LECO!$M10=""),"",IF(LECO!$M10="",LECO!$K10,LECO!$M10))</f>
        <v/>
      </c>
      <c r="P10" s="32"/>
      <c r="Q10" s="15" t="str">
        <f t="shared" si="0"/>
        <v/>
      </c>
      <c r="R10" s="18" t="str">
        <f>IF(OR(LECO!$H10="",LECO!$O10=""),"",MAX(LECO!$H10,LECO!$O10))</f>
        <v/>
      </c>
    </row>
    <row r="11" spans="1:18" ht="14.55" x14ac:dyDescent="0.35">
      <c r="A11" s="26"/>
      <c r="B11" s="27"/>
      <c r="C11" s="28"/>
      <c r="D11" s="36"/>
      <c r="E11" s="19"/>
      <c r="F11" s="20"/>
      <c r="G11" s="21" t="str">
        <f>IF(OR(A11="",B11="",AND(C11="",E11=""),AND(C11&lt;Rangos!$B$1,E11="")),"",IF(C11&gt;=Rangos!$B$1,10*B11*C11,10*B11*E11))</f>
        <v/>
      </c>
      <c r="H11" s="20" t="str">
        <f>IF(AND(LECO!$D11="",LECO!$F11=""),"",IF(LECO!$F11="",LECO!$D11,LECO!$F11))</f>
        <v/>
      </c>
      <c r="I11" s="33"/>
      <c r="J11" s="28"/>
      <c r="K11" s="36"/>
      <c r="L11" s="19"/>
      <c r="M11" s="20"/>
      <c r="N11" s="19" t="str">
        <f>IF(OR(A11="",B11="",AND(J11="",L11=""),AND(J11&lt;Rangos!$B$2,L11="")),"",IF(J11&gt;=Rangos!$B$2,10*B11*J11,10*B11*L11))</f>
        <v/>
      </c>
      <c r="O11" s="20" t="str">
        <f>IF(AND(LECO!$K11="",LECO!$M11=""),"",IF(LECO!$M11="",LECO!$K11,LECO!$M11))</f>
        <v/>
      </c>
      <c r="P11" s="33"/>
      <c r="Q11" s="19" t="str">
        <f t="shared" si="0"/>
        <v/>
      </c>
      <c r="R11" s="22" t="str">
        <f>IF(OR(LECO!$H11="",LECO!$O11=""),"",MAX(LECO!$H11,LECO!$O11))</f>
        <v/>
      </c>
    </row>
    <row r="12" spans="1:18" ht="14.55" x14ac:dyDescent="0.35">
      <c r="A12" s="23"/>
      <c r="B12" s="24"/>
      <c r="C12" s="25"/>
      <c r="D12" s="35"/>
      <c r="E12" s="15"/>
      <c r="F12" s="16"/>
      <c r="G12" s="17" t="str">
        <f>IF(OR(A12="",B12="",AND(C12="",E12=""),AND(C12&lt;Rangos!$B$1,E12="")),"",IF(C12&gt;=Rangos!$B$1,10*B12*C12,10*B12*E12))</f>
        <v/>
      </c>
      <c r="H12" s="16" t="str">
        <f>IF(AND(LECO!$D12="",LECO!$F12=""),"",IF(LECO!$F12="",LECO!$D12,LECO!$F12))</f>
        <v/>
      </c>
      <c r="I12" s="32"/>
      <c r="J12" s="25"/>
      <c r="K12" s="35"/>
      <c r="L12" s="15"/>
      <c r="M12" s="16"/>
      <c r="N12" s="15" t="str">
        <f>IF(OR(A12="",B12="",AND(J12="",L12=""),AND(J12&lt;Rangos!$B$2,L12="")),"",IF(J12&gt;=Rangos!$B$2,10*B12*J12,10*B12*L12))</f>
        <v/>
      </c>
      <c r="O12" s="16" t="str">
        <f>IF(AND(LECO!$K12="",LECO!$M12=""),"",IF(LECO!$M12="",LECO!$K12,LECO!$M12))</f>
        <v/>
      </c>
      <c r="P12" s="32"/>
      <c r="Q12" s="15" t="str">
        <f t="shared" si="0"/>
        <v/>
      </c>
      <c r="R12" s="18" t="str">
        <f>IF(OR(LECO!$H12="",LECO!$O12=""),"",MAX(LECO!$H12,LECO!$O12))</f>
        <v/>
      </c>
    </row>
    <row r="13" spans="1:18" ht="14.55" x14ac:dyDescent="0.35">
      <c r="A13" s="26"/>
      <c r="B13" s="27"/>
      <c r="C13" s="28"/>
      <c r="D13" s="36"/>
      <c r="E13" s="19"/>
      <c r="F13" s="20"/>
      <c r="G13" s="21" t="str">
        <f>IF(OR(A13="",B13="",AND(C13="",E13=""),AND(C13&lt;Rangos!$B$1,E13="")),"",IF(C13&gt;=Rangos!$B$1,10*B13*C13,10*B13*E13))</f>
        <v/>
      </c>
      <c r="H13" s="20" t="str">
        <f>IF(AND(LECO!$D13="",LECO!$F13=""),"",IF(LECO!$F13="",LECO!$D13,LECO!$F13))</f>
        <v/>
      </c>
      <c r="I13" s="33"/>
      <c r="J13" s="28"/>
      <c r="K13" s="36"/>
      <c r="L13" s="19"/>
      <c r="M13" s="20"/>
      <c r="N13" s="19" t="str">
        <f>IF(OR(A13="",B13="",AND(J13="",L13=""),AND(J13&lt;Rangos!$B$2,L13="")),"",IF(J13&gt;=Rangos!$B$2,10*B13*J13,10*B13*L13))</f>
        <v/>
      </c>
      <c r="O13" s="20" t="str">
        <f>IF(AND(LECO!$K13="",LECO!$M13=""),"",IF(LECO!$M13="",LECO!$K13,LECO!$M13))</f>
        <v/>
      </c>
      <c r="P13" s="33"/>
      <c r="Q13" s="19" t="str">
        <f t="shared" si="0"/>
        <v/>
      </c>
      <c r="R13" s="22" t="str">
        <f>IF(OR(LECO!$H13="",LECO!$O13=""),"",MAX(LECO!$H13,LECO!$O13))</f>
        <v/>
      </c>
    </row>
    <row r="14" spans="1:18" ht="14.55" x14ac:dyDescent="0.35">
      <c r="A14" s="23"/>
      <c r="B14" s="24"/>
      <c r="C14" s="25"/>
      <c r="D14" s="35"/>
      <c r="E14" s="15"/>
      <c r="F14" s="16"/>
      <c r="G14" s="17" t="str">
        <f>IF(OR(A14="",B14="",AND(C14="",E14=""),AND(C14&lt;Rangos!$B$1,E14="")),"",IF(C14&gt;=Rangos!$B$1,10*B14*C14,10*B14*E14))</f>
        <v/>
      </c>
      <c r="H14" s="16" t="str">
        <f>IF(AND(LECO!$D14="",LECO!$F14=""),"",IF(LECO!$F14="",LECO!$D14,LECO!$F14))</f>
        <v/>
      </c>
      <c r="I14" s="32"/>
      <c r="J14" s="25"/>
      <c r="K14" s="35"/>
      <c r="L14" s="15"/>
      <c r="M14" s="16"/>
      <c r="N14" s="15" t="str">
        <f>IF(OR(A14="",B14="",AND(J14="",L14=""),AND(J14&lt;Rangos!$B$2,L14="")),"",IF(J14&gt;=Rangos!$B$2,10*B14*J14,10*B14*L14))</f>
        <v/>
      </c>
      <c r="O14" s="16" t="str">
        <f>IF(AND(LECO!$K14="",LECO!$M14=""),"",IF(LECO!$M14="",LECO!$K14,LECO!$M14))</f>
        <v/>
      </c>
      <c r="P14" s="32"/>
      <c r="Q14" s="15" t="str">
        <f t="shared" si="0"/>
        <v/>
      </c>
      <c r="R14" s="18" t="str">
        <f>IF(OR(LECO!$H14="",LECO!$O14=""),"",MAX(LECO!$H14,LECO!$O14))</f>
        <v/>
      </c>
    </row>
    <row r="15" spans="1:18" ht="14.55" x14ac:dyDescent="0.35">
      <c r="A15" s="26"/>
      <c r="B15" s="27"/>
      <c r="C15" s="28"/>
      <c r="D15" s="36"/>
      <c r="E15" s="19"/>
      <c r="F15" s="20"/>
      <c r="G15" s="21" t="str">
        <f>IF(OR(A15="",B15="",AND(C15="",E15=""),AND(C15&lt;Rangos!$B$1,E15="")),"",IF(C15&gt;=Rangos!$B$1,10*B15*C15,10*B15*E15))</f>
        <v/>
      </c>
      <c r="H15" s="20" t="str">
        <f>IF(AND(LECO!$D15="",LECO!$F15=""),"",IF(LECO!$F15="",LECO!$D15,LECO!$F15))</f>
        <v/>
      </c>
      <c r="I15" s="33"/>
      <c r="J15" s="28"/>
      <c r="K15" s="36"/>
      <c r="L15" s="19"/>
      <c r="M15" s="20"/>
      <c r="N15" s="19" t="str">
        <f>IF(OR(A15="",B15="",AND(J15="",L15=""),AND(J15&lt;Rangos!$B$2,L15="")),"",IF(J15&gt;=Rangos!$B$2,10*B15*J15,10*B15*L15))</f>
        <v/>
      </c>
      <c r="O15" s="20" t="str">
        <f>IF(AND(LECO!$K15="",LECO!$M15=""),"",IF(LECO!$M15="",LECO!$K15,LECO!$M15))</f>
        <v/>
      </c>
      <c r="P15" s="33"/>
      <c r="Q15" s="19" t="str">
        <f t="shared" si="0"/>
        <v/>
      </c>
      <c r="R15" s="22" t="str">
        <f>IF(OR(LECO!$H15="",LECO!$O15=""),"",MAX(LECO!$H15,LECO!$O15))</f>
        <v/>
      </c>
    </row>
    <row r="16" spans="1:18" ht="14.55" x14ac:dyDescent="0.35">
      <c r="A16" s="23"/>
      <c r="B16" s="24"/>
      <c r="C16" s="25"/>
      <c r="D16" s="35"/>
      <c r="E16" s="15"/>
      <c r="F16" s="16"/>
      <c r="G16" s="17" t="str">
        <f>IF(OR(A16="",B16="",AND(C16="",E16=""),AND(C16&lt;Rangos!$B$1,E16="")),"",IF(C16&gt;=Rangos!$B$1,10*B16*C16,10*B16*E16))</f>
        <v/>
      </c>
      <c r="H16" s="16" t="str">
        <f>IF(AND(LECO!$D16="",LECO!$F16=""),"",IF(LECO!$F16="",LECO!$D16,LECO!$F16))</f>
        <v/>
      </c>
      <c r="I16" s="32"/>
      <c r="J16" s="25"/>
      <c r="K16" s="35"/>
      <c r="L16" s="15"/>
      <c r="M16" s="16"/>
      <c r="N16" s="15" t="str">
        <f>IF(OR(A16="",B16="",AND(J16="",L16=""),AND(J16&lt;Rangos!$B$2,L16="")),"",IF(J16&gt;=Rangos!$B$2,10*B16*J16,10*B16*L16))</f>
        <v/>
      </c>
      <c r="O16" s="16" t="str">
        <f>IF(AND(LECO!$K16="",LECO!$M16=""),"",IF(LECO!$M16="",LECO!$K16,LECO!$M16))</f>
        <v/>
      </c>
      <c r="P16" s="32"/>
      <c r="Q16" s="15" t="str">
        <f t="shared" si="0"/>
        <v/>
      </c>
      <c r="R16" s="18" t="str">
        <f>IF(OR(LECO!$H16="",LECO!$O16=""),"",MAX(LECO!$H16,LECO!$O16))</f>
        <v/>
      </c>
    </row>
    <row r="17" spans="1:18" ht="14.55" x14ac:dyDescent="0.35">
      <c r="A17" s="26"/>
      <c r="B17" s="27"/>
      <c r="C17" s="28"/>
      <c r="D17" s="36"/>
      <c r="E17" s="19"/>
      <c r="F17" s="20"/>
      <c r="G17" s="21" t="str">
        <f>IF(OR(A17="",B17="",AND(C17="",E17=""),AND(C17&lt;Rangos!$B$1,E17="")),"",IF(C17&gt;=Rangos!$B$1,10*B17*C17,10*B17*E17))</f>
        <v/>
      </c>
      <c r="H17" s="20" t="str">
        <f>IF(AND(LECO!$D17="",LECO!$F17=""),"",IF(LECO!$F17="",LECO!$D17,LECO!$F17))</f>
        <v/>
      </c>
      <c r="I17" s="33"/>
      <c r="J17" s="28"/>
      <c r="K17" s="36"/>
      <c r="L17" s="19"/>
      <c r="M17" s="20"/>
      <c r="N17" s="19" t="str">
        <f>IF(OR(A17="",B17="",AND(J17="",L17=""),AND(J17&lt;Rangos!$B$2,L17="")),"",IF(J17&gt;=Rangos!$B$2,10*B17*J17,10*B17*L17))</f>
        <v/>
      </c>
      <c r="O17" s="20" t="str">
        <f>IF(AND(LECO!$K17="",LECO!$M17=""),"",IF(LECO!$M17="",LECO!$K17,LECO!$M17))</f>
        <v/>
      </c>
      <c r="P17" s="33"/>
      <c r="Q17" s="19" t="str">
        <f t="shared" si="0"/>
        <v/>
      </c>
      <c r="R17" s="22" t="str">
        <f>IF(OR(LECO!$H17="",LECO!$O17=""),"",MAX(LECO!$H17,LECO!$O17))</f>
        <v/>
      </c>
    </row>
    <row r="18" spans="1:18" ht="14.55" x14ac:dyDescent="0.35">
      <c r="A18" s="23"/>
      <c r="B18" s="24"/>
      <c r="C18" s="25"/>
      <c r="D18" s="35"/>
      <c r="E18" s="15"/>
      <c r="F18" s="16"/>
      <c r="G18" s="17" t="str">
        <f>IF(OR(A18="",B18="",AND(C18="",E18=""),AND(C18&lt;Rangos!$B$1,E18="")),"",IF(C18&gt;=Rangos!$B$1,10*B18*C18,10*B18*E18))</f>
        <v/>
      </c>
      <c r="H18" s="16" t="str">
        <f>IF(AND(LECO!$D18="",LECO!$F18=""),"",IF(LECO!$F18="",LECO!$D18,LECO!$F18))</f>
        <v/>
      </c>
      <c r="I18" s="32"/>
      <c r="J18" s="25"/>
      <c r="K18" s="35"/>
      <c r="L18" s="15"/>
      <c r="M18" s="16"/>
      <c r="N18" s="15" t="str">
        <f>IF(OR(A18="",B18="",AND(J18="",L18=""),AND(J18&lt;Rangos!$B$2,L18="")),"",IF(J18&gt;=Rangos!$B$2,10*B18*J18,10*B18*L18))</f>
        <v/>
      </c>
      <c r="O18" s="16" t="str">
        <f>IF(AND(LECO!$K18="",LECO!$M18=""),"",IF(LECO!$M18="",LECO!$K18,LECO!$M18))</f>
        <v/>
      </c>
      <c r="P18" s="32"/>
      <c r="Q18" s="15" t="str">
        <f t="shared" si="0"/>
        <v/>
      </c>
      <c r="R18" s="18" t="str">
        <f>IF(OR(LECO!$H18="",LECO!$O18=""),"",MAX(LECO!$H18,LECO!$O18))</f>
        <v/>
      </c>
    </row>
    <row r="19" spans="1:18" ht="14.55" x14ac:dyDescent="0.35">
      <c r="A19" s="26"/>
      <c r="B19" s="27"/>
      <c r="C19" s="28"/>
      <c r="D19" s="36"/>
      <c r="E19" s="19"/>
      <c r="F19" s="20"/>
      <c r="G19" s="21" t="str">
        <f>IF(OR(A19="",B19="",AND(C19="",E19=""),AND(C19&lt;Rangos!$B$1,E19="")),"",IF(C19&gt;=Rangos!$B$1,10*B19*C19,10*B19*E19))</f>
        <v/>
      </c>
      <c r="H19" s="20" t="str">
        <f>IF(AND(LECO!$D19="",LECO!$F19=""),"",IF(LECO!$F19="",LECO!$D19,LECO!$F19))</f>
        <v/>
      </c>
      <c r="I19" s="33"/>
      <c r="J19" s="28"/>
      <c r="K19" s="36"/>
      <c r="L19" s="19"/>
      <c r="M19" s="20"/>
      <c r="N19" s="19" t="str">
        <f>IF(OR(A19="",B19="",AND(J19="",L19=""),AND(J19&lt;Rangos!$B$2,L19="")),"",IF(J19&gt;=Rangos!$B$2,10*B19*J19,10*B19*L19))</f>
        <v/>
      </c>
      <c r="O19" s="20" t="str">
        <f>IF(AND(LECO!$K19="",LECO!$M19=""),"",IF(LECO!$M19="",LECO!$K19,LECO!$M19))</f>
        <v/>
      </c>
      <c r="P19" s="33"/>
      <c r="Q19" s="19" t="str">
        <f t="shared" si="0"/>
        <v/>
      </c>
      <c r="R19" s="22" t="str">
        <f>IF(OR(LECO!$H19="",LECO!$O19=""),"",MAX(LECO!$H19,LECO!$O19))</f>
        <v/>
      </c>
    </row>
    <row r="20" spans="1:18" ht="14.55" x14ac:dyDescent="0.35">
      <c r="A20" s="23"/>
      <c r="B20" s="24"/>
      <c r="C20" s="25"/>
      <c r="D20" s="35"/>
      <c r="E20" s="15"/>
      <c r="F20" s="16"/>
      <c r="G20" s="17" t="str">
        <f>IF(OR(A20="",B20="",AND(C20="",E20=""),AND(C20&lt;Rangos!$B$1,E20="")),"",IF(C20&gt;=Rangos!$B$1,10*B20*C20,10*B20*E20))</f>
        <v/>
      </c>
      <c r="H20" s="16" t="str">
        <f>IF(AND(LECO!$D20="",LECO!$F20=""),"",IF(LECO!$F20="",LECO!$D20,LECO!$F20))</f>
        <v/>
      </c>
      <c r="I20" s="32"/>
      <c r="J20" s="25"/>
      <c r="K20" s="35"/>
      <c r="L20" s="15"/>
      <c r="M20" s="16"/>
      <c r="N20" s="15" t="str">
        <f>IF(OR(A20="",B20="",AND(J20="",L20=""),AND(J20&lt;Rangos!$B$2,L20="")),"",IF(J20&gt;=Rangos!$B$2,10*B20*J20,10*B20*L20))</f>
        <v/>
      </c>
      <c r="O20" s="16" t="str">
        <f>IF(AND(LECO!$K20="",LECO!$M20=""),"",IF(LECO!$M20="",LECO!$K20,LECO!$M20))</f>
        <v/>
      </c>
      <c r="P20" s="32"/>
      <c r="Q20" s="15" t="str">
        <f t="shared" si="0"/>
        <v/>
      </c>
      <c r="R20" s="18" t="str">
        <f>IF(OR(LECO!$H20="",LECO!$O20=""),"",MAX(LECO!$H20,LECO!$O20))</f>
        <v/>
      </c>
    </row>
    <row r="21" spans="1:18" ht="14.55" x14ac:dyDescent="0.35">
      <c r="A21" s="26"/>
      <c r="B21" s="27"/>
      <c r="C21" s="28"/>
      <c r="D21" s="36"/>
      <c r="E21" s="19"/>
      <c r="F21" s="20"/>
      <c r="G21" s="21" t="str">
        <f>IF(OR(A21="",B21="",AND(C21="",E21=""),AND(C21&lt;Rangos!$B$1,E21="")),"",IF(C21&gt;=Rangos!$B$1,10*B21*C21,10*B21*E21))</f>
        <v/>
      </c>
      <c r="H21" s="20" t="str">
        <f>IF(AND(LECO!$D21="",LECO!$F21=""),"",IF(LECO!$F21="",LECO!$D21,LECO!$F21))</f>
        <v/>
      </c>
      <c r="I21" s="33"/>
      <c r="J21" s="28"/>
      <c r="K21" s="36"/>
      <c r="L21" s="19"/>
      <c r="M21" s="20"/>
      <c r="N21" s="19" t="str">
        <f>IF(OR(A21="",B21="",AND(J21="",L21=""),AND(J21&lt;Rangos!$B$2,L21="")),"",IF(J21&gt;=Rangos!$B$2,10*B21*J21,10*B21*L21))</f>
        <v/>
      </c>
      <c r="O21" s="20" t="str">
        <f>IF(AND(LECO!$K21="",LECO!$M21=""),"",IF(LECO!$M21="",LECO!$K21,LECO!$M21))</f>
        <v/>
      </c>
      <c r="P21" s="33"/>
      <c r="Q21" s="19" t="str">
        <f t="shared" si="0"/>
        <v/>
      </c>
      <c r="R21" s="22" t="str">
        <f>IF(OR(LECO!$H21="",LECO!$O21=""),"",MAX(LECO!$H21,LECO!$O21))</f>
        <v/>
      </c>
    </row>
    <row r="22" spans="1:18" ht="14.55" x14ac:dyDescent="0.35">
      <c r="A22" s="23"/>
      <c r="B22" s="24"/>
      <c r="C22" s="25"/>
      <c r="D22" s="35"/>
      <c r="E22" s="15"/>
      <c r="F22" s="16"/>
      <c r="G22" s="17" t="str">
        <f>IF(OR(A22="",B22="",AND(C22="",E22=""),AND(C22&lt;Rangos!$B$1,E22="")),"",IF(C22&gt;=Rangos!$B$1,10*B22*C22,10*B22*E22))</f>
        <v/>
      </c>
      <c r="H22" s="16" t="str">
        <f>IF(AND(LECO!$D22="",LECO!$F22=""),"",IF(LECO!$F22="",LECO!$D22,LECO!$F22))</f>
        <v/>
      </c>
      <c r="I22" s="32"/>
      <c r="J22" s="25"/>
      <c r="K22" s="35"/>
      <c r="L22" s="15"/>
      <c r="M22" s="16"/>
      <c r="N22" s="15" t="str">
        <f>IF(OR(A22="",B22="",AND(J22="",L22=""),AND(J22&lt;Rangos!$B$2,L22="")),"",IF(J22&gt;=Rangos!$B$2,10*B22*J22,10*B22*L22))</f>
        <v/>
      </c>
      <c r="O22" s="16" t="str">
        <f>IF(AND(LECO!$K22="",LECO!$M22=""),"",IF(LECO!$M22="",LECO!$K22,LECO!$M22))</f>
        <v/>
      </c>
      <c r="P22" s="32"/>
      <c r="Q22" s="15" t="str">
        <f t="shared" si="0"/>
        <v/>
      </c>
      <c r="R22" s="18" t="str">
        <f>IF(OR(LECO!$H22="",LECO!$O22=""),"",MAX(LECO!$H22,LECO!$O22))</f>
        <v/>
      </c>
    </row>
    <row r="23" spans="1:18" ht="14.55" x14ac:dyDescent="0.35">
      <c r="A23" s="26"/>
      <c r="B23" s="27"/>
      <c r="C23" s="28"/>
      <c r="D23" s="36"/>
      <c r="E23" s="19"/>
      <c r="F23" s="20"/>
      <c r="G23" s="21" t="str">
        <f>IF(OR(A23="",B23="",AND(C23="",E23=""),AND(C23&lt;Rangos!$B$1,E23="")),"",IF(C23&gt;=Rangos!$B$1,10*B23*C23,10*B23*E23))</f>
        <v/>
      </c>
      <c r="H23" s="20" t="str">
        <f>IF(AND(LECO!$D23="",LECO!$F23=""),"",IF(LECO!$F23="",LECO!$D23,LECO!$F23))</f>
        <v/>
      </c>
      <c r="I23" s="33"/>
      <c r="J23" s="28"/>
      <c r="K23" s="36"/>
      <c r="L23" s="19"/>
      <c r="M23" s="20"/>
      <c r="N23" s="19" t="str">
        <f>IF(OR(A23="",B23="",AND(J23="",L23=""),AND(J23&lt;Rangos!$B$2,L23="")),"",IF(J23&gt;=Rangos!$B$2,10*B23*J23,10*B23*L23))</f>
        <v/>
      </c>
      <c r="O23" s="20" t="str">
        <f>IF(AND(LECO!$K23="",LECO!$M23=""),"",IF(LECO!$M23="",LECO!$K23,LECO!$M23))</f>
        <v/>
      </c>
      <c r="P23" s="33"/>
      <c r="Q23" s="19" t="str">
        <f t="shared" si="0"/>
        <v/>
      </c>
      <c r="R23" s="22" t="str">
        <f>IF(OR(LECO!$H23="",LECO!$O23=""),"",MAX(LECO!$H23,LECO!$O23))</f>
        <v/>
      </c>
    </row>
    <row r="24" spans="1:18" ht="14.55" x14ac:dyDescent="0.35">
      <c r="A24" s="23"/>
      <c r="B24" s="24"/>
      <c r="C24" s="25"/>
      <c r="D24" s="35"/>
      <c r="E24" s="15"/>
      <c r="F24" s="16"/>
      <c r="G24" s="17" t="str">
        <f>IF(OR(A24="",B24="",AND(C24="",E24=""),AND(C24&lt;Rangos!$B$1,E24="")),"",IF(C24&gt;=Rangos!$B$1,10*B24*C24,10*B24*E24))</f>
        <v/>
      </c>
      <c r="H24" s="16" t="str">
        <f>IF(AND(LECO!$D24="",LECO!$F24=""),"",IF(LECO!$F24="",LECO!$D24,LECO!$F24))</f>
        <v/>
      </c>
      <c r="I24" s="32"/>
      <c r="J24" s="25"/>
      <c r="K24" s="35"/>
      <c r="L24" s="15"/>
      <c r="M24" s="16"/>
      <c r="N24" s="15" t="str">
        <f>IF(OR(A24="",B24="",AND(J24="",L24=""),AND(J24&lt;Rangos!$B$2,L24="")),"",IF(J24&gt;=Rangos!$B$2,10*B24*J24,10*B24*L24))</f>
        <v/>
      </c>
      <c r="O24" s="16" t="str">
        <f>IF(AND(LECO!$K24="",LECO!$M24=""),"",IF(LECO!$M24="",LECO!$K24,LECO!$M24))</f>
        <v/>
      </c>
      <c r="P24" s="32"/>
      <c r="Q24" s="15" t="str">
        <f t="shared" si="0"/>
        <v/>
      </c>
      <c r="R24" s="18" t="str">
        <f>IF(OR(LECO!$H24="",LECO!$O24=""),"",MAX(LECO!$H24,LECO!$O24))</f>
        <v/>
      </c>
    </row>
    <row r="25" spans="1:18" ht="14.55" x14ac:dyDescent="0.35">
      <c r="A25" s="26"/>
      <c r="B25" s="27"/>
      <c r="C25" s="28"/>
      <c r="D25" s="36"/>
      <c r="E25" s="19"/>
      <c r="F25" s="20"/>
      <c r="G25" s="21" t="str">
        <f>IF(OR(A25="",B25="",AND(C25="",E25=""),AND(C25&lt;Rangos!$B$1,E25="")),"",IF(C25&gt;=Rangos!$B$1,10*B25*C25,10*B25*E25))</f>
        <v/>
      </c>
      <c r="H25" s="20" t="str">
        <f>IF(AND(LECO!$D25="",LECO!$F25=""),"",IF(LECO!$F25="",LECO!$D25,LECO!$F25))</f>
        <v/>
      </c>
      <c r="I25" s="33"/>
      <c r="J25" s="28"/>
      <c r="K25" s="36"/>
      <c r="L25" s="19"/>
      <c r="M25" s="20"/>
      <c r="N25" s="19" t="str">
        <f>IF(OR(A25="",B25="",AND(J25="",L25=""),AND(J25&lt;Rangos!$B$2,L25="")),"",IF(J25&gt;=Rangos!$B$2,10*B25*J25,10*B25*L25))</f>
        <v/>
      </c>
      <c r="O25" s="20" t="str">
        <f>IF(AND(LECO!$K25="",LECO!$M25=""),"",IF(LECO!$M25="",LECO!$K25,LECO!$M25))</f>
        <v/>
      </c>
      <c r="P25" s="33"/>
      <c r="Q25" s="19" t="str">
        <f t="shared" si="0"/>
        <v/>
      </c>
      <c r="R25" s="22" t="str">
        <f>IF(OR(LECO!$H25="",LECO!$O25=""),"",MAX(LECO!$H25,LECO!$O25))</f>
        <v/>
      </c>
    </row>
    <row r="26" spans="1:18" ht="14.55" x14ac:dyDescent="0.35">
      <c r="A26" s="23"/>
      <c r="B26" s="24"/>
      <c r="C26" s="25"/>
      <c r="D26" s="35"/>
      <c r="E26" s="15"/>
      <c r="F26" s="16"/>
      <c r="G26" s="17" t="str">
        <f>IF(OR(A26="",B26="",AND(C26="",E26=""),AND(C26&lt;Rangos!$B$1,E26="")),"",IF(C26&gt;=Rangos!$B$1,10*B26*C26,10*B26*E26))</f>
        <v/>
      </c>
      <c r="H26" s="16" t="str">
        <f>IF(AND(LECO!$D26="",LECO!$F26=""),"",IF(LECO!$F26="",LECO!$D26,LECO!$F26))</f>
        <v/>
      </c>
      <c r="I26" s="32"/>
      <c r="J26" s="25"/>
      <c r="K26" s="35"/>
      <c r="L26" s="15"/>
      <c r="M26" s="16"/>
      <c r="N26" s="15" t="str">
        <f>IF(OR(A26="",B26="",AND(J26="",L26=""),AND(J26&lt;Rangos!$B$2,L26="")),"",IF(J26&gt;=Rangos!$B$2,10*B26*J26,10*B26*L26))</f>
        <v/>
      </c>
      <c r="O26" s="16" t="str">
        <f>IF(AND(LECO!$K26="",LECO!$M26=""),"",IF(LECO!$M26="",LECO!$K26,LECO!$M26))</f>
        <v/>
      </c>
      <c r="P26" s="32"/>
      <c r="Q26" s="15" t="str">
        <f t="shared" si="0"/>
        <v/>
      </c>
      <c r="R26" s="18" t="str">
        <f>IF(OR(LECO!$H26="",LECO!$O26=""),"",MAX(LECO!$H26,LECO!$O26))</f>
        <v/>
      </c>
    </row>
    <row r="27" spans="1:18" ht="14.55" x14ac:dyDescent="0.35">
      <c r="A27" s="26"/>
      <c r="B27" s="27"/>
      <c r="C27" s="28"/>
      <c r="D27" s="36"/>
      <c r="E27" s="19"/>
      <c r="F27" s="20"/>
      <c r="G27" s="21" t="str">
        <f>IF(OR(A27="",B27="",AND(C27="",E27=""),AND(C27&lt;Rangos!$B$1,E27="")),"",IF(C27&gt;=Rangos!$B$1,10*B27*C27,10*B27*E27))</f>
        <v/>
      </c>
      <c r="H27" s="20" t="str">
        <f>IF(AND(LECO!$D27="",LECO!$F27=""),"",IF(LECO!$F27="",LECO!$D27,LECO!$F27))</f>
        <v/>
      </c>
      <c r="I27" s="33"/>
      <c r="J27" s="28"/>
      <c r="K27" s="36"/>
      <c r="L27" s="19"/>
      <c r="M27" s="20"/>
      <c r="N27" s="19" t="str">
        <f>IF(OR(A27="",B27="",AND(J27="",L27=""),AND(J27&lt;Rangos!$B$2,L27="")),"",IF(J27&gt;=Rangos!$B$2,10*B27*J27,10*B27*L27))</f>
        <v/>
      </c>
      <c r="O27" s="20" t="str">
        <f>IF(AND(LECO!$K27="",LECO!$M27=""),"",IF(LECO!$M27="",LECO!$K27,LECO!$M27))</f>
        <v/>
      </c>
      <c r="P27" s="33"/>
      <c r="Q27" s="19" t="str">
        <f t="shared" si="0"/>
        <v/>
      </c>
      <c r="R27" s="22" t="str">
        <f>IF(OR(LECO!$H27="",LECO!$O27=""),"",MAX(LECO!$H27,LECO!$O27))</f>
        <v/>
      </c>
    </row>
    <row r="28" spans="1:18" ht="14.55" x14ac:dyDescent="0.35">
      <c r="A28" s="23"/>
      <c r="B28" s="24"/>
      <c r="C28" s="25"/>
      <c r="D28" s="35"/>
      <c r="E28" s="15"/>
      <c r="F28" s="16"/>
      <c r="G28" s="17" t="str">
        <f>IF(OR(A28="",B28="",AND(C28="",E28=""),AND(C28&lt;Rangos!$B$1,E28="")),"",IF(C28&gt;=Rangos!$B$1,10*B28*C28,10*B28*E28))</f>
        <v/>
      </c>
      <c r="H28" s="16" t="str">
        <f>IF(AND(LECO!$D28="",LECO!$F28=""),"",IF(LECO!$F28="",LECO!$D28,LECO!$F28))</f>
        <v/>
      </c>
      <c r="I28" s="32"/>
      <c r="J28" s="25"/>
      <c r="K28" s="35"/>
      <c r="L28" s="15"/>
      <c r="M28" s="16"/>
      <c r="N28" s="15" t="str">
        <f>IF(OR(A28="",B28="",AND(J28="",L28=""),AND(J28&lt;Rangos!$B$2,L28="")),"",IF(J28&gt;=Rangos!$B$2,10*B28*J28,10*B28*L28))</f>
        <v/>
      </c>
      <c r="O28" s="16" t="str">
        <f>IF(AND(LECO!$K28="",LECO!$M28=""),"",IF(LECO!$M28="",LECO!$K28,LECO!$M28))</f>
        <v/>
      </c>
      <c r="P28" s="32"/>
      <c r="Q28" s="15" t="str">
        <f t="shared" si="0"/>
        <v/>
      </c>
      <c r="R28" s="18" t="str">
        <f>IF(OR(LECO!$H28="",LECO!$O28=""),"",MAX(LECO!$H28,LECO!$O28))</f>
        <v/>
      </c>
    </row>
    <row r="29" spans="1:18" ht="14.55" x14ac:dyDescent="0.35">
      <c r="A29" s="26"/>
      <c r="B29" s="27"/>
      <c r="C29" s="28"/>
      <c r="D29" s="36"/>
      <c r="E29" s="19"/>
      <c r="F29" s="20"/>
      <c r="G29" s="21" t="str">
        <f>IF(OR(A29="",B29="",AND(C29="",E29=""),AND(C29&lt;Rangos!$B$1,E29="")),"",IF(C29&gt;=Rangos!$B$1,10*B29*C29,10*B29*E29))</f>
        <v/>
      </c>
      <c r="H29" s="20" t="str">
        <f>IF(AND(LECO!$D29="",LECO!$F29=""),"",IF(LECO!$F29="",LECO!$D29,LECO!$F29))</f>
        <v/>
      </c>
      <c r="I29" s="33"/>
      <c r="J29" s="28"/>
      <c r="K29" s="36"/>
      <c r="L29" s="19"/>
      <c r="M29" s="20"/>
      <c r="N29" s="19" t="str">
        <f>IF(OR(A29="",B29="",AND(J29="",L29=""),AND(J29&lt;Rangos!$B$2,L29="")),"",IF(J29&gt;=Rangos!$B$2,10*B29*J29,10*B29*L29))</f>
        <v/>
      </c>
      <c r="O29" s="20" t="str">
        <f>IF(AND(LECO!$K29="",LECO!$M29=""),"",IF(LECO!$M29="",LECO!$K29,LECO!$M29))</f>
        <v/>
      </c>
      <c r="P29" s="33"/>
      <c r="Q29" s="19" t="str">
        <f t="shared" si="0"/>
        <v/>
      </c>
      <c r="R29" s="22" t="str">
        <f>IF(OR(LECO!$H29="",LECO!$O29=""),"",MAX(LECO!$H29,LECO!$O29))</f>
        <v/>
      </c>
    </row>
    <row r="30" spans="1:18" ht="14.55" x14ac:dyDescent="0.35">
      <c r="A30" s="23"/>
      <c r="B30" s="24"/>
      <c r="C30" s="25"/>
      <c r="D30" s="35"/>
      <c r="E30" s="15"/>
      <c r="F30" s="16"/>
      <c r="G30" s="17" t="str">
        <f>IF(OR(A30="",B30="",AND(C30="",E30=""),AND(C30&lt;Rangos!$B$1,E30="")),"",IF(C30&gt;=Rangos!$B$1,10*B30*C30,10*B30*E30))</f>
        <v/>
      </c>
      <c r="H30" s="16" t="str">
        <f>IF(AND(LECO!$D30="",LECO!$F30=""),"",IF(LECO!$F30="",LECO!$D30,LECO!$F30))</f>
        <v/>
      </c>
      <c r="I30" s="32"/>
      <c r="J30" s="25"/>
      <c r="K30" s="35"/>
      <c r="L30" s="15"/>
      <c r="M30" s="16"/>
      <c r="N30" s="15" t="str">
        <f>IF(OR(A30="",B30="",AND(J30="",L30=""),AND(J30&lt;Rangos!$B$2,L30="")),"",IF(J30&gt;=Rangos!$B$2,10*B30*J30,10*B30*L30))</f>
        <v/>
      </c>
      <c r="O30" s="16" t="str">
        <f>IF(AND(LECO!$K30="",LECO!$M30=""),"",IF(LECO!$M30="",LECO!$K30,LECO!$M30))</f>
        <v/>
      </c>
      <c r="P30" s="32"/>
      <c r="Q30" s="15" t="str">
        <f t="shared" si="0"/>
        <v/>
      </c>
      <c r="R30" s="18" t="str">
        <f>IF(OR(LECO!$H30="",LECO!$O30=""),"",MAX(LECO!$H30,LECO!$O30))</f>
        <v/>
      </c>
    </row>
    <row r="31" spans="1:18" ht="14.55" x14ac:dyDescent="0.35">
      <c r="A31" s="26"/>
      <c r="B31" s="27"/>
      <c r="C31" s="28"/>
      <c r="D31" s="36"/>
      <c r="E31" s="19"/>
      <c r="F31" s="20"/>
      <c r="G31" s="21" t="str">
        <f>IF(OR(A31="",B31="",AND(C31="",E31=""),AND(C31&lt;Rangos!$B$1,E31="")),"",IF(C31&gt;=Rangos!$B$1,10*B31*C31,10*B31*E31))</f>
        <v/>
      </c>
      <c r="H31" s="20" t="str">
        <f>IF(AND(LECO!$D31="",LECO!$F31=""),"",IF(LECO!$F31="",LECO!$D31,LECO!$F31))</f>
        <v/>
      </c>
      <c r="I31" s="33"/>
      <c r="J31" s="28"/>
      <c r="K31" s="36"/>
      <c r="L31" s="19"/>
      <c r="M31" s="20"/>
      <c r="N31" s="19" t="str">
        <f>IF(OR(A31="",B31="",AND(J31="",L31=""),AND(J31&lt;Rangos!$B$2,L31="")),"",IF(J31&gt;=Rangos!$B$2,10*B31*J31,10*B31*L31))</f>
        <v/>
      </c>
      <c r="O31" s="20" t="str">
        <f>IF(AND(LECO!$K31="",LECO!$M31=""),"",IF(LECO!$M31="",LECO!$K31,LECO!$M31))</f>
        <v/>
      </c>
      <c r="P31" s="33"/>
      <c r="Q31" s="19" t="str">
        <f t="shared" si="0"/>
        <v/>
      </c>
      <c r="R31" s="22" t="str">
        <f>IF(OR(LECO!$H31="",LECO!$O31=""),"",MAX(LECO!$H31,LECO!$O31))</f>
        <v/>
      </c>
    </row>
    <row r="32" spans="1:18" ht="14.55" x14ac:dyDescent="0.35">
      <c r="A32" s="23"/>
      <c r="B32" s="24"/>
      <c r="C32" s="25"/>
      <c r="D32" s="35"/>
      <c r="E32" s="15"/>
      <c r="F32" s="16"/>
      <c r="G32" s="17" t="str">
        <f>IF(OR(A32="",B32="",AND(C32="",E32=""),AND(C32&lt;Rangos!$B$1,E32="")),"",IF(C32&gt;=Rangos!$B$1,10*B32*C32,10*B32*E32))</f>
        <v/>
      </c>
      <c r="H32" s="16" t="str">
        <f>IF(AND(LECO!$D32="",LECO!$F32=""),"",IF(LECO!$F32="",LECO!$D32,LECO!$F32))</f>
        <v/>
      </c>
      <c r="I32" s="32"/>
      <c r="J32" s="25"/>
      <c r="K32" s="35"/>
      <c r="L32" s="15"/>
      <c r="M32" s="16"/>
      <c r="N32" s="15" t="str">
        <f>IF(OR(A32="",B32="",AND(J32="",L32=""),AND(J32&lt;Rangos!$B$2,L32="")),"",IF(J32&gt;=Rangos!$B$2,10*B32*J32,10*B32*L32))</f>
        <v/>
      </c>
      <c r="O32" s="16" t="str">
        <f>IF(AND(LECO!$K32="",LECO!$M32=""),"",IF(LECO!$M32="",LECO!$K32,LECO!$M32))</f>
        <v/>
      </c>
      <c r="P32" s="32"/>
      <c r="Q32" s="15" t="str">
        <f t="shared" si="0"/>
        <v/>
      </c>
      <c r="R32" s="18" t="str">
        <f>IF(OR(LECO!$H32="",LECO!$O32=""),"",MAX(LECO!$H32,LECO!$O32))</f>
        <v/>
      </c>
    </row>
    <row r="33" spans="1:18" x14ac:dyDescent="0.3">
      <c r="A33" s="26"/>
      <c r="B33" s="27"/>
      <c r="C33" s="28"/>
      <c r="D33" s="36"/>
      <c r="E33" s="19"/>
      <c r="F33" s="20"/>
      <c r="G33" s="21" t="str">
        <f>IF(OR(A33="",B33="",AND(C33="",E33=""),AND(C33&lt;Rangos!$B$1,E33="")),"",IF(C33&gt;=Rangos!$B$1,10*B33*C33,10*B33*E33))</f>
        <v/>
      </c>
      <c r="H33" s="20" t="str">
        <f>IF(AND(LECO!$D33="",LECO!$F33=""),"",IF(LECO!$F33="",LECO!$D33,LECO!$F33))</f>
        <v/>
      </c>
      <c r="I33" s="33"/>
      <c r="J33" s="28"/>
      <c r="K33" s="36"/>
      <c r="L33" s="19"/>
      <c r="M33" s="20"/>
      <c r="N33" s="19" t="str">
        <f>IF(OR(A33="",B33="",AND(J33="",L33=""),AND(J33&lt;Rangos!$B$2,L33="")),"",IF(J33&gt;=Rangos!$B$2,10*B33*J33,10*B33*L33))</f>
        <v/>
      </c>
      <c r="O33" s="20" t="str">
        <f>IF(AND(LECO!$K33="",LECO!$M33=""),"",IF(LECO!$M33="",LECO!$K33,LECO!$M33))</f>
        <v/>
      </c>
      <c r="P33" s="33"/>
      <c r="Q33" s="19" t="str">
        <f t="shared" si="0"/>
        <v/>
      </c>
      <c r="R33" s="22" t="str">
        <f>IF(OR(LECO!$H33="",LECO!$O33=""),"",MAX(LECO!$H33,LECO!$O33))</f>
        <v/>
      </c>
    </row>
    <row r="34" spans="1:18" x14ac:dyDescent="0.3">
      <c r="A34" s="23"/>
      <c r="B34" s="24"/>
      <c r="C34" s="25"/>
      <c r="D34" s="35"/>
      <c r="E34" s="15"/>
      <c r="F34" s="16"/>
      <c r="G34" s="17" t="str">
        <f>IF(OR(A34="",B34="",AND(C34="",E34=""),AND(C34&lt;Rangos!$B$1,E34="")),"",IF(C34&gt;=Rangos!$B$1,10*B34*C34,10*B34*E34))</f>
        <v/>
      </c>
      <c r="H34" s="16" t="str">
        <f>IF(AND(LECO!$D34="",LECO!$F34=""),"",IF(LECO!$F34="",LECO!$D34,LECO!$F34))</f>
        <v/>
      </c>
      <c r="I34" s="32"/>
      <c r="J34" s="25"/>
      <c r="K34" s="35"/>
      <c r="L34" s="15"/>
      <c r="M34" s="16"/>
      <c r="N34" s="15" t="str">
        <f>IF(OR(A34="",B34="",AND(J34="",L34=""),AND(J34&lt;Rangos!$B$2,L34="")),"",IF(J34&gt;=Rangos!$B$2,10*B34*J34,10*B34*L34))</f>
        <v/>
      </c>
      <c r="O34" s="16" t="str">
        <f>IF(AND(LECO!$K34="",LECO!$M34=""),"",IF(LECO!$M34="",LECO!$K34,LECO!$M34))</f>
        <v/>
      </c>
      <c r="P34" s="32"/>
      <c r="Q34" s="15" t="str">
        <f t="shared" si="0"/>
        <v/>
      </c>
      <c r="R34" s="18" t="str">
        <f>IF(OR(LECO!$H34="",LECO!$O34=""),"",MAX(LECO!$H34,LECO!$O34))</f>
        <v/>
      </c>
    </row>
    <row r="35" spans="1:18" x14ac:dyDescent="0.3">
      <c r="A35" s="26"/>
      <c r="B35" s="27"/>
      <c r="C35" s="28"/>
      <c r="D35" s="36"/>
      <c r="E35" s="19"/>
      <c r="F35" s="20"/>
      <c r="G35" s="21" t="str">
        <f>IF(OR(A35="",B35="",AND(C35="",E35=""),AND(C35&lt;Rangos!$B$1,E35="")),"",IF(C35&gt;=Rangos!$B$1,10*B35*C35,10*B35*E35))</f>
        <v/>
      </c>
      <c r="H35" s="20" t="str">
        <f>IF(AND(LECO!$D35="",LECO!$F35=""),"",IF(LECO!$F35="",LECO!$D35,LECO!$F35))</f>
        <v/>
      </c>
      <c r="I35" s="33"/>
      <c r="J35" s="28"/>
      <c r="K35" s="36"/>
      <c r="L35" s="19"/>
      <c r="M35" s="20"/>
      <c r="N35" s="19" t="str">
        <f>IF(OR(A35="",B35="",AND(J35="",L35=""),AND(J35&lt;Rangos!$B$2,L35="")),"",IF(J35&gt;=Rangos!$B$2,10*B35*J35,10*B35*L35))</f>
        <v/>
      </c>
      <c r="O35" s="20" t="str">
        <f>IF(AND(LECO!$K35="",LECO!$M35=""),"",IF(LECO!$M35="",LECO!$K35,LECO!$M35))</f>
        <v/>
      </c>
      <c r="P35" s="33"/>
      <c r="Q35" s="19" t="str">
        <f t="shared" si="0"/>
        <v/>
      </c>
      <c r="R35" s="22" t="str">
        <f>IF(OR(LECO!$H35="",LECO!$O35=""),"",MAX(LECO!$H35,LECO!$O35))</f>
        <v/>
      </c>
    </row>
    <row r="36" spans="1:18" x14ac:dyDescent="0.3">
      <c r="A36" s="23"/>
      <c r="B36" s="24"/>
      <c r="C36" s="25"/>
      <c r="D36" s="35"/>
      <c r="E36" s="15"/>
      <c r="F36" s="16"/>
      <c r="G36" s="17" t="str">
        <f>IF(OR(A36="",B36="",AND(C36="",E36=""),AND(C36&lt;Rangos!$B$1,E36="")),"",IF(C36&gt;=Rangos!$B$1,10*B36*C36,10*B36*E36))</f>
        <v/>
      </c>
      <c r="H36" s="16" t="str">
        <f>IF(AND(LECO!$D36="",LECO!$F36=""),"",IF(LECO!$F36="",LECO!$D36,LECO!$F36))</f>
        <v/>
      </c>
      <c r="I36" s="32"/>
      <c r="J36" s="25"/>
      <c r="K36" s="35"/>
      <c r="L36" s="15"/>
      <c r="M36" s="16"/>
      <c r="N36" s="15" t="str">
        <f>IF(OR(A36="",B36="",AND(J36="",L36=""),AND(J36&lt;Rangos!$B$2,L36="")),"",IF(J36&gt;=Rangos!$B$2,10*B36*J36,10*B36*L36))</f>
        <v/>
      </c>
      <c r="O36" s="16" t="str">
        <f>IF(AND(LECO!$K36="",LECO!$M36=""),"",IF(LECO!$M36="",LECO!$K36,LECO!$M36))</f>
        <v/>
      </c>
      <c r="P36" s="32"/>
      <c r="Q36" s="15" t="str">
        <f t="shared" si="0"/>
        <v/>
      </c>
      <c r="R36" s="18" t="str">
        <f>IF(OR(LECO!$H36="",LECO!$O36=""),"",MAX(LECO!$H36,LECO!$O36))</f>
        <v/>
      </c>
    </row>
    <row r="37" spans="1:18" x14ac:dyDescent="0.3">
      <c r="A37" s="26"/>
      <c r="B37" s="27"/>
      <c r="C37" s="28"/>
      <c r="D37" s="36"/>
      <c r="E37" s="19"/>
      <c r="F37" s="20"/>
      <c r="G37" s="21" t="str">
        <f>IF(OR(A37="",B37="",AND(C37="",E37=""),AND(C37&lt;Rangos!$B$1,E37="")),"",IF(C37&gt;=Rangos!$B$1,10*B37*C37,10*B37*E37))</f>
        <v/>
      </c>
      <c r="H37" s="20" t="str">
        <f>IF(AND(LECO!$D37="",LECO!$F37=""),"",IF(LECO!$F37="",LECO!$D37,LECO!$F37))</f>
        <v/>
      </c>
      <c r="I37" s="33"/>
      <c r="J37" s="28"/>
      <c r="K37" s="36"/>
      <c r="L37" s="19"/>
      <c r="M37" s="20"/>
      <c r="N37" s="19" t="str">
        <f>IF(OR(A37="",B37="",AND(J37="",L37=""),AND(J37&lt;Rangos!$B$2,L37="")),"",IF(J37&gt;=Rangos!$B$2,10*B37*J37,10*B37*L37))</f>
        <v/>
      </c>
      <c r="O37" s="20" t="str">
        <f>IF(AND(LECO!$K37="",LECO!$M37=""),"",IF(LECO!$M37="",LECO!$K37,LECO!$M37))</f>
        <v/>
      </c>
      <c r="P37" s="33"/>
      <c r="Q37" s="19" t="str">
        <f t="shared" si="0"/>
        <v/>
      </c>
      <c r="R37" s="22" t="str">
        <f>IF(OR(LECO!$H37="",LECO!$O37=""),"",MAX(LECO!$H37,LECO!$O37))</f>
        <v/>
      </c>
    </row>
    <row r="38" spans="1:18" x14ac:dyDescent="0.3">
      <c r="A38" s="23"/>
      <c r="B38" s="24"/>
      <c r="C38" s="25"/>
      <c r="D38" s="35"/>
      <c r="E38" s="15"/>
      <c r="F38" s="16"/>
      <c r="G38" s="17" t="str">
        <f>IF(OR(A38="",B38="",AND(C38="",E38=""),AND(C38&lt;Rangos!$B$1,E38="")),"",IF(C38&gt;=Rangos!$B$1,10*B38*C38,10*B38*E38))</f>
        <v/>
      </c>
      <c r="H38" s="16" t="str">
        <f>IF(AND(LECO!$D38="",LECO!$F38=""),"",IF(LECO!$F38="",LECO!$D38,LECO!$F38))</f>
        <v/>
      </c>
      <c r="I38" s="32"/>
      <c r="J38" s="25"/>
      <c r="K38" s="35"/>
      <c r="L38" s="15"/>
      <c r="M38" s="16"/>
      <c r="N38" s="15" t="str">
        <f>IF(OR(A38="",B38="",AND(J38="",L38=""),AND(J38&lt;Rangos!$B$2,L38="")),"",IF(J38&gt;=Rangos!$B$2,10*B38*J38,10*B38*L38))</f>
        <v/>
      </c>
      <c r="O38" s="16" t="str">
        <f>IF(AND(LECO!$K38="",LECO!$M38=""),"",IF(LECO!$M38="",LECO!$K38,LECO!$M38))</f>
        <v/>
      </c>
      <c r="P38" s="32"/>
      <c r="Q38" s="15" t="str">
        <f t="shared" si="0"/>
        <v/>
      </c>
      <c r="R38" s="18" t="str">
        <f>IF(OR(LECO!$H38="",LECO!$O38=""),"",MAX(LECO!$H38,LECO!$O38))</f>
        <v/>
      </c>
    </row>
    <row r="39" spans="1:18" x14ac:dyDescent="0.3">
      <c r="A39" s="26"/>
      <c r="B39" s="27"/>
      <c r="C39" s="28"/>
      <c r="D39" s="36"/>
      <c r="E39" s="19"/>
      <c r="F39" s="20"/>
      <c r="G39" s="21" t="str">
        <f>IF(OR(A39="",B39="",AND(C39="",E39=""),AND(C39&lt;Rangos!$B$1,E39="")),"",IF(C39&gt;=Rangos!$B$1,10*B39*C39,10*B39*E39))</f>
        <v/>
      </c>
      <c r="H39" s="20" t="str">
        <f>IF(AND(LECO!$D39="",LECO!$F39=""),"",IF(LECO!$F39="",LECO!$D39,LECO!$F39))</f>
        <v/>
      </c>
      <c r="I39" s="33"/>
      <c r="J39" s="28"/>
      <c r="K39" s="36"/>
      <c r="L39" s="19"/>
      <c r="M39" s="20"/>
      <c r="N39" s="19" t="str">
        <f>IF(OR(A39="",B39="",AND(J39="",L39=""),AND(J39&lt;Rangos!$B$2,L39="")),"",IF(J39&gt;=Rangos!$B$2,10*B39*J39,10*B39*L39))</f>
        <v/>
      </c>
      <c r="O39" s="20" t="str">
        <f>IF(AND(LECO!$K39="",LECO!$M39=""),"",IF(LECO!$M39="",LECO!$K39,LECO!$M39))</f>
        <v/>
      </c>
      <c r="P39" s="33"/>
      <c r="Q39" s="19" t="str">
        <f t="shared" si="0"/>
        <v/>
      </c>
      <c r="R39" s="22" t="str">
        <f>IF(OR(LECO!$H39="",LECO!$O39=""),"",MAX(LECO!$H39,LECO!$O39))</f>
        <v/>
      </c>
    </row>
    <row r="40" spans="1:18" x14ac:dyDescent="0.3">
      <c r="A40" s="23"/>
      <c r="B40" s="24"/>
      <c r="C40" s="25"/>
      <c r="D40" s="35"/>
      <c r="E40" s="15"/>
      <c r="F40" s="16"/>
      <c r="G40" s="17" t="str">
        <f>IF(OR(A40="",B40="",AND(C40="",E40=""),AND(C40&lt;Rangos!$B$1,E40="")),"",IF(C40&gt;=Rangos!$B$1,10*B40*C40,10*B40*E40))</f>
        <v/>
      </c>
      <c r="H40" s="16" t="str">
        <f>IF(AND(LECO!$D40="",LECO!$F40=""),"",IF(LECO!$F40="",LECO!$D40,LECO!$F40))</f>
        <v/>
      </c>
      <c r="I40" s="32"/>
      <c r="J40" s="25"/>
      <c r="K40" s="35"/>
      <c r="L40" s="15"/>
      <c r="M40" s="16"/>
      <c r="N40" s="15" t="str">
        <f>IF(OR(A40="",B40="",AND(J40="",L40=""),AND(J40&lt;Rangos!$B$2,L40="")),"",IF(J40&gt;=Rangos!$B$2,10*B40*J40,10*B40*L40))</f>
        <v/>
      </c>
      <c r="O40" s="16" t="str">
        <f>IF(AND(LECO!$K40="",LECO!$M40=""),"",IF(LECO!$M40="",LECO!$K40,LECO!$M40))</f>
        <v/>
      </c>
      <c r="P40" s="32"/>
      <c r="Q40" s="15" t="str">
        <f t="shared" si="0"/>
        <v/>
      </c>
      <c r="R40" s="18" t="str">
        <f>IF(OR(LECO!$H40="",LECO!$O40=""),"",MAX(LECO!$H40,LECO!$O40))</f>
        <v/>
      </c>
    </row>
    <row r="41" spans="1:18" x14ac:dyDescent="0.3">
      <c r="A41" s="26"/>
      <c r="B41" s="27"/>
      <c r="C41" s="28"/>
      <c r="D41" s="36"/>
      <c r="E41" s="19"/>
      <c r="F41" s="20"/>
      <c r="G41" s="21" t="str">
        <f>IF(OR(A41="",B41="",AND(C41="",E41=""),AND(C41&lt;Rangos!$B$1,E41="")),"",IF(C41&gt;=Rangos!$B$1,10*B41*C41,10*B41*E41))</f>
        <v/>
      </c>
      <c r="H41" s="20" t="str">
        <f>IF(AND(LECO!$D41="",LECO!$F41=""),"",IF(LECO!$F41="",LECO!$D41,LECO!$F41))</f>
        <v/>
      </c>
      <c r="I41" s="33"/>
      <c r="J41" s="28"/>
      <c r="K41" s="36"/>
      <c r="L41" s="19"/>
      <c r="M41" s="20"/>
      <c r="N41" s="19" t="str">
        <f>IF(OR(A41="",B41="",AND(J41="",L41=""),AND(J41&lt;Rangos!$B$2,L41="")),"",IF(J41&gt;=Rangos!$B$2,10*B41*J41,10*B41*L41))</f>
        <v/>
      </c>
      <c r="O41" s="20" t="str">
        <f>IF(AND(LECO!$K41="",LECO!$M41=""),"",IF(LECO!$M41="",LECO!$K41,LECO!$M41))</f>
        <v/>
      </c>
      <c r="P41" s="33"/>
      <c r="Q41" s="19" t="str">
        <f t="shared" si="0"/>
        <v/>
      </c>
      <c r="R41" s="22" t="str">
        <f>IF(OR(LECO!$H41="",LECO!$O41=""),"",MAX(LECO!$H41,LECO!$O41))</f>
        <v/>
      </c>
    </row>
    <row r="42" spans="1:18" x14ac:dyDescent="0.3">
      <c r="A42" s="23"/>
      <c r="B42" s="24"/>
      <c r="C42" s="25"/>
      <c r="D42" s="35"/>
      <c r="E42" s="15"/>
      <c r="F42" s="16"/>
      <c r="G42" s="17" t="str">
        <f>IF(OR(A42="",B42="",AND(C42="",E42=""),AND(C42&lt;Rangos!$B$1,E42="")),"",IF(C42&gt;=Rangos!$B$1,10*B42*C42,10*B42*E42))</f>
        <v/>
      </c>
      <c r="H42" s="16" t="str">
        <f>IF(AND(LECO!$D42="",LECO!$F42=""),"",IF(LECO!$F42="",LECO!$D42,LECO!$F42))</f>
        <v/>
      </c>
      <c r="I42" s="32"/>
      <c r="J42" s="25"/>
      <c r="K42" s="35"/>
      <c r="L42" s="15"/>
      <c r="M42" s="16"/>
      <c r="N42" s="15" t="str">
        <f>IF(OR(A42="",B42="",AND(J42="",L42=""),AND(J42&lt;Rangos!$B$2,L42="")),"",IF(J42&gt;=Rangos!$B$2,10*B42*J42,10*B42*L42))</f>
        <v/>
      </c>
      <c r="O42" s="16" t="str">
        <f>IF(AND(LECO!$K42="",LECO!$M42=""),"",IF(LECO!$M42="",LECO!$K42,LECO!$M42))</f>
        <v/>
      </c>
      <c r="P42" s="32"/>
      <c r="Q42" s="15" t="str">
        <f t="shared" si="0"/>
        <v/>
      </c>
      <c r="R42" s="18" t="str">
        <f>IF(OR(LECO!$H42="",LECO!$O42=""),"",MAX(LECO!$H42,LECO!$O42))</f>
        <v/>
      </c>
    </row>
    <row r="43" spans="1:18" x14ac:dyDescent="0.3">
      <c r="A43" s="26"/>
      <c r="B43" s="27"/>
      <c r="C43" s="28"/>
      <c r="D43" s="36"/>
      <c r="E43" s="19"/>
      <c r="F43" s="20"/>
      <c r="G43" s="21" t="str">
        <f>IF(OR(A43="",B43="",AND(C43="",E43=""),AND(C43&lt;Rangos!$B$1,E43="")),"",IF(C43&gt;=Rangos!$B$1,10*B43*C43,10*B43*E43))</f>
        <v/>
      </c>
      <c r="H43" s="20" t="str">
        <f>IF(AND(LECO!$D43="",LECO!$F43=""),"",IF(LECO!$F43="",LECO!$D43,LECO!$F43))</f>
        <v/>
      </c>
      <c r="I43" s="33"/>
      <c r="J43" s="28"/>
      <c r="K43" s="36"/>
      <c r="L43" s="19"/>
      <c r="M43" s="20"/>
      <c r="N43" s="19" t="str">
        <f>IF(OR(A43="",B43="",AND(J43="",L43=""),AND(J43&lt;Rangos!$B$2,L43="")),"",IF(J43&gt;=Rangos!$B$2,10*B43*J43,10*B43*L43))</f>
        <v/>
      </c>
      <c r="O43" s="20" t="str">
        <f>IF(AND(LECO!$K43="",LECO!$M43=""),"",IF(LECO!$M43="",LECO!$K43,LECO!$M43))</f>
        <v/>
      </c>
      <c r="P43" s="33"/>
      <c r="Q43" s="19" t="str">
        <f t="shared" si="0"/>
        <v/>
      </c>
      <c r="R43" s="22" t="str">
        <f>IF(OR(LECO!$H43="",LECO!$O43=""),"",MAX(LECO!$H43,LECO!$O43))</f>
        <v/>
      </c>
    </row>
    <row r="44" spans="1:18" x14ac:dyDescent="0.3">
      <c r="A44" s="23"/>
      <c r="B44" s="24"/>
      <c r="C44" s="25"/>
      <c r="D44" s="35"/>
      <c r="E44" s="15"/>
      <c r="F44" s="16"/>
      <c r="G44" s="17" t="str">
        <f>IF(OR(A44="",B44="",AND(C44="",E44=""),AND(C44&lt;Rangos!$B$1,E44="")),"",IF(C44&gt;=Rangos!$B$1,10*B44*C44,10*B44*E44))</f>
        <v/>
      </c>
      <c r="H44" s="16" t="str">
        <f>IF(AND(LECO!$D44="",LECO!$F44=""),"",IF(LECO!$F44="",LECO!$D44,LECO!$F44))</f>
        <v/>
      </c>
      <c r="I44" s="32"/>
      <c r="J44" s="25"/>
      <c r="K44" s="35"/>
      <c r="L44" s="15"/>
      <c r="M44" s="16"/>
      <c r="N44" s="15" t="str">
        <f>IF(OR(A44="",B44="",AND(J44="",L44=""),AND(J44&lt;Rangos!$B$2,L44="")),"",IF(J44&gt;=Rangos!$B$2,10*B44*J44,10*B44*L44))</f>
        <v/>
      </c>
      <c r="O44" s="16" t="str">
        <f>IF(AND(LECO!$K44="",LECO!$M44=""),"",IF(LECO!$M44="",LECO!$K44,LECO!$M44))</f>
        <v/>
      </c>
      <c r="P44" s="32"/>
      <c r="Q44" s="15" t="str">
        <f t="shared" si="0"/>
        <v/>
      </c>
      <c r="R44" s="18" t="str">
        <f>IF(OR(LECO!$H44="",LECO!$O44=""),"",MAX(LECO!$H44,LECO!$O44))</f>
        <v/>
      </c>
    </row>
    <row r="45" spans="1:18" x14ac:dyDescent="0.3">
      <c r="A45" s="26"/>
      <c r="B45" s="27"/>
      <c r="C45" s="28"/>
      <c r="D45" s="36"/>
      <c r="E45" s="19"/>
      <c r="F45" s="20"/>
      <c r="G45" s="21" t="str">
        <f>IF(OR(A45="",B45="",AND(C45="",E45=""),AND(C45&lt;Rangos!$B$1,E45="")),"",IF(C45&gt;=Rangos!$B$1,10*B45*C45,10*B45*E45))</f>
        <v/>
      </c>
      <c r="H45" s="20" t="str">
        <f>IF(AND(LECO!$D45="",LECO!$F45=""),"",IF(LECO!$F45="",LECO!$D45,LECO!$F45))</f>
        <v/>
      </c>
      <c r="I45" s="33"/>
      <c r="J45" s="28"/>
      <c r="K45" s="36"/>
      <c r="L45" s="19"/>
      <c r="M45" s="20"/>
      <c r="N45" s="19" t="str">
        <f>IF(OR(A45="",B45="",AND(J45="",L45=""),AND(J45&lt;Rangos!$B$2,L45="")),"",IF(J45&gt;=Rangos!$B$2,10*B45*J45,10*B45*L45))</f>
        <v/>
      </c>
      <c r="O45" s="20" t="str">
        <f>IF(AND(LECO!$K45="",LECO!$M45=""),"",IF(LECO!$M45="",LECO!$K45,LECO!$M45))</f>
        <v/>
      </c>
      <c r="P45" s="33"/>
      <c r="Q45" s="19" t="str">
        <f t="shared" si="0"/>
        <v/>
      </c>
      <c r="R45" s="22" t="str">
        <f>IF(OR(LECO!$H45="",LECO!$O45=""),"",MAX(LECO!$H45,LECO!$O45))</f>
        <v/>
      </c>
    </row>
    <row r="46" spans="1:18" x14ac:dyDescent="0.3">
      <c r="A46" s="23"/>
      <c r="B46" s="24"/>
      <c r="C46" s="25"/>
      <c r="D46" s="35"/>
      <c r="E46" s="15"/>
      <c r="F46" s="16"/>
      <c r="G46" s="17" t="str">
        <f>IF(OR(A46="",B46="",AND(C46="",E46=""),AND(C46&lt;Rangos!$B$1,E46="")),"",IF(C46&gt;=Rangos!$B$1,10*B46*C46,10*B46*E46))</f>
        <v/>
      </c>
      <c r="H46" s="16" t="str">
        <f>IF(AND(LECO!$D46="",LECO!$F46=""),"",IF(LECO!$F46="",LECO!$D46,LECO!$F46))</f>
        <v/>
      </c>
      <c r="I46" s="32"/>
      <c r="J46" s="25"/>
      <c r="K46" s="35"/>
      <c r="L46" s="15"/>
      <c r="M46" s="16"/>
      <c r="N46" s="15" t="str">
        <f>IF(OR(A46="",B46="",AND(J46="",L46=""),AND(J46&lt;Rangos!$B$2,L46="")),"",IF(J46&gt;=Rangos!$B$2,10*B46*J46,10*B46*L46))</f>
        <v/>
      </c>
      <c r="O46" s="16" t="str">
        <f>IF(AND(LECO!$K46="",LECO!$M46=""),"",IF(LECO!$M46="",LECO!$K46,LECO!$M46))</f>
        <v/>
      </c>
      <c r="P46" s="32"/>
      <c r="Q46" s="15" t="str">
        <f t="shared" si="0"/>
        <v/>
      </c>
      <c r="R46" s="18" t="str">
        <f>IF(OR(LECO!$H46="",LECO!$O46=""),"",MAX(LECO!$H46,LECO!$O46))</f>
        <v/>
      </c>
    </row>
    <row r="47" spans="1:18" x14ac:dyDescent="0.3">
      <c r="A47" s="26"/>
      <c r="B47" s="27"/>
      <c r="C47" s="28"/>
      <c r="D47" s="36"/>
      <c r="E47" s="19"/>
      <c r="F47" s="20"/>
      <c r="G47" s="21" t="str">
        <f>IF(OR(A47="",B47="",AND(C47="",E47=""),AND(C47&lt;Rangos!$B$1,E47="")),"",IF(C47&gt;=Rangos!$B$1,10*B47*C47,10*B47*E47))</f>
        <v/>
      </c>
      <c r="H47" s="20" t="str">
        <f>IF(AND(LECO!$D47="",LECO!$F47=""),"",IF(LECO!$F47="",LECO!$D47,LECO!$F47))</f>
        <v/>
      </c>
      <c r="I47" s="33"/>
      <c r="J47" s="28"/>
      <c r="K47" s="36"/>
      <c r="L47" s="19"/>
      <c r="M47" s="20"/>
      <c r="N47" s="19" t="str">
        <f>IF(OR(A47="",B47="",AND(J47="",L47=""),AND(J47&lt;Rangos!$B$2,L47="")),"",IF(J47&gt;=Rangos!$B$2,10*B47*J47,10*B47*L47))</f>
        <v/>
      </c>
      <c r="O47" s="20" t="str">
        <f>IF(AND(LECO!$K47="",LECO!$M47=""),"",IF(LECO!$M47="",LECO!$K47,LECO!$M47))</f>
        <v/>
      </c>
      <c r="P47" s="33"/>
      <c r="Q47" s="19" t="str">
        <f t="shared" si="0"/>
        <v/>
      </c>
      <c r="R47" s="22" t="str">
        <f>IF(OR(LECO!$H47="",LECO!$O47=""),"",MAX(LECO!$H47,LECO!$O47))</f>
        <v/>
      </c>
    </row>
    <row r="48" spans="1:18" x14ac:dyDescent="0.3">
      <c r="A48" s="23"/>
      <c r="B48" s="24"/>
      <c r="C48" s="25"/>
      <c r="D48" s="35"/>
      <c r="E48" s="15"/>
      <c r="F48" s="16"/>
      <c r="G48" s="17" t="str">
        <f>IF(OR(A48="",B48="",AND(C48="",E48=""),AND(C48&lt;Rangos!$B$1,E48="")),"",IF(C48&gt;=Rangos!$B$1,10*B48*C48,10*B48*E48))</f>
        <v/>
      </c>
      <c r="H48" s="16" t="str">
        <f>IF(AND(LECO!$D48="",LECO!$F48=""),"",IF(LECO!$F48="",LECO!$D48,LECO!$F48))</f>
        <v/>
      </c>
      <c r="I48" s="32"/>
      <c r="J48" s="25"/>
      <c r="K48" s="35"/>
      <c r="L48" s="15"/>
      <c r="M48" s="16"/>
      <c r="N48" s="15" t="str">
        <f>IF(OR(A48="",B48="",AND(J48="",L48=""),AND(J48&lt;Rangos!$B$2,L48="")),"",IF(J48&gt;=Rangos!$B$2,10*B48*J48,10*B48*L48))</f>
        <v/>
      </c>
      <c r="O48" s="16" t="str">
        <f>IF(AND(LECO!$K48="",LECO!$M48=""),"",IF(LECO!$M48="",LECO!$K48,LECO!$M48))</f>
        <v/>
      </c>
      <c r="P48" s="32"/>
      <c r="Q48" s="15" t="str">
        <f t="shared" si="0"/>
        <v/>
      </c>
      <c r="R48" s="18" t="str">
        <f>IF(OR(LECO!$H48="",LECO!$O48=""),"",MAX(LECO!$H48,LECO!$O48))</f>
        <v/>
      </c>
    </row>
    <row r="49" spans="1:18" x14ac:dyDescent="0.3">
      <c r="A49" s="26"/>
      <c r="B49" s="27"/>
      <c r="C49" s="28"/>
      <c r="D49" s="36"/>
      <c r="E49" s="19"/>
      <c r="F49" s="20"/>
      <c r="G49" s="21" t="str">
        <f>IF(OR(A49="",B49="",AND(C49="",E49=""),AND(C49&lt;Rangos!$B$1,E49="")),"",IF(C49&gt;=Rangos!$B$1,10*B49*C49,10*B49*E49))</f>
        <v/>
      </c>
      <c r="H49" s="20" t="str">
        <f>IF(AND(LECO!$D49="",LECO!$F49=""),"",IF(LECO!$F49="",LECO!$D49,LECO!$F49))</f>
        <v/>
      </c>
      <c r="I49" s="33"/>
      <c r="J49" s="28"/>
      <c r="K49" s="36"/>
      <c r="L49" s="19"/>
      <c r="M49" s="20"/>
      <c r="N49" s="19" t="str">
        <f>IF(OR(A49="",B49="",AND(J49="",L49=""),AND(J49&lt;Rangos!$B$2,L49="")),"",IF(J49&gt;=Rangos!$B$2,10*B49*J49,10*B49*L49))</f>
        <v/>
      </c>
      <c r="O49" s="20" t="str">
        <f>IF(AND(LECO!$K49="",LECO!$M49=""),"",IF(LECO!$M49="",LECO!$K49,LECO!$M49))</f>
        <v/>
      </c>
      <c r="P49" s="33"/>
      <c r="Q49" s="19" t="str">
        <f t="shared" si="0"/>
        <v/>
      </c>
      <c r="R49" s="22" t="str">
        <f>IF(OR(LECO!$H49="",LECO!$O49=""),"",MAX(LECO!$H49,LECO!$O49))</f>
        <v/>
      </c>
    </row>
    <row r="50" spans="1:18" x14ac:dyDescent="0.3">
      <c r="A50" s="23"/>
      <c r="B50" s="24"/>
      <c r="C50" s="25"/>
      <c r="D50" s="35"/>
      <c r="E50" s="15"/>
      <c r="F50" s="16"/>
      <c r="G50" s="17" t="str">
        <f>IF(OR(A50="",B50="",AND(C50="",E50=""),AND(C50&lt;Rangos!$B$1,E50="")),"",IF(C50&gt;=Rangos!$B$1,10*B50*C50,10*B50*E50))</f>
        <v/>
      </c>
      <c r="H50" s="16" t="str">
        <f>IF(AND(LECO!$D50="",LECO!$F50=""),"",IF(LECO!$F50="",LECO!$D50,LECO!$F50))</f>
        <v/>
      </c>
      <c r="I50" s="32"/>
      <c r="J50" s="25"/>
      <c r="K50" s="35"/>
      <c r="L50" s="15"/>
      <c r="M50" s="16"/>
      <c r="N50" s="15" t="str">
        <f>IF(OR(A50="",B50="",AND(J50="",L50=""),AND(J50&lt;Rangos!$B$2,L50="")),"",IF(J50&gt;=Rangos!$B$2,10*B50*J50,10*B50*L50))</f>
        <v/>
      </c>
      <c r="O50" s="16" t="str">
        <f>IF(AND(LECO!$K50="",LECO!$M50=""),"",IF(LECO!$M50="",LECO!$K50,LECO!$M50))</f>
        <v/>
      </c>
      <c r="P50" s="32"/>
      <c r="Q50" s="15" t="str">
        <f t="shared" si="0"/>
        <v/>
      </c>
      <c r="R50" s="18" t="str">
        <f>IF(OR(LECO!$H50="",LECO!$O50=""),"",MAX(LECO!$H50,LECO!$O50))</f>
        <v/>
      </c>
    </row>
    <row r="51" spans="1:18" x14ac:dyDescent="0.3">
      <c r="A51" s="26"/>
      <c r="B51" s="27"/>
      <c r="C51" s="28"/>
      <c r="D51" s="36"/>
      <c r="E51" s="19"/>
      <c r="F51" s="20"/>
      <c r="G51" s="21" t="str">
        <f>IF(OR(A51="",B51="",AND(C51="",E51=""),AND(C51&lt;Rangos!$B$1,E51="")),"",IF(C51&gt;=Rangos!$B$1,10*B51*C51,10*B51*E51))</f>
        <v/>
      </c>
      <c r="H51" s="20" t="str">
        <f>IF(AND(LECO!$D51="",LECO!$F51=""),"",IF(LECO!$F51="",LECO!$D51,LECO!$F51))</f>
        <v/>
      </c>
      <c r="I51" s="33"/>
      <c r="J51" s="28"/>
      <c r="K51" s="36"/>
      <c r="L51" s="19"/>
      <c r="M51" s="20"/>
      <c r="N51" s="19" t="str">
        <f>IF(OR(A51="",B51="",AND(J51="",L51=""),AND(J51&lt;Rangos!$B$2,L51="")),"",IF(J51&gt;=Rangos!$B$2,10*B51*J51,10*B51*L51))</f>
        <v/>
      </c>
      <c r="O51" s="20" t="str">
        <f>IF(AND(LECO!$K51="",LECO!$M51=""),"",IF(LECO!$M51="",LECO!$K51,LECO!$M51))</f>
        <v/>
      </c>
      <c r="P51" s="33"/>
      <c r="Q51" s="19" t="str">
        <f t="shared" si="0"/>
        <v/>
      </c>
      <c r="R51" s="22" t="str">
        <f>IF(OR(LECO!$H51="",LECO!$O51=""),"",MAX(LECO!$H51,LECO!$O51))</f>
        <v/>
      </c>
    </row>
    <row r="52" spans="1:18" x14ac:dyDescent="0.3">
      <c r="A52" s="23"/>
      <c r="B52" s="24"/>
      <c r="C52" s="25"/>
      <c r="D52" s="35"/>
      <c r="E52" s="15"/>
      <c r="F52" s="16"/>
      <c r="G52" s="17" t="str">
        <f>IF(OR(A52="",B52="",AND(C52="",E52=""),AND(C52&lt;Rangos!$B$1,E52="")),"",IF(C52&gt;=Rangos!$B$1,10*B52*C52,10*B52*E52))</f>
        <v/>
      </c>
      <c r="H52" s="16" t="str">
        <f>IF(AND(LECO!$D52="",LECO!$F52=""),"",IF(LECO!$F52="",LECO!$D52,LECO!$F52))</f>
        <v/>
      </c>
      <c r="I52" s="32"/>
      <c r="J52" s="25"/>
      <c r="K52" s="35"/>
      <c r="L52" s="15"/>
      <c r="M52" s="16"/>
      <c r="N52" s="15" t="str">
        <f>IF(OR(A52="",B52="",AND(J52="",L52=""),AND(J52&lt;Rangos!$B$2,L52="")),"",IF(J52&gt;=Rangos!$B$2,10*B52*J52,10*B52*L52))</f>
        <v/>
      </c>
      <c r="O52" s="16" t="str">
        <f>IF(AND(LECO!$K52="",LECO!$M52=""),"",IF(LECO!$M52="",LECO!$K52,LECO!$M52))</f>
        <v/>
      </c>
      <c r="P52" s="32"/>
      <c r="Q52" s="15" t="str">
        <f t="shared" si="0"/>
        <v/>
      </c>
      <c r="R52" s="18" t="str">
        <f>IF(OR(LECO!$H52="",LECO!$O52=""),"",MAX(LECO!$H52,LECO!$O52))</f>
        <v/>
      </c>
    </row>
    <row r="53" spans="1:18" x14ac:dyDescent="0.3">
      <c r="A53" s="26"/>
      <c r="B53" s="27"/>
      <c r="C53" s="28"/>
      <c r="D53" s="36"/>
      <c r="E53" s="19"/>
      <c r="F53" s="20"/>
      <c r="G53" s="21" t="str">
        <f>IF(OR(A53="",B53="",AND(C53="",E53=""),AND(C53&lt;Rangos!$B$1,E53="")),"",IF(C53&gt;=Rangos!$B$1,10*B53*C53,10*B53*E53))</f>
        <v/>
      </c>
      <c r="H53" s="20" t="str">
        <f>IF(AND(LECO!$D53="",LECO!$F53=""),"",IF(LECO!$F53="",LECO!$D53,LECO!$F53))</f>
        <v/>
      </c>
      <c r="I53" s="33"/>
      <c r="J53" s="28"/>
      <c r="K53" s="36"/>
      <c r="L53" s="19"/>
      <c r="M53" s="20"/>
      <c r="N53" s="19" t="str">
        <f>IF(OR(A53="",B53="",AND(J53="",L53=""),AND(J53&lt;Rangos!$B$2,L53="")),"",IF(J53&gt;=Rangos!$B$2,10*B53*J53,10*B53*L53))</f>
        <v/>
      </c>
      <c r="O53" s="20" t="str">
        <f>IF(AND(LECO!$K53="",LECO!$M53=""),"",IF(LECO!$M53="",LECO!$K53,LECO!$M53))</f>
        <v/>
      </c>
      <c r="P53" s="33"/>
      <c r="Q53" s="19" t="str">
        <f t="shared" si="0"/>
        <v/>
      </c>
      <c r="R53" s="22" t="str">
        <f>IF(OR(LECO!$H53="",LECO!$O53=""),"",MAX(LECO!$H53,LECO!$O53))</f>
        <v/>
      </c>
    </row>
    <row r="54" spans="1:18" x14ac:dyDescent="0.3">
      <c r="A54" s="23"/>
      <c r="B54" s="24"/>
      <c r="C54" s="25"/>
      <c r="D54" s="35"/>
      <c r="E54" s="15"/>
      <c r="F54" s="16"/>
      <c r="G54" s="17" t="str">
        <f>IF(OR(A54="",B54="",AND(C54="",E54=""),AND(C54&lt;Rangos!$B$1,E54="")),"",IF(C54&gt;=Rangos!$B$1,10*B54*C54,10*B54*E54))</f>
        <v/>
      </c>
      <c r="H54" s="16" t="str">
        <f>IF(AND(LECO!$D54="",LECO!$F54=""),"",IF(LECO!$F54="",LECO!$D54,LECO!$F54))</f>
        <v/>
      </c>
      <c r="I54" s="32"/>
      <c r="J54" s="25"/>
      <c r="K54" s="35"/>
      <c r="L54" s="15"/>
      <c r="M54" s="16"/>
      <c r="N54" s="15" t="str">
        <f>IF(OR(A54="",B54="",AND(J54="",L54=""),AND(J54&lt;Rangos!$B$2,L54="")),"",IF(J54&gt;=Rangos!$B$2,10*B54*J54,10*B54*L54))</f>
        <v/>
      </c>
      <c r="O54" s="16" t="str">
        <f>IF(AND(LECO!$K54="",LECO!$M54=""),"",IF(LECO!$M54="",LECO!$K54,LECO!$M54))</f>
        <v/>
      </c>
      <c r="P54" s="32"/>
      <c r="Q54" s="15" t="str">
        <f t="shared" si="0"/>
        <v/>
      </c>
      <c r="R54" s="18" t="str">
        <f>IF(OR(LECO!$H54="",LECO!$O54=""),"",MAX(LECO!$H54,LECO!$O54))</f>
        <v/>
      </c>
    </row>
    <row r="55" spans="1:18" x14ac:dyDescent="0.3">
      <c r="A55" s="26"/>
      <c r="B55" s="27"/>
      <c r="C55" s="28"/>
      <c r="D55" s="36"/>
      <c r="E55" s="19"/>
      <c r="F55" s="20"/>
      <c r="G55" s="21" t="str">
        <f>IF(OR(A55="",B55="",AND(C55="",E55=""),AND(C55&lt;Rangos!$B$1,E55="")),"",IF(C55&gt;=Rangos!$B$1,10*B55*C55,10*B55*E55))</f>
        <v/>
      </c>
      <c r="H55" s="20" t="str">
        <f>IF(AND(LECO!$D55="",LECO!$F55=""),"",IF(LECO!$F55="",LECO!$D55,LECO!$F55))</f>
        <v/>
      </c>
      <c r="I55" s="33"/>
      <c r="J55" s="28"/>
      <c r="K55" s="36"/>
      <c r="L55" s="19"/>
      <c r="M55" s="20"/>
      <c r="N55" s="19" t="str">
        <f>IF(OR(A55="",B55="",AND(J55="",L55=""),AND(J55&lt;Rangos!$B$2,L55="")),"",IF(J55&gt;=Rangos!$B$2,10*B55*J55,10*B55*L55))</f>
        <v/>
      </c>
      <c r="O55" s="20" t="str">
        <f>IF(AND(LECO!$K55="",LECO!$M55=""),"",IF(LECO!$M55="",LECO!$K55,LECO!$M55))</f>
        <v/>
      </c>
      <c r="P55" s="33"/>
      <c r="Q55" s="19" t="str">
        <f t="shared" si="0"/>
        <v/>
      </c>
      <c r="R55" s="22" t="str">
        <f>IF(OR(LECO!$H55="",LECO!$O55=""),"",MAX(LECO!$H55,LECO!$O55))</f>
        <v/>
      </c>
    </row>
    <row r="56" spans="1:18" x14ac:dyDescent="0.3">
      <c r="A56" s="23"/>
      <c r="B56" s="24"/>
      <c r="C56" s="25"/>
      <c r="D56" s="35"/>
      <c r="E56" s="15"/>
      <c r="F56" s="16"/>
      <c r="G56" s="17" t="str">
        <f>IF(OR(A56="",B56="",AND(C56="",E56=""),AND(C56&lt;Rangos!$B$1,E56="")),"",IF(C56&gt;=Rangos!$B$1,10*B56*C56,10*B56*E56))</f>
        <v/>
      </c>
      <c r="H56" s="16" t="str">
        <f>IF(AND(LECO!$D56="",LECO!$F56=""),"",IF(LECO!$F56="",LECO!$D56,LECO!$F56))</f>
        <v/>
      </c>
      <c r="I56" s="32"/>
      <c r="J56" s="25"/>
      <c r="K56" s="35"/>
      <c r="L56" s="15"/>
      <c r="M56" s="16"/>
      <c r="N56" s="15" t="str">
        <f>IF(OR(A56="",B56="",AND(J56="",L56=""),AND(J56&lt;Rangos!$B$2,L56="")),"",IF(J56&gt;=Rangos!$B$2,10*B56*J56,10*B56*L56))</f>
        <v/>
      </c>
      <c r="O56" s="16" t="str">
        <f>IF(AND(LECO!$K56="",LECO!$M56=""),"",IF(LECO!$M56="",LECO!$K56,LECO!$M56))</f>
        <v/>
      </c>
      <c r="P56" s="32"/>
      <c r="Q56" s="15" t="str">
        <f t="shared" si="0"/>
        <v/>
      </c>
      <c r="R56" s="18" t="str">
        <f>IF(OR(LECO!$H56="",LECO!$O56=""),"",MAX(LECO!$H56,LECO!$O56))</f>
        <v/>
      </c>
    </row>
    <row r="57" spans="1:18" x14ac:dyDescent="0.3">
      <c r="A57" s="26"/>
      <c r="B57" s="27"/>
      <c r="C57" s="28"/>
      <c r="D57" s="36"/>
      <c r="E57" s="19"/>
      <c r="F57" s="20"/>
      <c r="G57" s="21" t="str">
        <f>IF(OR(A57="",B57="",AND(C57="",E57=""),AND(C57&lt;Rangos!$B$1,E57="")),"",IF(C57&gt;=Rangos!$B$1,10*B57*C57,10*B57*E57))</f>
        <v/>
      </c>
      <c r="H57" s="20" t="str">
        <f>IF(AND(LECO!$D57="",LECO!$F57=""),"",IF(LECO!$F57="",LECO!$D57,LECO!$F57))</f>
        <v/>
      </c>
      <c r="I57" s="33"/>
      <c r="J57" s="28"/>
      <c r="K57" s="36"/>
      <c r="L57" s="19"/>
      <c r="M57" s="20"/>
      <c r="N57" s="19" t="str">
        <f>IF(OR(A57="",B57="",AND(J57="",L57=""),AND(J57&lt;Rangos!$B$2,L57="")),"",IF(J57&gt;=Rangos!$B$2,10*B57*J57,10*B57*L57))</f>
        <v/>
      </c>
      <c r="O57" s="20" t="str">
        <f>IF(AND(LECO!$K57="",LECO!$M57=""),"",IF(LECO!$M57="",LECO!$K57,LECO!$M57))</f>
        <v/>
      </c>
      <c r="P57" s="33"/>
      <c r="Q57" s="19" t="str">
        <f t="shared" si="0"/>
        <v/>
      </c>
      <c r="R57" s="22" t="str">
        <f>IF(OR(LECO!$H57="",LECO!$O57=""),"",MAX(LECO!$H57,LECO!$O57))</f>
        <v/>
      </c>
    </row>
    <row r="58" spans="1:18" x14ac:dyDescent="0.3">
      <c r="A58" s="23"/>
      <c r="B58" s="24"/>
      <c r="C58" s="25"/>
      <c r="D58" s="35"/>
      <c r="E58" s="15"/>
      <c r="F58" s="16"/>
      <c r="G58" s="17" t="str">
        <f>IF(OR(A58="",B58="",AND(C58="",E58=""),AND(C58&lt;Rangos!$B$1,E58="")),"",IF(C58&gt;=Rangos!$B$1,10*B58*C58,10*B58*E58))</f>
        <v/>
      </c>
      <c r="H58" s="16" t="str">
        <f>IF(AND(LECO!$D58="",LECO!$F58=""),"",IF(LECO!$F58="",LECO!$D58,LECO!$F58))</f>
        <v/>
      </c>
      <c r="I58" s="32"/>
      <c r="J58" s="25"/>
      <c r="K58" s="35"/>
      <c r="L58" s="15"/>
      <c r="M58" s="16"/>
      <c r="N58" s="15" t="str">
        <f>IF(OR(A58="",B58="",AND(J58="",L58=""),AND(J58&lt;Rangos!$B$2,L58="")),"",IF(J58&gt;=Rangos!$B$2,10*B58*J58,10*B58*L58))</f>
        <v/>
      </c>
      <c r="O58" s="16" t="str">
        <f>IF(AND(LECO!$K58="",LECO!$M58=""),"",IF(LECO!$M58="",LECO!$K58,LECO!$M58))</f>
        <v/>
      </c>
      <c r="P58" s="32"/>
      <c r="Q58" s="15" t="str">
        <f t="shared" si="0"/>
        <v/>
      </c>
      <c r="R58" s="18" t="str">
        <f>IF(OR(LECO!$H58="",LECO!$O58=""),"",MAX(LECO!$H58,LECO!$O58))</f>
        <v/>
      </c>
    </row>
    <row r="59" spans="1:18" x14ac:dyDescent="0.3">
      <c r="A59" s="26"/>
      <c r="B59" s="27"/>
      <c r="C59" s="28"/>
      <c r="D59" s="36"/>
      <c r="E59" s="19"/>
      <c r="F59" s="20"/>
      <c r="G59" s="21" t="str">
        <f>IF(OR(A59="",B59="",AND(C59="",E59=""),AND(C59&lt;Rangos!$B$1,E59="")),"",IF(C59&gt;=Rangos!$B$1,10*B59*C59,10*B59*E59))</f>
        <v/>
      </c>
      <c r="H59" s="20" t="str">
        <f>IF(AND(LECO!$D59="",LECO!$F59=""),"",IF(LECO!$F59="",LECO!$D59,LECO!$F59))</f>
        <v/>
      </c>
      <c r="I59" s="33"/>
      <c r="J59" s="28"/>
      <c r="K59" s="36"/>
      <c r="L59" s="19"/>
      <c r="M59" s="20"/>
      <c r="N59" s="19" t="str">
        <f>IF(OR(A59="",B59="",AND(J59="",L59=""),AND(J59&lt;Rangos!$B$2,L59="")),"",IF(J59&gt;=Rangos!$B$2,10*B59*J59,10*B59*L59))</f>
        <v/>
      </c>
      <c r="O59" s="20" t="str">
        <f>IF(AND(LECO!$K59="",LECO!$M59=""),"",IF(LECO!$M59="",LECO!$K59,LECO!$M59))</f>
        <v/>
      </c>
      <c r="P59" s="33"/>
      <c r="Q59" s="19" t="str">
        <f t="shared" si="0"/>
        <v/>
      </c>
      <c r="R59" s="22" t="str">
        <f>IF(OR(LECO!$H59="",LECO!$O59=""),"",MAX(LECO!$H59,LECO!$O59))</f>
        <v/>
      </c>
    </row>
    <row r="60" spans="1:18" x14ac:dyDescent="0.3">
      <c r="A60" s="23"/>
      <c r="B60" s="24"/>
      <c r="C60" s="25"/>
      <c r="D60" s="35"/>
      <c r="E60" s="15"/>
      <c r="F60" s="16"/>
      <c r="G60" s="17" t="str">
        <f>IF(OR(A60="",B60="",AND(C60="",E60=""),AND(C60&lt;Rangos!$B$1,E60="")),"",IF(C60&gt;=Rangos!$B$1,10*B60*C60,10*B60*E60))</f>
        <v/>
      </c>
      <c r="H60" s="16" t="str">
        <f>IF(AND(LECO!$D60="",LECO!$F60=""),"",IF(LECO!$F60="",LECO!$D60,LECO!$F60))</f>
        <v/>
      </c>
      <c r="I60" s="32"/>
      <c r="J60" s="25"/>
      <c r="K60" s="35"/>
      <c r="L60" s="15"/>
      <c r="M60" s="16"/>
      <c r="N60" s="15" t="str">
        <f>IF(OR(A60="",B60="",AND(J60="",L60=""),AND(J60&lt;Rangos!$B$2,L60="")),"",IF(J60&gt;=Rangos!$B$2,10*B60*J60,10*B60*L60))</f>
        <v/>
      </c>
      <c r="O60" s="16" t="str">
        <f>IF(AND(LECO!$K60="",LECO!$M60=""),"",IF(LECO!$M60="",LECO!$K60,LECO!$M60))</f>
        <v/>
      </c>
      <c r="P60" s="32"/>
      <c r="Q60" s="15" t="str">
        <f t="shared" si="0"/>
        <v/>
      </c>
      <c r="R60" s="18" t="str">
        <f>IF(OR(LECO!$H60="",LECO!$O60=""),"",MAX(LECO!$H60,LECO!$O60))</f>
        <v/>
      </c>
    </row>
    <row r="61" spans="1:18" x14ac:dyDescent="0.3">
      <c r="A61" s="26"/>
      <c r="B61" s="27"/>
      <c r="C61" s="28"/>
      <c r="D61" s="36"/>
      <c r="E61" s="19"/>
      <c r="F61" s="20"/>
      <c r="G61" s="21" t="str">
        <f>IF(OR(A61="",B61="",AND(C61="",E61=""),AND(C61&lt;Rangos!$B$1,E61="")),"",IF(C61&gt;=Rangos!$B$1,10*B61*C61,10*B61*E61))</f>
        <v/>
      </c>
      <c r="H61" s="20" t="str">
        <f>IF(AND(LECO!$D61="",LECO!$F61=""),"",IF(LECO!$F61="",LECO!$D61,LECO!$F61))</f>
        <v/>
      </c>
      <c r="I61" s="33"/>
      <c r="J61" s="28"/>
      <c r="K61" s="36"/>
      <c r="L61" s="19"/>
      <c r="M61" s="20"/>
      <c r="N61" s="19" t="str">
        <f>IF(OR(A61="",B61="",AND(J61="",L61=""),AND(J61&lt;Rangos!$B$2,L61="")),"",IF(J61&gt;=Rangos!$B$2,10*B61*J61,10*B61*L61))</f>
        <v/>
      </c>
      <c r="O61" s="20" t="str">
        <f>IF(AND(LECO!$K61="",LECO!$M61=""),"",IF(LECO!$M61="",LECO!$K61,LECO!$M61))</f>
        <v/>
      </c>
      <c r="P61" s="33"/>
      <c r="Q61" s="19" t="str">
        <f t="shared" si="0"/>
        <v/>
      </c>
      <c r="R61" s="22" t="str">
        <f>IF(OR(LECO!$H61="",LECO!$O61=""),"",MAX(LECO!$H61,LECO!$O61))</f>
        <v/>
      </c>
    </row>
    <row r="62" spans="1:18" x14ac:dyDescent="0.3">
      <c r="A62" s="23"/>
      <c r="B62" s="24"/>
      <c r="C62" s="25"/>
      <c r="D62" s="35"/>
      <c r="E62" s="15"/>
      <c r="F62" s="16"/>
      <c r="G62" s="17" t="str">
        <f>IF(OR(A62="",B62="",AND(C62="",E62=""),AND(C62&lt;Rangos!$B$1,E62="")),"",IF(C62&gt;=Rangos!$B$1,10*B62*C62,10*B62*E62))</f>
        <v/>
      </c>
      <c r="H62" s="16" t="str">
        <f>IF(AND(LECO!$D62="",LECO!$F62=""),"",IF(LECO!$F62="",LECO!$D62,LECO!$F62))</f>
        <v/>
      </c>
      <c r="I62" s="32"/>
      <c r="J62" s="25"/>
      <c r="K62" s="35"/>
      <c r="L62" s="15"/>
      <c r="M62" s="16"/>
      <c r="N62" s="15" t="str">
        <f>IF(OR(A62="",B62="",AND(J62="",L62=""),AND(J62&lt;Rangos!$B$2,L62="")),"",IF(J62&gt;=Rangos!$B$2,10*B62*J62,10*B62*L62))</f>
        <v/>
      </c>
      <c r="O62" s="16" t="str">
        <f>IF(AND(LECO!$K62="",LECO!$M62=""),"",IF(LECO!$M62="",LECO!$K62,LECO!$M62))</f>
        <v/>
      </c>
      <c r="P62" s="32"/>
      <c r="Q62" s="15" t="str">
        <f t="shared" si="0"/>
        <v/>
      </c>
      <c r="R62" s="18" t="str">
        <f>IF(OR(LECO!$H62="",LECO!$O62=""),"",MAX(LECO!$H62,LECO!$O62))</f>
        <v/>
      </c>
    </row>
    <row r="63" spans="1:18" x14ac:dyDescent="0.3">
      <c r="A63" s="26"/>
      <c r="B63" s="27"/>
      <c r="C63" s="28"/>
      <c r="D63" s="36"/>
      <c r="E63" s="19"/>
      <c r="F63" s="20"/>
      <c r="G63" s="21" t="str">
        <f>IF(OR(A63="",B63="",AND(C63="",E63=""),AND(C63&lt;Rangos!$B$1,E63="")),"",IF(C63&gt;=Rangos!$B$1,10*B63*C63,10*B63*E63))</f>
        <v/>
      </c>
      <c r="H63" s="20" t="str">
        <f>IF(AND(LECO!$D63="",LECO!$F63=""),"",IF(LECO!$F63="",LECO!$D63,LECO!$F63))</f>
        <v/>
      </c>
      <c r="I63" s="33"/>
      <c r="J63" s="28"/>
      <c r="K63" s="36"/>
      <c r="L63" s="19"/>
      <c r="M63" s="20"/>
      <c r="N63" s="19" t="str">
        <f>IF(OR(A63="",B63="",AND(J63="",L63=""),AND(J63&lt;Rangos!$B$2,L63="")),"",IF(J63&gt;=Rangos!$B$2,10*B63*J63,10*B63*L63))</f>
        <v/>
      </c>
      <c r="O63" s="20" t="str">
        <f>IF(AND(LECO!$K63="",LECO!$M63=""),"",IF(LECO!$M63="",LECO!$K63,LECO!$M63))</f>
        <v/>
      </c>
      <c r="P63" s="33"/>
      <c r="Q63" s="19" t="str">
        <f t="shared" si="0"/>
        <v/>
      </c>
      <c r="R63" s="22" t="str">
        <f>IF(OR(LECO!$H63="",LECO!$O63=""),"",MAX(LECO!$H63,LECO!$O63))</f>
        <v/>
      </c>
    </row>
    <row r="64" spans="1:18" x14ac:dyDescent="0.3">
      <c r="A64" s="23"/>
      <c r="B64" s="24"/>
      <c r="C64" s="25"/>
      <c r="D64" s="35"/>
      <c r="E64" s="15"/>
      <c r="F64" s="16"/>
      <c r="G64" s="17" t="str">
        <f>IF(OR(A64="",B64="",AND(C64="",E64=""),AND(C64&lt;Rangos!$B$1,E64="")),"",IF(C64&gt;=Rangos!$B$1,10*B64*C64,10*B64*E64))</f>
        <v/>
      </c>
      <c r="H64" s="16" t="str">
        <f>IF(AND(LECO!$D64="",LECO!$F64=""),"",IF(LECO!$F64="",LECO!$D64,LECO!$F64))</f>
        <v/>
      </c>
      <c r="I64" s="32"/>
      <c r="J64" s="25"/>
      <c r="K64" s="35"/>
      <c r="L64" s="15"/>
      <c r="M64" s="16"/>
      <c r="N64" s="15" t="str">
        <f>IF(OR(A64="",B64="",AND(J64="",L64=""),AND(J64&lt;Rangos!$B$2,L64="")),"",IF(J64&gt;=Rangos!$B$2,10*B64*J64,10*B64*L64))</f>
        <v/>
      </c>
      <c r="O64" s="16" t="str">
        <f>IF(AND(LECO!$K64="",LECO!$M64=""),"",IF(LECO!$M64="",LECO!$K64,LECO!$M64))</f>
        <v/>
      </c>
      <c r="P64" s="32"/>
      <c r="Q64" s="15" t="str">
        <f t="shared" si="0"/>
        <v/>
      </c>
      <c r="R64" s="18" t="str">
        <f>IF(OR(LECO!$H64="",LECO!$O64=""),"",MAX(LECO!$H64,LECO!$O64))</f>
        <v/>
      </c>
    </row>
    <row r="65" spans="1:18" x14ac:dyDescent="0.3">
      <c r="A65" s="26"/>
      <c r="B65" s="27"/>
      <c r="C65" s="28"/>
      <c r="D65" s="36"/>
      <c r="E65" s="19"/>
      <c r="F65" s="20"/>
      <c r="G65" s="21" t="str">
        <f>IF(OR(A65="",B65="",AND(C65="",E65=""),AND(C65&lt;Rangos!$B$1,E65="")),"",IF(C65&gt;=Rangos!$B$1,10*B65*C65,10*B65*E65))</f>
        <v/>
      </c>
      <c r="H65" s="20" t="str">
        <f>IF(AND(LECO!$D65="",LECO!$F65=""),"",IF(LECO!$F65="",LECO!$D65,LECO!$F65))</f>
        <v/>
      </c>
      <c r="I65" s="33"/>
      <c r="J65" s="28"/>
      <c r="K65" s="36"/>
      <c r="L65" s="19"/>
      <c r="M65" s="20"/>
      <c r="N65" s="19" t="str">
        <f>IF(OR(A65="",B65="",AND(J65="",L65=""),AND(J65&lt;Rangos!$B$2,L65="")),"",IF(J65&gt;=Rangos!$B$2,10*B65*J65,10*B65*L65))</f>
        <v/>
      </c>
      <c r="O65" s="20" t="str">
        <f>IF(AND(LECO!$K65="",LECO!$M65=""),"",IF(LECO!$M65="",LECO!$K65,LECO!$M65))</f>
        <v/>
      </c>
      <c r="P65" s="33"/>
      <c r="Q65" s="19" t="str">
        <f t="shared" si="0"/>
        <v/>
      </c>
      <c r="R65" s="22" t="str">
        <f>IF(OR(LECO!$H65="",LECO!$O65=""),"",MAX(LECO!$H65,LECO!$O65))</f>
        <v/>
      </c>
    </row>
    <row r="66" spans="1:18" x14ac:dyDescent="0.3">
      <c r="A66" s="23"/>
      <c r="B66" s="24"/>
      <c r="C66" s="25"/>
      <c r="D66" s="35"/>
      <c r="E66" s="15"/>
      <c r="F66" s="16"/>
      <c r="G66" s="17" t="str">
        <f>IF(OR(A66="",B66="",AND(C66="",E66=""),AND(C66&lt;Rangos!$B$1,E66="")),"",IF(C66&gt;=Rangos!$B$1,10*B66*C66,10*B66*E66))</f>
        <v/>
      </c>
      <c r="H66" s="16" t="str">
        <f>IF(AND(LECO!$D66="",LECO!$F66=""),"",IF(LECO!$F66="",LECO!$D66,LECO!$F66))</f>
        <v/>
      </c>
      <c r="I66" s="32"/>
      <c r="J66" s="25"/>
      <c r="K66" s="35"/>
      <c r="L66" s="15"/>
      <c r="M66" s="16"/>
      <c r="N66" s="15" t="str">
        <f>IF(OR(A66="",B66="",AND(J66="",L66=""),AND(J66&lt;Rangos!$B$2,L66="")),"",IF(J66&gt;=Rangos!$B$2,10*B66*J66,10*B66*L66))</f>
        <v/>
      </c>
      <c r="O66" s="16" t="str">
        <f>IF(AND(LECO!$K66="",LECO!$M66=""),"",IF(LECO!$M66="",LECO!$K66,LECO!$M66))</f>
        <v/>
      </c>
      <c r="P66" s="32"/>
      <c r="Q66" s="15" t="str">
        <f t="shared" si="0"/>
        <v/>
      </c>
      <c r="R66" s="18" t="str">
        <f>IF(OR(LECO!$H66="",LECO!$O66=""),"",MAX(LECO!$H66,LECO!$O66))</f>
        <v/>
      </c>
    </row>
    <row r="67" spans="1:18" x14ac:dyDescent="0.3">
      <c r="A67" s="26"/>
      <c r="B67" s="27"/>
      <c r="C67" s="28"/>
      <c r="D67" s="36"/>
      <c r="E67" s="19"/>
      <c r="F67" s="20"/>
      <c r="G67" s="21" t="str">
        <f>IF(OR(A67="",B67="",AND(C67="",E67=""),AND(C67&lt;Rangos!$B$1,E67="")),"",IF(C67&gt;=Rangos!$B$1,10*B67*C67,10*B67*E67))</f>
        <v/>
      </c>
      <c r="H67" s="20" t="str">
        <f>IF(AND(LECO!$D67="",LECO!$F67=""),"",IF(LECO!$F67="",LECO!$D67,LECO!$F67))</f>
        <v/>
      </c>
      <c r="I67" s="33"/>
      <c r="J67" s="28"/>
      <c r="K67" s="36"/>
      <c r="L67" s="19"/>
      <c r="M67" s="20"/>
      <c r="N67" s="19" t="str">
        <f>IF(OR(A67="",B67="",AND(J67="",L67=""),AND(J67&lt;Rangos!$B$2,L67="")),"",IF(J67&gt;=Rangos!$B$2,10*B67*J67,10*B67*L67))</f>
        <v/>
      </c>
      <c r="O67" s="20" t="str">
        <f>IF(AND(LECO!$K67="",LECO!$M67=""),"",IF(LECO!$M67="",LECO!$K67,LECO!$M67))</f>
        <v/>
      </c>
      <c r="P67" s="33"/>
      <c r="Q67" s="19" t="str">
        <f t="shared" si="0"/>
        <v/>
      </c>
      <c r="R67" s="22" t="str">
        <f>IF(OR(LECO!$H67="",LECO!$O67=""),"",MAX(LECO!$H67,LECO!$O67))</f>
        <v/>
      </c>
    </row>
    <row r="68" spans="1:18" x14ac:dyDescent="0.3">
      <c r="A68" s="23"/>
      <c r="B68" s="24"/>
      <c r="C68" s="25"/>
      <c r="D68" s="35"/>
      <c r="E68" s="15"/>
      <c r="F68" s="16"/>
      <c r="G68" s="17" t="str">
        <f>IF(OR(A68="",B68="",AND(C68="",E68=""),AND(C68&lt;Rangos!$B$1,E68="")),"",IF(C68&gt;=Rangos!$B$1,10*B68*C68,10*B68*E68))</f>
        <v/>
      </c>
      <c r="H68" s="16" t="str">
        <f>IF(AND(LECO!$D68="",LECO!$F68=""),"",IF(LECO!$F68="",LECO!$D68,LECO!$F68))</f>
        <v/>
      </c>
      <c r="I68" s="32"/>
      <c r="J68" s="25"/>
      <c r="K68" s="35"/>
      <c r="L68" s="15"/>
      <c r="M68" s="16"/>
      <c r="N68" s="15" t="str">
        <f>IF(OR(A68="",B68="",AND(J68="",L68=""),AND(J68&lt;Rangos!$B$2,L68="")),"",IF(J68&gt;=Rangos!$B$2,10*B68*J68,10*B68*L68))</f>
        <v/>
      </c>
      <c r="O68" s="16" t="str">
        <f>IF(AND(LECO!$K68="",LECO!$M68=""),"",IF(LECO!$M68="",LECO!$K68,LECO!$M68))</f>
        <v/>
      </c>
      <c r="P68" s="32"/>
      <c r="Q68" s="15" t="str">
        <f t="shared" si="0"/>
        <v/>
      </c>
      <c r="R68" s="18" t="str">
        <f>IF(OR(LECO!$H68="",LECO!$O68=""),"",MAX(LECO!$H68,LECO!$O68))</f>
        <v/>
      </c>
    </row>
    <row r="69" spans="1:18" x14ac:dyDescent="0.3">
      <c r="A69" s="26"/>
      <c r="B69" s="27"/>
      <c r="C69" s="28"/>
      <c r="D69" s="36"/>
      <c r="E69" s="19"/>
      <c r="F69" s="20"/>
      <c r="G69" s="21" t="str">
        <f>IF(OR(A69="",B69="",AND(C69="",E69=""),AND(C69&lt;Rangos!$B$1,E69="")),"",IF(C69&gt;=Rangos!$B$1,10*B69*C69,10*B69*E69))</f>
        <v/>
      </c>
      <c r="H69" s="20" t="str">
        <f>IF(AND(LECO!$D69="",LECO!$F69=""),"",IF(LECO!$F69="",LECO!$D69,LECO!$F69))</f>
        <v/>
      </c>
      <c r="I69" s="33"/>
      <c r="J69" s="28"/>
      <c r="K69" s="36"/>
      <c r="L69" s="19"/>
      <c r="M69" s="20"/>
      <c r="N69" s="19" t="str">
        <f>IF(OR(A69="",B69="",AND(J69="",L69=""),AND(J69&lt;Rangos!$B$2,L69="")),"",IF(J69&gt;=Rangos!$B$2,10*B69*J69,10*B69*L69))</f>
        <v/>
      </c>
      <c r="O69" s="20" t="str">
        <f>IF(AND(LECO!$K69="",LECO!$M69=""),"",IF(LECO!$M69="",LECO!$K69,LECO!$M69))</f>
        <v/>
      </c>
      <c r="P69" s="33"/>
      <c r="Q69" s="19" t="str">
        <f t="shared" si="0"/>
        <v/>
      </c>
      <c r="R69" s="22" t="str">
        <f>IF(OR(LECO!$H69="",LECO!$O69=""),"",MAX(LECO!$H69,LECO!$O69))</f>
        <v/>
      </c>
    </row>
    <row r="70" spans="1:18" x14ac:dyDescent="0.3">
      <c r="A70" s="23"/>
      <c r="B70" s="24"/>
      <c r="C70" s="25"/>
      <c r="D70" s="35"/>
      <c r="E70" s="15"/>
      <c r="F70" s="16"/>
      <c r="G70" s="17" t="str">
        <f>IF(OR(A70="",B70="",AND(C70="",E70=""),AND(C70&lt;Rangos!$B$1,E70="")),"",IF(C70&gt;=Rangos!$B$1,10*B70*C70,10*B70*E70))</f>
        <v/>
      </c>
      <c r="H70" s="16" t="str">
        <f>IF(AND(LECO!$D70="",LECO!$F70=""),"",IF(LECO!$F70="",LECO!$D70,LECO!$F70))</f>
        <v/>
      </c>
      <c r="I70" s="32"/>
      <c r="J70" s="25"/>
      <c r="K70" s="35"/>
      <c r="L70" s="15"/>
      <c r="M70" s="16"/>
      <c r="N70" s="15" t="str">
        <f>IF(OR(A70="",B70="",AND(J70="",L70=""),AND(J70&lt;Rangos!$B$2,L70="")),"",IF(J70&gt;=Rangos!$B$2,10*B70*J70,10*B70*L70))</f>
        <v/>
      </c>
      <c r="O70" s="16" t="str">
        <f>IF(AND(LECO!$K70="",LECO!$M70=""),"",IF(LECO!$M70="",LECO!$K70,LECO!$M70))</f>
        <v/>
      </c>
      <c r="P70" s="32"/>
      <c r="Q70" s="15" t="str">
        <f t="shared" ref="Q70:Q133" si="1">IF(OR(G70="",N70=""),"",G70/N70)</f>
        <v/>
      </c>
      <c r="R70" s="18" t="str">
        <f>IF(OR(LECO!$H70="",LECO!$O70=""),"",MAX(LECO!$H70,LECO!$O70))</f>
        <v/>
      </c>
    </row>
    <row r="71" spans="1:18" x14ac:dyDescent="0.3">
      <c r="A71" s="26"/>
      <c r="B71" s="27"/>
      <c r="C71" s="28"/>
      <c r="D71" s="36"/>
      <c r="E71" s="19"/>
      <c r="F71" s="20"/>
      <c r="G71" s="21" t="str">
        <f>IF(OR(A71="",B71="",AND(C71="",E71=""),AND(C71&lt;Rangos!$B$1,E71="")),"",IF(C71&gt;=Rangos!$B$1,10*B71*C71,10*B71*E71))</f>
        <v/>
      </c>
      <c r="H71" s="20" t="str">
        <f>IF(AND(LECO!$D71="",LECO!$F71=""),"",IF(LECO!$F71="",LECO!$D71,LECO!$F71))</f>
        <v/>
      </c>
      <c r="I71" s="33"/>
      <c r="J71" s="28"/>
      <c r="K71" s="36"/>
      <c r="L71" s="19"/>
      <c r="M71" s="20"/>
      <c r="N71" s="19" t="str">
        <f>IF(OR(A71="",B71="",AND(J71="",L71=""),AND(J71&lt;Rangos!$B$2,L71="")),"",IF(J71&gt;=Rangos!$B$2,10*B71*J71,10*B71*L71))</f>
        <v/>
      </c>
      <c r="O71" s="20" t="str">
        <f>IF(AND(LECO!$K71="",LECO!$M71=""),"",IF(LECO!$M71="",LECO!$K71,LECO!$M71))</f>
        <v/>
      </c>
      <c r="P71" s="33"/>
      <c r="Q71" s="19" t="str">
        <f t="shared" si="1"/>
        <v/>
      </c>
      <c r="R71" s="22" t="str">
        <f>IF(OR(LECO!$H71="",LECO!$O71=""),"",MAX(LECO!$H71,LECO!$O71))</f>
        <v/>
      </c>
    </row>
    <row r="72" spans="1:18" x14ac:dyDescent="0.3">
      <c r="A72" s="23"/>
      <c r="B72" s="24"/>
      <c r="C72" s="25"/>
      <c r="D72" s="35"/>
      <c r="E72" s="15"/>
      <c r="F72" s="16"/>
      <c r="G72" s="17" t="str">
        <f>IF(OR(A72="",B72="",AND(C72="",E72=""),AND(C72&lt;Rangos!$B$1,E72="")),"",IF(C72&gt;=Rangos!$B$1,10*B72*C72,10*B72*E72))</f>
        <v/>
      </c>
      <c r="H72" s="16" t="str">
        <f>IF(AND(LECO!$D72="",LECO!$F72=""),"",IF(LECO!$F72="",LECO!$D72,LECO!$F72))</f>
        <v/>
      </c>
      <c r="I72" s="32"/>
      <c r="J72" s="25"/>
      <c r="K72" s="35"/>
      <c r="L72" s="15"/>
      <c r="M72" s="16"/>
      <c r="N72" s="15" t="str">
        <f>IF(OR(A72="",B72="",AND(J72="",L72=""),AND(J72&lt;Rangos!$B$2,L72="")),"",IF(J72&gt;=Rangos!$B$2,10*B72*J72,10*B72*L72))</f>
        <v/>
      </c>
      <c r="O72" s="16" t="str">
        <f>IF(AND(LECO!$K72="",LECO!$M72=""),"",IF(LECO!$M72="",LECO!$K72,LECO!$M72))</f>
        <v/>
      </c>
      <c r="P72" s="32"/>
      <c r="Q72" s="15" t="str">
        <f t="shared" si="1"/>
        <v/>
      </c>
      <c r="R72" s="18" t="str">
        <f>IF(OR(LECO!$H72="",LECO!$O72=""),"",MAX(LECO!$H72,LECO!$O72))</f>
        <v/>
      </c>
    </row>
    <row r="73" spans="1:18" x14ac:dyDescent="0.3">
      <c r="A73" s="26"/>
      <c r="B73" s="27"/>
      <c r="C73" s="28"/>
      <c r="D73" s="36"/>
      <c r="E73" s="19"/>
      <c r="F73" s="20"/>
      <c r="G73" s="21" t="str">
        <f>IF(OR(A73="",B73="",AND(C73="",E73=""),AND(C73&lt;Rangos!$B$1,E73="")),"",IF(C73&gt;=Rangos!$B$1,10*B73*C73,10*B73*E73))</f>
        <v/>
      </c>
      <c r="H73" s="20" t="str">
        <f>IF(AND(LECO!$D73="",LECO!$F73=""),"",IF(LECO!$F73="",LECO!$D73,LECO!$F73))</f>
        <v/>
      </c>
      <c r="I73" s="33"/>
      <c r="J73" s="28"/>
      <c r="K73" s="36"/>
      <c r="L73" s="19"/>
      <c r="M73" s="20"/>
      <c r="N73" s="19" t="str">
        <f>IF(OR(A73="",B73="",AND(J73="",L73=""),AND(J73&lt;Rangos!$B$2,L73="")),"",IF(J73&gt;=Rangos!$B$2,10*B73*J73,10*B73*L73))</f>
        <v/>
      </c>
      <c r="O73" s="20" t="str">
        <f>IF(AND(LECO!$K73="",LECO!$M73=""),"",IF(LECO!$M73="",LECO!$K73,LECO!$M73))</f>
        <v/>
      </c>
      <c r="P73" s="33"/>
      <c r="Q73" s="19" t="str">
        <f t="shared" si="1"/>
        <v/>
      </c>
      <c r="R73" s="22" t="str">
        <f>IF(OR(LECO!$H73="",LECO!$O73=""),"",MAX(LECO!$H73,LECO!$O73))</f>
        <v/>
      </c>
    </row>
    <row r="74" spans="1:18" x14ac:dyDescent="0.3">
      <c r="A74" s="23"/>
      <c r="B74" s="24"/>
      <c r="C74" s="25"/>
      <c r="D74" s="35"/>
      <c r="E74" s="15"/>
      <c r="F74" s="16"/>
      <c r="G74" s="17" t="str">
        <f>IF(OR(A74="",B74="",AND(C74="",E74=""),AND(C74&lt;Rangos!$B$1,E74="")),"",IF(C74&gt;=Rangos!$B$1,10*B74*C74,10*B74*E74))</f>
        <v/>
      </c>
      <c r="H74" s="16" t="str">
        <f>IF(AND(LECO!$D74="",LECO!$F74=""),"",IF(LECO!$F74="",LECO!$D74,LECO!$F74))</f>
        <v/>
      </c>
      <c r="I74" s="32"/>
      <c r="J74" s="25"/>
      <c r="K74" s="35"/>
      <c r="L74" s="15"/>
      <c r="M74" s="16"/>
      <c r="N74" s="15" t="str">
        <f>IF(OR(A74="",B74="",AND(J74="",L74=""),AND(J74&lt;Rangos!$B$2,L74="")),"",IF(J74&gt;=Rangos!$B$2,10*B74*J74,10*B74*L74))</f>
        <v/>
      </c>
      <c r="O74" s="16" t="str">
        <f>IF(AND(LECO!$K74="",LECO!$M74=""),"",IF(LECO!$M74="",LECO!$K74,LECO!$M74))</f>
        <v/>
      </c>
      <c r="P74" s="32"/>
      <c r="Q74" s="15" t="str">
        <f t="shared" si="1"/>
        <v/>
      </c>
      <c r="R74" s="18" t="str">
        <f>IF(OR(LECO!$H74="",LECO!$O74=""),"",MAX(LECO!$H74,LECO!$O74))</f>
        <v/>
      </c>
    </row>
    <row r="75" spans="1:18" x14ac:dyDescent="0.3">
      <c r="A75" s="26"/>
      <c r="B75" s="27"/>
      <c r="C75" s="28"/>
      <c r="D75" s="36"/>
      <c r="E75" s="19"/>
      <c r="F75" s="20"/>
      <c r="G75" s="21" t="str">
        <f>IF(OR(A75="",B75="",AND(C75="",E75=""),AND(C75&lt;Rangos!$B$1,E75="")),"",IF(C75&gt;=Rangos!$B$1,10*B75*C75,10*B75*E75))</f>
        <v/>
      </c>
      <c r="H75" s="20" t="str">
        <f>IF(AND(LECO!$D75="",LECO!$F75=""),"",IF(LECO!$F75="",LECO!$D75,LECO!$F75))</f>
        <v/>
      </c>
      <c r="I75" s="33"/>
      <c r="J75" s="28"/>
      <c r="K75" s="36"/>
      <c r="L75" s="19"/>
      <c r="M75" s="20"/>
      <c r="N75" s="19" t="str">
        <f>IF(OR(A75="",B75="",AND(J75="",L75=""),AND(J75&lt;Rangos!$B$2,L75="")),"",IF(J75&gt;=Rangos!$B$2,10*B75*J75,10*B75*L75))</f>
        <v/>
      </c>
      <c r="O75" s="20" t="str">
        <f>IF(AND(LECO!$K75="",LECO!$M75=""),"",IF(LECO!$M75="",LECO!$K75,LECO!$M75))</f>
        <v/>
      </c>
      <c r="P75" s="33"/>
      <c r="Q75" s="19" t="str">
        <f t="shared" si="1"/>
        <v/>
      </c>
      <c r="R75" s="22" t="str">
        <f>IF(OR(LECO!$H75="",LECO!$O75=""),"",MAX(LECO!$H75,LECO!$O75))</f>
        <v/>
      </c>
    </row>
    <row r="76" spans="1:18" x14ac:dyDescent="0.3">
      <c r="A76" s="23"/>
      <c r="B76" s="24"/>
      <c r="C76" s="25"/>
      <c r="D76" s="35"/>
      <c r="E76" s="15"/>
      <c r="F76" s="16"/>
      <c r="G76" s="17" t="str">
        <f>IF(OR(A76="",B76="",AND(C76="",E76=""),AND(C76&lt;Rangos!$B$1,E76="")),"",IF(C76&gt;=Rangos!$B$1,10*B76*C76,10*B76*E76))</f>
        <v/>
      </c>
      <c r="H76" s="16" t="str">
        <f>IF(AND(LECO!$D76="",LECO!$F76=""),"",IF(LECO!$F76="",LECO!$D76,LECO!$F76))</f>
        <v/>
      </c>
      <c r="I76" s="32"/>
      <c r="J76" s="25"/>
      <c r="K76" s="35"/>
      <c r="L76" s="15"/>
      <c r="M76" s="16"/>
      <c r="N76" s="15" t="str">
        <f>IF(OR(A76="",B76="",AND(J76="",L76=""),AND(J76&lt;Rangos!$B$2,L76="")),"",IF(J76&gt;=Rangos!$B$2,10*B76*J76,10*B76*L76))</f>
        <v/>
      </c>
      <c r="O76" s="16" t="str">
        <f>IF(AND(LECO!$K76="",LECO!$M76=""),"",IF(LECO!$M76="",LECO!$K76,LECO!$M76))</f>
        <v/>
      </c>
      <c r="P76" s="32"/>
      <c r="Q76" s="15" t="str">
        <f t="shared" si="1"/>
        <v/>
      </c>
      <c r="R76" s="18" t="str">
        <f>IF(OR(LECO!$H76="",LECO!$O76=""),"",MAX(LECO!$H76,LECO!$O76))</f>
        <v/>
      </c>
    </row>
    <row r="77" spans="1:18" x14ac:dyDescent="0.3">
      <c r="A77" s="26"/>
      <c r="B77" s="27"/>
      <c r="C77" s="28"/>
      <c r="D77" s="36"/>
      <c r="E77" s="19"/>
      <c r="F77" s="20"/>
      <c r="G77" s="21" t="str">
        <f>IF(OR(A77="",B77="",AND(C77="",E77=""),AND(C77&lt;Rangos!$B$1,E77="")),"",IF(C77&gt;=Rangos!$B$1,10*B77*C77,10*B77*E77))</f>
        <v/>
      </c>
      <c r="H77" s="20" t="str">
        <f>IF(AND(LECO!$D77="",LECO!$F77=""),"",IF(LECO!$F77="",LECO!$D77,LECO!$F77))</f>
        <v/>
      </c>
      <c r="I77" s="33"/>
      <c r="J77" s="28"/>
      <c r="K77" s="36"/>
      <c r="L77" s="19"/>
      <c r="M77" s="20"/>
      <c r="N77" s="19" t="str">
        <f>IF(OR(A77="",B77="",AND(J77="",L77=""),AND(J77&lt;Rangos!$B$2,L77="")),"",IF(J77&gt;=Rangos!$B$2,10*B77*J77,10*B77*L77))</f>
        <v/>
      </c>
      <c r="O77" s="20" t="str">
        <f>IF(AND(LECO!$K77="",LECO!$M77=""),"",IF(LECO!$M77="",LECO!$K77,LECO!$M77))</f>
        <v/>
      </c>
      <c r="P77" s="33"/>
      <c r="Q77" s="19" t="str">
        <f t="shared" si="1"/>
        <v/>
      </c>
      <c r="R77" s="22" t="str">
        <f>IF(OR(LECO!$H77="",LECO!$O77=""),"",MAX(LECO!$H77,LECO!$O77))</f>
        <v/>
      </c>
    </row>
    <row r="78" spans="1:18" x14ac:dyDescent="0.3">
      <c r="A78" s="23"/>
      <c r="B78" s="24"/>
      <c r="C78" s="25"/>
      <c r="D78" s="35"/>
      <c r="E78" s="15"/>
      <c r="F78" s="16"/>
      <c r="G78" s="17" t="str">
        <f>IF(OR(A78="",B78="",AND(C78="",E78=""),AND(C78&lt;Rangos!$B$1,E78="")),"",IF(C78&gt;=Rangos!$B$1,10*B78*C78,10*B78*E78))</f>
        <v/>
      </c>
      <c r="H78" s="16" t="str">
        <f>IF(AND(LECO!$D78="",LECO!$F78=""),"",IF(LECO!$F78="",LECO!$D78,LECO!$F78))</f>
        <v/>
      </c>
      <c r="I78" s="32"/>
      <c r="J78" s="25"/>
      <c r="K78" s="35"/>
      <c r="L78" s="15"/>
      <c r="M78" s="16"/>
      <c r="N78" s="15" t="str">
        <f>IF(OR(A78="",B78="",AND(J78="",L78=""),AND(J78&lt;Rangos!$B$2,L78="")),"",IF(J78&gt;=Rangos!$B$2,10*B78*J78,10*B78*L78))</f>
        <v/>
      </c>
      <c r="O78" s="16" t="str">
        <f>IF(AND(LECO!$K78="",LECO!$M78=""),"",IF(LECO!$M78="",LECO!$K78,LECO!$M78))</f>
        <v/>
      </c>
      <c r="P78" s="32"/>
      <c r="Q78" s="15" t="str">
        <f t="shared" si="1"/>
        <v/>
      </c>
      <c r="R78" s="18" t="str">
        <f>IF(OR(LECO!$H78="",LECO!$O78=""),"",MAX(LECO!$H78,LECO!$O78))</f>
        <v/>
      </c>
    </row>
    <row r="79" spans="1:18" x14ac:dyDescent="0.3">
      <c r="A79" s="26"/>
      <c r="B79" s="27"/>
      <c r="C79" s="28"/>
      <c r="D79" s="36"/>
      <c r="E79" s="19"/>
      <c r="F79" s="20"/>
      <c r="G79" s="21" t="str">
        <f>IF(OR(A79="",B79="",AND(C79="",E79=""),AND(C79&lt;Rangos!$B$1,E79="")),"",IF(C79&gt;=Rangos!$B$1,10*B79*C79,10*B79*E79))</f>
        <v/>
      </c>
      <c r="H79" s="20" t="str">
        <f>IF(AND(LECO!$D79="",LECO!$F79=""),"",IF(LECO!$F79="",LECO!$D79,LECO!$F79))</f>
        <v/>
      </c>
      <c r="I79" s="33"/>
      <c r="J79" s="28"/>
      <c r="K79" s="36"/>
      <c r="L79" s="19"/>
      <c r="M79" s="20"/>
      <c r="N79" s="19" t="str">
        <f>IF(OR(A79="",B79="",AND(J79="",L79=""),AND(J79&lt;Rangos!$B$2,L79="")),"",IF(J79&gt;=Rangos!$B$2,10*B79*J79,10*B79*L79))</f>
        <v/>
      </c>
      <c r="O79" s="20" t="str">
        <f>IF(AND(LECO!$K79="",LECO!$M79=""),"",IF(LECO!$M79="",LECO!$K79,LECO!$M79))</f>
        <v/>
      </c>
      <c r="P79" s="33"/>
      <c r="Q79" s="19" t="str">
        <f t="shared" si="1"/>
        <v/>
      </c>
      <c r="R79" s="22" t="str">
        <f>IF(OR(LECO!$H79="",LECO!$O79=""),"",MAX(LECO!$H79,LECO!$O79))</f>
        <v/>
      </c>
    </row>
    <row r="80" spans="1:18" x14ac:dyDescent="0.3">
      <c r="A80" s="23"/>
      <c r="B80" s="24"/>
      <c r="C80" s="25"/>
      <c r="D80" s="35"/>
      <c r="E80" s="15"/>
      <c r="F80" s="16"/>
      <c r="G80" s="17" t="str">
        <f>IF(OR(A80="",B80="",AND(C80="",E80=""),AND(C80&lt;Rangos!$B$1,E80="")),"",IF(C80&gt;=Rangos!$B$1,10*B80*C80,10*B80*E80))</f>
        <v/>
      </c>
      <c r="H80" s="16" t="str">
        <f>IF(AND(LECO!$D80="",LECO!$F80=""),"",IF(LECO!$F80="",LECO!$D80,LECO!$F80))</f>
        <v/>
      </c>
      <c r="I80" s="32"/>
      <c r="J80" s="25"/>
      <c r="K80" s="35"/>
      <c r="L80" s="15"/>
      <c r="M80" s="16"/>
      <c r="N80" s="15" t="str">
        <f>IF(OR(A80="",B80="",AND(J80="",L80=""),AND(J80&lt;Rangos!$B$2,L80="")),"",IF(J80&gt;=Rangos!$B$2,10*B80*J80,10*B80*L80))</f>
        <v/>
      </c>
      <c r="O80" s="16" t="str">
        <f>IF(AND(LECO!$K80="",LECO!$M80=""),"",IF(LECO!$M80="",LECO!$K80,LECO!$M80))</f>
        <v/>
      </c>
      <c r="P80" s="32"/>
      <c r="Q80" s="15" t="str">
        <f t="shared" si="1"/>
        <v/>
      </c>
      <c r="R80" s="18" t="str">
        <f>IF(OR(LECO!$H80="",LECO!$O80=""),"",MAX(LECO!$H80,LECO!$O80))</f>
        <v/>
      </c>
    </row>
    <row r="81" spans="1:18" x14ac:dyDescent="0.3">
      <c r="A81" s="26"/>
      <c r="B81" s="27"/>
      <c r="C81" s="28"/>
      <c r="D81" s="36"/>
      <c r="E81" s="19"/>
      <c r="F81" s="20"/>
      <c r="G81" s="21" t="str">
        <f>IF(OR(A81="",B81="",AND(C81="",E81=""),AND(C81&lt;Rangos!$B$1,E81="")),"",IF(C81&gt;=Rangos!$B$1,10*B81*C81,10*B81*E81))</f>
        <v/>
      </c>
      <c r="H81" s="20" t="str">
        <f>IF(AND(LECO!$D81="",LECO!$F81=""),"",IF(LECO!$F81="",LECO!$D81,LECO!$F81))</f>
        <v/>
      </c>
      <c r="I81" s="33"/>
      <c r="J81" s="28"/>
      <c r="K81" s="36"/>
      <c r="L81" s="19"/>
      <c r="M81" s="20"/>
      <c r="N81" s="19" t="str">
        <f>IF(OR(A81="",B81="",AND(J81="",L81=""),AND(J81&lt;Rangos!$B$2,L81="")),"",IF(J81&gt;=Rangos!$B$2,10*B81*J81,10*B81*L81))</f>
        <v/>
      </c>
      <c r="O81" s="20" t="str">
        <f>IF(AND(LECO!$K81="",LECO!$M81=""),"",IF(LECO!$M81="",LECO!$K81,LECO!$M81))</f>
        <v/>
      </c>
      <c r="P81" s="33"/>
      <c r="Q81" s="19" t="str">
        <f t="shared" si="1"/>
        <v/>
      </c>
      <c r="R81" s="22" t="str">
        <f>IF(OR(LECO!$H81="",LECO!$O81=""),"",MAX(LECO!$H81,LECO!$O81))</f>
        <v/>
      </c>
    </row>
    <row r="82" spans="1:18" x14ac:dyDescent="0.3">
      <c r="A82" s="23"/>
      <c r="B82" s="24"/>
      <c r="C82" s="25"/>
      <c r="D82" s="35"/>
      <c r="E82" s="15"/>
      <c r="F82" s="16"/>
      <c r="G82" s="17" t="str">
        <f>IF(OR(A82="",B82="",AND(C82="",E82=""),AND(C82&lt;Rangos!$B$1,E82="")),"",IF(C82&gt;=Rangos!$B$1,10*B82*C82,10*B82*E82))</f>
        <v/>
      </c>
      <c r="H82" s="16" t="str">
        <f>IF(AND(LECO!$D82="",LECO!$F82=""),"",IF(LECO!$F82="",LECO!$D82,LECO!$F82))</f>
        <v/>
      </c>
      <c r="I82" s="32"/>
      <c r="J82" s="25"/>
      <c r="K82" s="35"/>
      <c r="L82" s="15"/>
      <c r="M82" s="16"/>
      <c r="N82" s="15" t="str">
        <f>IF(OR(A82="",B82="",AND(J82="",L82=""),AND(J82&lt;Rangos!$B$2,L82="")),"",IF(J82&gt;=Rangos!$B$2,10*B82*J82,10*B82*L82))</f>
        <v/>
      </c>
      <c r="O82" s="16" t="str">
        <f>IF(AND(LECO!$K82="",LECO!$M82=""),"",IF(LECO!$M82="",LECO!$K82,LECO!$M82))</f>
        <v/>
      </c>
      <c r="P82" s="32"/>
      <c r="Q82" s="15" t="str">
        <f t="shared" si="1"/>
        <v/>
      </c>
      <c r="R82" s="18" t="str">
        <f>IF(OR(LECO!$H82="",LECO!$O82=""),"",MAX(LECO!$H82,LECO!$O82))</f>
        <v/>
      </c>
    </row>
    <row r="83" spans="1:18" x14ac:dyDescent="0.3">
      <c r="A83" s="26"/>
      <c r="B83" s="27"/>
      <c r="C83" s="28"/>
      <c r="D83" s="36"/>
      <c r="E83" s="19"/>
      <c r="F83" s="20"/>
      <c r="G83" s="21" t="str">
        <f>IF(OR(A83="",B83="",AND(C83="",E83=""),AND(C83&lt;Rangos!$B$1,E83="")),"",IF(C83&gt;=Rangos!$B$1,10*B83*C83,10*B83*E83))</f>
        <v/>
      </c>
      <c r="H83" s="20" t="str">
        <f>IF(AND(LECO!$D83="",LECO!$F83=""),"",IF(LECO!$F83="",LECO!$D83,LECO!$F83))</f>
        <v/>
      </c>
      <c r="I83" s="33"/>
      <c r="J83" s="28"/>
      <c r="K83" s="36"/>
      <c r="L83" s="19"/>
      <c r="M83" s="20"/>
      <c r="N83" s="19" t="str">
        <f>IF(OR(A83="",B83="",AND(J83="",L83=""),AND(J83&lt;Rangos!$B$2,L83="")),"",IF(J83&gt;=Rangos!$B$2,10*B83*J83,10*B83*L83))</f>
        <v/>
      </c>
      <c r="O83" s="20" t="str">
        <f>IF(AND(LECO!$K83="",LECO!$M83=""),"",IF(LECO!$M83="",LECO!$K83,LECO!$M83))</f>
        <v/>
      </c>
      <c r="P83" s="33"/>
      <c r="Q83" s="19" t="str">
        <f t="shared" si="1"/>
        <v/>
      </c>
      <c r="R83" s="22" t="str">
        <f>IF(OR(LECO!$H83="",LECO!$O83=""),"",MAX(LECO!$H83,LECO!$O83))</f>
        <v/>
      </c>
    </row>
    <row r="84" spans="1:18" x14ac:dyDescent="0.3">
      <c r="A84" s="23"/>
      <c r="B84" s="24"/>
      <c r="C84" s="25"/>
      <c r="D84" s="35"/>
      <c r="E84" s="15"/>
      <c r="F84" s="16"/>
      <c r="G84" s="17" t="str">
        <f>IF(OR(A84="",B84="",AND(C84="",E84=""),AND(C84&lt;Rangos!$B$1,E84="")),"",IF(C84&gt;=Rangos!$B$1,10*B84*C84,10*B84*E84))</f>
        <v/>
      </c>
      <c r="H84" s="16" t="str">
        <f>IF(AND(LECO!$D84="",LECO!$F84=""),"",IF(LECO!$F84="",LECO!$D84,LECO!$F84))</f>
        <v/>
      </c>
      <c r="I84" s="32"/>
      <c r="J84" s="25"/>
      <c r="K84" s="35"/>
      <c r="L84" s="15"/>
      <c r="M84" s="16"/>
      <c r="N84" s="15" t="str">
        <f>IF(OR(A84="",B84="",AND(J84="",L84=""),AND(J84&lt;Rangos!$B$2,L84="")),"",IF(J84&gt;=Rangos!$B$2,10*B84*J84,10*B84*L84))</f>
        <v/>
      </c>
      <c r="O84" s="16" t="str">
        <f>IF(AND(LECO!$K84="",LECO!$M84=""),"",IF(LECO!$M84="",LECO!$K84,LECO!$M84))</f>
        <v/>
      </c>
      <c r="P84" s="32"/>
      <c r="Q84" s="15" t="str">
        <f t="shared" si="1"/>
        <v/>
      </c>
      <c r="R84" s="18" t="str">
        <f>IF(OR(LECO!$H84="",LECO!$O84=""),"",MAX(LECO!$H84,LECO!$O84))</f>
        <v/>
      </c>
    </row>
    <row r="85" spans="1:18" x14ac:dyDescent="0.3">
      <c r="A85" s="26"/>
      <c r="B85" s="27"/>
      <c r="C85" s="28"/>
      <c r="D85" s="36"/>
      <c r="E85" s="19"/>
      <c r="F85" s="20"/>
      <c r="G85" s="21" t="str">
        <f>IF(OR(A85="",B85="",AND(C85="",E85=""),AND(C85&lt;Rangos!$B$1,E85="")),"",IF(C85&gt;=Rangos!$B$1,10*B85*C85,10*B85*E85))</f>
        <v/>
      </c>
      <c r="H85" s="20" t="str">
        <f>IF(AND(LECO!$D85="",LECO!$F85=""),"",IF(LECO!$F85="",LECO!$D85,LECO!$F85))</f>
        <v/>
      </c>
      <c r="I85" s="33"/>
      <c r="J85" s="28"/>
      <c r="K85" s="36"/>
      <c r="L85" s="19"/>
      <c r="M85" s="20"/>
      <c r="N85" s="19" t="str">
        <f>IF(OR(A85="",B85="",AND(J85="",L85=""),AND(J85&lt;Rangos!$B$2,L85="")),"",IF(J85&gt;=Rangos!$B$2,10*B85*J85,10*B85*L85))</f>
        <v/>
      </c>
      <c r="O85" s="20" t="str">
        <f>IF(AND(LECO!$K85="",LECO!$M85=""),"",IF(LECO!$M85="",LECO!$K85,LECO!$M85))</f>
        <v/>
      </c>
      <c r="P85" s="33"/>
      <c r="Q85" s="19" t="str">
        <f t="shared" si="1"/>
        <v/>
      </c>
      <c r="R85" s="22" t="str">
        <f>IF(OR(LECO!$H85="",LECO!$O85=""),"",MAX(LECO!$H85,LECO!$O85))</f>
        <v/>
      </c>
    </row>
    <row r="86" spans="1:18" x14ac:dyDescent="0.3">
      <c r="A86" s="23"/>
      <c r="B86" s="24"/>
      <c r="C86" s="25"/>
      <c r="D86" s="35"/>
      <c r="E86" s="15"/>
      <c r="F86" s="16"/>
      <c r="G86" s="17" t="str">
        <f>IF(OR(A86="",B86="",AND(C86="",E86=""),AND(C86&lt;Rangos!$B$1,E86="")),"",IF(C86&gt;=Rangos!$B$1,10*B86*C86,10*B86*E86))</f>
        <v/>
      </c>
      <c r="H86" s="16" t="str">
        <f>IF(AND(LECO!$D86="",LECO!$F86=""),"",IF(LECO!$F86="",LECO!$D86,LECO!$F86))</f>
        <v/>
      </c>
      <c r="I86" s="32"/>
      <c r="J86" s="25"/>
      <c r="K86" s="35"/>
      <c r="L86" s="15"/>
      <c r="M86" s="16"/>
      <c r="N86" s="15" t="str">
        <f>IF(OR(A86="",B86="",AND(J86="",L86=""),AND(J86&lt;Rangos!$B$2,L86="")),"",IF(J86&gt;=Rangos!$B$2,10*B86*J86,10*B86*L86))</f>
        <v/>
      </c>
      <c r="O86" s="16" t="str">
        <f>IF(AND(LECO!$K86="",LECO!$M86=""),"",IF(LECO!$M86="",LECO!$K86,LECO!$M86))</f>
        <v/>
      </c>
      <c r="P86" s="32"/>
      <c r="Q86" s="15" t="str">
        <f t="shared" si="1"/>
        <v/>
      </c>
      <c r="R86" s="18" t="str">
        <f>IF(OR(LECO!$H86="",LECO!$O86=""),"",MAX(LECO!$H86,LECO!$O86))</f>
        <v/>
      </c>
    </row>
    <row r="87" spans="1:18" x14ac:dyDescent="0.3">
      <c r="A87" s="26"/>
      <c r="B87" s="27"/>
      <c r="C87" s="28"/>
      <c r="D87" s="36"/>
      <c r="E87" s="19"/>
      <c r="F87" s="20"/>
      <c r="G87" s="21" t="str">
        <f>IF(OR(A87="",B87="",AND(C87="",E87=""),AND(C87&lt;Rangos!$B$1,E87="")),"",IF(C87&gt;=Rangos!$B$1,10*B87*C87,10*B87*E87))</f>
        <v/>
      </c>
      <c r="H87" s="20" t="str">
        <f>IF(AND(LECO!$D87="",LECO!$F87=""),"",IF(LECO!$F87="",LECO!$D87,LECO!$F87))</f>
        <v/>
      </c>
      <c r="I87" s="33"/>
      <c r="J87" s="28"/>
      <c r="K87" s="36"/>
      <c r="L87" s="19"/>
      <c r="M87" s="20"/>
      <c r="N87" s="19" t="str">
        <f>IF(OR(A87="",B87="",AND(J87="",L87=""),AND(J87&lt;Rangos!$B$2,L87="")),"",IF(J87&gt;=Rangos!$B$2,10*B87*J87,10*B87*L87))</f>
        <v/>
      </c>
      <c r="O87" s="20" t="str">
        <f>IF(AND(LECO!$K87="",LECO!$M87=""),"",IF(LECO!$M87="",LECO!$K87,LECO!$M87))</f>
        <v/>
      </c>
      <c r="P87" s="33"/>
      <c r="Q87" s="19" t="str">
        <f t="shared" si="1"/>
        <v/>
      </c>
      <c r="R87" s="22" t="str">
        <f>IF(OR(LECO!$H87="",LECO!$O87=""),"",MAX(LECO!$H87,LECO!$O87))</f>
        <v/>
      </c>
    </row>
    <row r="88" spans="1:18" x14ac:dyDescent="0.3">
      <c r="A88" s="23"/>
      <c r="B88" s="24"/>
      <c r="C88" s="25"/>
      <c r="D88" s="35"/>
      <c r="E88" s="15"/>
      <c r="F88" s="16"/>
      <c r="G88" s="17" t="str">
        <f>IF(OR(A88="",B88="",AND(C88="",E88=""),AND(C88&lt;Rangos!$B$1,E88="")),"",IF(C88&gt;=Rangos!$B$1,10*B88*C88,10*B88*E88))</f>
        <v/>
      </c>
      <c r="H88" s="16" t="str">
        <f>IF(AND(LECO!$D88="",LECO!$F88=""),"",IF(LECO!$F88="",LECO!$D88,LECO!$F88))</f>
        <v/>
      </c>
      <c r="I88" s="32"/>
      <c r="J88" s="25"/>
      <c r="K88" s="35"/>
      <c r="L88" s="15"/>
      <c r="M88" s="16"/>
      <c r="N88" s="15" t="str">
        <f>IF(OR(A88="",B88="",AND(J88="",L88=""),AND(J88&lt;Rangos!$B$2,L88="")),"",IF(J88&gt;=Rangos!$B$2,10*B88*J88,10*B88*L88))</f>
        <v/>
      </c>
      <c r="O88" s="16" t="str">
        <f>IF(AND(LECO!$K88="",LECO!$M88=""),"",IF(LECO!$M88="",LECO!$K88,LECO!$M88))</f>
        <v/>
      </c>
      <c r="P88" s="32"/>
      <c r="Q88" s="15" t="str">
        <f t="shared" si="1"/>
        <v/>
      </c>
      <c r="R88" s="18" t="str">
        <f>IF(OR(LECO!$H88="",LECO!$O88=""),"",MAX(LECO!$H88,LECO!$O88))</f>
        <v/>
      </c>
    </row>
    <row r="89" spans="1:18" x14ac:dyDescent="0.3">
      <c r="A89" s="26"/>
      <c r="B89" s="27"/>
      <c r="C89" s="28"/>
      <c r="D89" s="36"/>
      <c r="E89" s="19"/>
      <c r="F89" s="20"/>
      <c r="G89" s="21" t="str">
        <f>IF(OR(A89="",B89="",AND(C89="",E89=""),AND(C89&lt;Rangos!$B$1,E89="")),"",IF(C89&gt;=Rangos!$B$1,10*B89*C89,10*B89*E89))</f>
        <v/>
      </c>
      <c r="H89" s="20" t="str">
        <f>IF(AND(LECO!$D89="",LECO!$F89=""),"",IF(LECO!$F89="",LECO!$D89,LECO!$F89))</f>
        <v/>
      </c>
      <c r="I89" s="33"/>
      <c r="J89" s="28"/>
      <c r="K89" s="36"/>
      <c r="L89" s="19"/>
      <c r="M89" s="20"/>
      <c r="N89" s="19" t="str">
        <f>IF(OR(A89="",B89="",AND(J89="",L89=""),AND(J89&lt;Rangos!$B$2,L89="")),"",IF(J89&gt;=Rangos!$B$2,10*B89*J89,10*B89*L89))</f>
        <v/>
      </c>
      <c r="O89" s="20" t="str">
        <f>IF(AND(LECO!$K89="",LECO!$M89=""),"",IF(LECO!$M89="",LECO!$K89,LECO!$M89))</f>
        <v/>
      </c>
      <c r="P89" s="33"/>
      <c r="Q89" s="19" t="str">
        <f t="shared" si="1"/>
        <v/>
      </c>
      <c r="R89" s="22" t="str">
        <f>IF(OR(LECO!$H89="",LECO!$O89=""),"",MAX(LECO!$H89,LECO!$O89))</f>
        <v/>
      </c>
    </row>
    <row r="90" spans="1:18" x14ac:dyDescent="0.3">
      <c r="A90" s="23"/>
      <c r="B90" s="24"/>
      <c r="C90" s="25"/>
      <c r="D90" s="35"/>
      <c r="E90" s="15"/>
      <c r="F90" s="16"/>
      <c r="G90" s="17" t="str">
        <f>IF(OR(A90="",B90="",AND(C90="",E90=""),AND(C90&lt;Rangos!$B$1,E90="")),"",IF(C90&gt;=Rangos!$B$1,10*B90*C90,10*B90*E90))</f>
        <v/>
      </c>
      <c r="H90" s="16" t="str">
        <f>IF(AND(LECO!$D90="",LECO!$F90=""),"",IF(LECO!$F90="",LECO!$D90,LECO!$F90))</f>
        <v/>
      </c>
      <c r="I90" s="32"/>
      <c r="J90" s="25"/>
      <c r="K90" s="35"/>
      <c r="L90" s="15"/>
      <c r="M90" s="16"/>
      <c r="N90" s="15" t="str">
        <f>IF(OR(A90="",B90="",AND(J90="",L90=""),AND(J90&lt;Rangos!$B$2,L90="")),"",IF(J90&gt;=Rangos!$B$2,10*B90*J90,10*B90*L90))</f>
        <v/>
      </c>
      <c r="O90" s="16" t="str">
        <f>IF(AND(LECO!$K90="",LECO!$M90=""),"",IF(LECO!$M90="",LECO!$K90,LECO!$M90))</f>
        <v/>
      </c>
      <c r="P90" s="32"/>
      <c r="Q90" s="15" t="str">
        <f t="shared" si="1"/>
        <v/>
      </c>
      <c r="R90" s="18" t="str">
        <f>IF(OR(LECO!$H90="",LECO!$O90=""),"",MAX(LECO!$H90,LECO!$O90))</f>
        <v/>
      </c>
    </row>
    <row r="91" spans="1:18" x14ac:dyDescent="0.3">
      <c r="A91" s="26"/>
      <c r="B91" s="27"/>
      <c r="C91" s="28"/>
      <c r="D91" s="36"/>
      <c r="E91" s="19"/>
      <c r="F91" s="20"/>
      <c r="G91" s="21" t="str">
        <f>IF(OR(A91="",B91="",AND(C91="",E91=""),AND(C91&lt;Rangos!$B$1,E91="")),"",IF(C91&gt;=Rangos!$B$1,10*B91*C91,10*B91*E91))</f>
        <v/>
      </c>
      <c r="H91" s="20" t="str">
        <f>IF(AND(LECO!$D91="",LECO!$F91=""),"",IF(LECO!$F91="",LECO!$D91,LECO!$F91))</f>
        <v/>
      </c>
      <c r="I91" s="33"/>
      <c r="J91" s="28"/>
      <c r="K91" s="36"/>
      <c r="L91" s="19"/>
      <c r="M91" s="20"/>
      <c r="N91" s="19" t="str">
        <f>IF(OR(A91="",B91="",AND(J91="",L91=""),AND(J91&lt;Rangos!$B$2,L91="")),"",IF(J91&gt;=Rangos!$B$2,10*B91*J91,10*B91*L91))</f>
        <v/>
      </c>
      <c r="O91" s="20" t="str">
        <f>IF(AND(LECO!$K91="",LECO!$M91=""),"",IF(LECO!$M91="",LECO!$K91,LECO!$M91))</f>
        <v/>
      </c>
      <c r="P91" s="33"/>
      <c r="Q91" s="19" t="str">
        <f t="shared" si="1"/>
        <v/>
      </c>
      <c r="R91" s="22" t="str">
        <f>IF(OR(LECO!$H91="",LECO!$O91=""),"",MAX(LECO!$H91,LECO!$O91))</f>
        <v/>
      </c>
    </row>
    <row r="92" spans="1:18" x14ac:dyDescent="0.3">
      <c r="A92" s="23"/>
      <c r="B92" s="24"/>
      <c r="C92" s="25"/>
      <c r="D92" s="35"/>
      <c r="E92" s="15"/>
      <c r="F92" s="16"/>
      <c r="G92" s="17" t="str">
        <f>IF(OR(A92="",B92="",AND(C92="",E92=""),AND(C92&lt;Rangos!$B$1,E92="")),"",IF(C92&gt;=Rangos!$B$1,10*B92*C92,10*B92*E92))</f>
        <v/>
      </c>
      <c r="H92" s="16" t="str">
        <f>IF(AND(LECO!$D92="",LECO!$F92=""),"",IF(LECO!$F92="",LECO!$D92,LECO!$F92))</f>
        <v/>
      </c>
      <c r="I92" s="32"/>
      <c r="J92" s="25"/>
      <c r="K92" s="35"/>
      <c r="L92" s="15"/>
      <c r="M92" s="16"/>
      <c r="N92" s="15" t="str">
        <f>IF(OR(A92="",B92="",AND(J92="",L92=""),AND(J92&lt;Rangos!$B$2,L92="")),"",IF(J92&gt;=Rangos!$B$2,10*B92*J92,10*B92*L92))</f>
        <v/>
      </c>
      <c r="O92" s="16" t="str">
        <f>IF(AND(LECO!$K92="",LECO!$M92=""),"",IF(LECO!$M92="",LECO!$K92,LECO!$M92))</f>
        <v/>
      </c>
      <c r="P92" s="32"/>
      <c r="Q92" s="15" t="str">
        <f t="shared" si="1"/>
        <v/>
      </c>
      <c r="R92" s="18" t="str">
        <f>IF(OR(LECO!$H92="",LECO!$O92=""),"",MAX(LECO!$H92,LECO!$O92))</f>
        <v/>
      </c>
    </row>
    <row r="93" spans="1:18" x14ac:dyDescent="0.3">
      <c r="A93" s="26"/>
      <c r="B93" s="27"/>
      <c r="C93" s="28"/>
      <c r="D93" s="36"/>
      <c r="E93" s="19"/>
      <c r="F93" s="20"/>
      <c r="G93" s="21" t="str">
        <f>IF(OR(A93="",B93="",AND(C93="",E93=""),AND(C93&lt;Rangos!$B$1,E93="")),"",IF(C93&gt;=Rangos!$B$1,10*B93*C93,10*B93*E93))</f>
        <v/>
      </c>
      <c r="H93" s="20" t="str">
        <f>IF(AND(LECO!$D93="",LECO!$F93=""),"",IF(LECO!$F93="",LECO!$D93,LECO!$F93))</f>
        <v/>
      </c>
      <c r="I93" s="33"/>
      <c r="J93" s="28"/>
      <c r="K93" s="36"/>
      <c r="L93" s="19"/>
      <c r="M93" s="20"/>
      <c r="N93" s="19" t="str">
        <f>IF(OR(A93="",B93="",AND(J93="",L93=""),AND(J93&lt;Rangos!$B$2,L93="")),"",IF(J93&gt;=Rangos!$B$2,10*B93*J93,10*B93*L93))</f>
        <v/>
      </c>
      <c r="O93" s="20" t="str">
        <f>IF(AND(LECO!$K93="",LECO!$M93=""),"",IF(LECO!$M93="",LECO!$K93,LECO!$M93))</f>
        <v/>
      </c>
      <c r="P93" s="33"/>
      <c r="Q93" s="19" t="str">
        <f t="shared" si="1"/>
        <v/>
      </c>
      <c r="R93" s="22" t="str">
        <f>IF(OR(LECO!$H93="",LECO!$O93=""),"",MAX(LECO!$H93,LECO!$O93))</f>
        <v/>
      </c>
    </row>
    <row r="94" spans="1:18" x14ac:dyDescent="0.3">
      <c r="A94" s="23"/>
      <c r="B94" s="24"/>
      <c r="C94" s="25"/>
      <c r="D94" s="35"/>
      <c r="E94" s="15"/>
      <c r="F94" s="16"/>
      <c r="G94" s="17" t="str">
        <f>IF(OR(A94="",B94="",AND(C94="",E94=""),AND(C94&lt;Rangos!$B$1,E94="")),"",IF(C94&gt;=Rangos!$B$1,10*B94*C94,10*B94*E94))</f>
        <v/>
      </c>
      <c r="H94" s="16" t="str">
        <f>IF(AND(LECO!$D94="",LECO!$F94=""),"",IF(LECO!$F94="",LECO!$D94,LECO!$F94))</f>
        <v/>
      </c>
      <c r="I94" s="32"/>
      <c r="J94" s="25"/>
      <c r="K94" s="35"/>
      <c r="L94" s="15"/>
      <c r="M94" s="16"/>
      <c r="N94" s="15" t="str">
        <f>IF(OR(A94="",B94="",AND(J94="",L94=""),AND(J94&lt;Rangos!$B$2,L94="")),"",IF(J94&gt;=Rangos!$B$2,10*B94*J94,10*B94*L94))</f>
        <v/>
      </c>
      <c r="O94" s="16" t="str">
        <f>IF(AND(LECO!$K94="",LECO!$M94=""),"",IF(LECO!$M94="",LECO!$K94,LECO!$M94))</f>
        <v/>
      </c>
      <c r="P94" s="32"/>
      <c r="Q94" s="15" t="str">
        <f t="shared" si="1"/>
        <v/>
      </c>
      <c r="R94" s="18" t="str">
        <f>IF(OR(LECO!$H94="",LECO!$O94=""),"",MAX(LECO!$H94,LECO!$O94))</f>
        <v/>
      </c>
    </row>
    <row r="95" spans="1:18" x14ac:dyDescent="0.3">
      <c r="A95" s="26"/>
      <c r="B95" s="27"/>
      <c r="C95" s="28"/>
      <c r="D95" s="36"/>
      <c r="E95" s="19"/>
      <c r="F95" s="20"/>
      <c r="G95" s="21" t="str">
        <f>IF(OR(A95="",B95="",AND(C95="",E95=""),AND(C95&lt;Rangos!$B$1,E95="")),"",IF(C95&gt;=Rangos!$B$1,10*B95*C95,10*B95*E95))</f>
        <v/>
      </c>
      <c r="H95" s="20" t="str">
        <f>IF(AND(LECO!$D95="",LECO!$F95=""),"",IF(LECO!$F95="",LECO!$D95,LECO!$F95))</f>
        <v/>
      </c>
      <c r="I95" s="33"/>
      <c r="J95" s="28"/>
      <c r="K95" s="36"/>
      <c r="L95" s="19"/>
      <c r="M95" s="20"/>
      <c r="N95" s="19" t="str">
        <f>IF(OR(A95="",B95="",AND(J95="",L95=""),AND(J95&lt;Rangos!$B$2,L95="")),"",IF(J95&gt;=Rangos!$B$2,10*B95*J95,10*B95*L95))</f>
        <v/>
      </c>
      <c r="O95" s="20" t="str">
        <f>IF(AND(LECO!$K95="",LECO!$M95=""),"",IF(LECO!$M95="",LECO!$K95,LECO!$M95))</f>
        <v/>
      </c>
      <c r="P95" s="33"/>
      <c r="Q95" s="19" t="str">
        <f t="shared" si="1"/>
        <v/>
      </c>
      <c r="R95" s="22" t="str">
        <f>IF(OR(LECO!$H95="",LECO!$O95=""),"",MAX(LECO!$H95,LECO!$O95))</f>
        <v/>
      </c>
    </row>
    <row r="96" spans="1:18" x14ac:dyDescent="0.3">
      <c r="A96" s="23"/>
      <c r="B96" s="24"/>
      <c r="C96" s="25"/>
      <c r="D96" s="35"/>
      <c r="E96" s="15"/>
      <c r="F96" s="16"/>
      <c r="G96" s="17" t="str">
        <f>IF(OR(A96="",B96="",AND(C96="",E96=""),AND(C96&lt;Rangos!$B$1,E96="")),"",IF(C96&gt;=Rangos!$B$1,10*B96*C96,10*B96*E96))</f>
        <v/>
      </c>
      <c r="H96" s="16" t="str">
        <f>IF(AND(LECO!$D96="",LECO!$F96=""),"",IF(LECO!$F96="",LECO!$D96,LECO!$F96))</f>
        <v/>
      </c>
      <c r="I96" s="32"/>
      <c r="J96" s="25"/>
      <c r="K96" s="35"/>
      <c r="L96" s="15"/>
      <c r="M96" s="16"/>
      <c r="N96" s="15" t="str">
        <f>IF(OR(A96="",B96="",AND(J96="",L96=""),AND(J96&lt;Rangos!$B$2,L96="")),"",IF(J96&gt;=Rangos!$B$2,10*B96*J96,10*B96*L96))</f>
        <v/>
      </c>
      <c r="O96" s="16" t="str">
        <f>IF(AND(LECO!$K96="",LECO!$M96=""),"",IF(LECO!$M96="",LECO!$K96,LECO!$M96))</f>
        <v/>
      </c>
      <c r="P96" s="32"/>
      <c r="Q96" s="15" t="str">
        <f t="shared" si="1"/>
        <v/>
      </c>
      <c r="R96" s="18" t="str">
        <f>IF(OR(LECO!$H96="",LECO!$O96=""),"",MAX(LECO!$H96,LECO!$O96))</f>
        <v/>
      </c>
    </row>
    <row r="97" spans="1:18" x14ac:dyDescent="0.3">
      <c r="A97" s="26"/>
      <c r="B97" s="27"/>
      <c r="C97" s="28"/>
      <c r="D97" s="36"/>
      <c r="E97" s="19"/>
      <c r="F97" s="20"/>
      <c r="G97" s="21" t="str">
        <f>IF(OR(A97="",B97="",AND(C97="",E97=""),AND(C97&lt;Rangos!$B$1,E97="")),"",IF(C97&gt;=Rangos!$B$1,10*B97*C97,10*B97*E97))</f>
        <v/>
      </c>
      <c r="H97" s="20" t="str">
        <f>IF(AND(LECO!$D97="",LECO!$F97=""),"",IF(LECO!$F97="",LECO!$D97,LECO!$F97))</f>
        <v/>
      </c>
      <c r="I97" s="33"/>
      <c r="J97" s="28"/>
      <c r="K97" s="36"/>
      <c r="L97" s="19"/>
      <c r="M97" s="20"/>
      <c r="N97" s="19" t="str">
        <f>IF(OR(A97="",B97="",AND(J97="",L97=""),AND(J97&lt;Rangos!$B$2,L97="")),"",IF(J97&gt;=Rangos!$B$2,10*B97*J97,10*B97*L97))</f>
        <v/>
      </c>
      <c r="O97" s="20" t="str">
        <f>IF(AND(LECO!$K97="",LECO!$M97=""),"",IF(LECO!$M97="",LECO!$K97,LECO!$M97))</f>
        <v/>
      </c>
      <c r="P97" s="33"/>
      <c r="Q97" s="19" t="str">
        <f t="shared" si="1"/>
        <v/>
      </c>
      <c r="R97" s="22" t="str">
        <f>IF(OR(LECO!$H97="",LECO!$O97=""),"",MAX(LECO!$H97,LECO!$O97))</f>
        <v/>
      </c>
    </row>
    <row r="98" spans="1:18" x14ac:dyDescent="0.3">
      <c r="A98" s="23"/>
      <c r="B98" s="24"/>
      <c r="C98" s="25"/>
      <c r="D98" s="35"/>
      <c r="E98" s="15"/>
      <c r="F98" s="16"/>
      <c r="G98" s="17" t="str">
        <f>IF(OR(A98="",B98="",AND(C98="",E98=""),AND(C98&lt;Rangos!$B$1,E98="")),"",IF(C98&gt;=Rangos!$B$1,10*B98*C98,10*B98*E98))</f>
        <v/>
      </c>
      <c r="H98" s="16" t="str">
        <f>IF(AND(LECO!$D98="",LECO!$F98=""),"",IF(LECO!$F98="",LECO!$D98,LECO!$F98))</f>
        <v/>
      </c>
      <c r="I98" s="32"/>
      <c r="J98" s="25"/>
      <c r="K98" s="35"/>
      <c r="L98" s="15"/>
      <c r="M98" s="16"/>
      <c r="N98" s="15" t="str">
        <f>IF(OR(A98="",B98="",AND(J98="",L98=""),AND(J98&lt;Rangos!$B$2,L98="")),"",IF(J98&gt;=Rangos!$B$2,10*B98*J98,10*B98*L98))</f>
        <v/>
      </c>
      <c r="O98" s="16" t="str">
        <f>IF(AND(LECO!$K98="",LECO!$M98=""),"",IF(LECO!$M98="",LECO!$K98,LECO!$M98))</f>
        <v/>
      </c>
      <c r="P98" s="32"/>
      <c r="Q98" s="15" t="str">
        <f t="shared" si="1"/>
        <v/>
      </c>
      <c r="R98" s="18" t="str">
        <f>IF(OR(LECO!$H98="",LECO!$O98=""),"",MAX(LECO!$H98,LECO!$O98))</f>
        <v/>
      </c>
    </row>
    <row r="99" spans="1:18" x14ac:dyDescent="0.3">
      <c r="A99" s="26"/>
      <c r="B99" s="27"/>
      <c r="C99" s="28"/>
      <c r="D99" s="36"/>
      <c r="E99" s="19"/>
      <c r="F99" s="20"/>
      <c r="G99" s="21" t="str">
        <f>IF(OR(A99="",B99="",AND(C99="",E99=""),AND(C99&lt;Rangos!$B$1,E99="")),"",IF(C99&gt;=Rangos!$B$1,10*B99*C99,10*B99*E99))</f>
        <v/>
      </c>
      <c r="H99" s="20" t="str">
        <f>IF(AND(LECO!$D99="",LECO!$F99=""),"",IF(LECO!$F99="",LECO!$D99,LECO!$F99))</f>
        <v/>
      </c>
      <c r="I99" s="33"/>
      <c r="J99" s="28"/>
      <c r="K99" s="36"/>
      <c r="L99" s="19"/>
      <c r="M99" s="20"/>
      <c r="N99" s="19" t="str">
        <f>IF(OR(A99="",B99="",AND(J99="",L99=""),AND(J99&lt;Rangos!$B$2,L99="")),"",IF(J99&gt;=Rangos!$B$2,10*B99*J99,10*B99*L99))</f>
        <v/>
      </c>
      <c r="O99" s="20" t="str">
        <f>IF(AND(LECO!$K99="",LECO!$M99=""),"",IF(LECO!$M99="",LECO!$K99,LECO!$M99))</f>
        <v/>
      </c>
      <c r="P99" s="33"/>
      <c r="Q99" s="19" t="str">
        <f t="shared" si="1"/>
        <v/>
      </c>
      <c r="R99" s="22" t="str">
        <f>IF(OR(LECO!$H99="",LECO!$O99=""),"",MAX(LECO!$H99,LECO!$O99))</f>
        <v/>
      </c>
    </row>
    <row r="100" spans="1:18" x14ac:dyDescent="0.3">
      <c r="A100" s="23"/>
      <c r="B100" s="24"/>
      <c r="C100" s="25"/>
      <c r="D100" s="35"/>
      <c r="E100" s="15"/>
      <c r="F100" s="16"/>
      <c r="G100" s="17" t="str">
        <f>IF(OR(A100="",B100="",AND(C100="",E100=""),AND(C100&lt;Rangos!$B$1,E100="")),"",IF(C100&gt;=Rangos!$B$1,10*B100*C100,10*B100*E100))</f>
        <v/>
      </c>
      <c r="H100" s="16" t="str">
        <f>IF(AND(LECO!$D100="",LECO!$F100=""),"",IF(LECO!$F100="",LECO!$D100,LECO!$F100))</f>
        <v/>
      </c>
      <c r="I100" s="32"/>
      <c r="J100" s="25"/>
      <c r="K100" s="35"/>
      <c r="L100" s="15"/>
      <c r="M100" s="16"/>
      <c r="N100" s="15" t="str">
        <f>IF(OR(A100="",B100="",AND(J100="",L100=""),AND(J100&lt;Rangos!$B$2,L100="")),"",IF(J100&gt;=Rangos!$B$2,10*B100*J100,10*B100*L100))</f>
        <v/>
      </c>
      <c r="O100" s="16" t="str">
        <f>IF(AND(LECO!$K100="",LECO!$M100=""),"",IF(LECO!$M100="",LECO!$K100,LECO!$M100))</f>
        <v/>
      </c>
      <c r="P100" s="32"/>
      <c r="Q100" s="15" t="str">
        <f t="shared" si="1"/>
        <v/>
      </c>
      <c r="R100" s="18" t="str">
        <f>IF(OR(LECO!$H100="",LECO!$O100=""),"",MAX(LECO!$H100,LECO!$O100))</f>
        <v/>
      </c>
    </row>
    <row r="101" spans="1:18" x14ac:dyDescent="0.3">
      <c r="A101" s="26"/>
      <c r="B101" s="27"/>
      <c r="C101" s="28"/>
      <c r="D101" s="36"/>
      <c r="E101" s="19"/>
      <c r="F101" s="20"/>
      <c r="G101" s="21" t="str">
        <f>IF(OR(A101="",B101="",AND(C101="",E101=""),AND(C101&lt;Rangos!$B$1,E101="")),"",IF(C101&gt;=Rangos!$B$1,10*B101*C101,10*B101*E101))</f>
        <v/>
      </c>
      <c r="H101" s="20" t="str">
        <f>IF(AND(LECO!$D101="",LECO!$F101=""),"",IF(LECO!$F101="",LECO!$D101,LECO!$F101))</f>
        <v/>
      </c>
      <c r="I101" s="33"/>
      <c r="J101" s="28"/>
      <c r="K101" s="36"/>
      <c r="L101" s="19"/>
      <c r="M101" s="20"/>
      <c r="N101" s="19" t="str">
        <f>IF(OR(A101="",B101="",AND(J101="",L101=""),AND(J101&lt;Rangos!$B$2,L101="")),"",IF(J101&gt;=Rangos!$B$2,10*B101*J101,10*B101*L101))</f>
        <v/>
      </c>
      <c r="O101" s="20" t="str">
        <f>IF(AND(LECO!$K101="",LECO!$M101=""),"",IF(LECO!$M101="",LECO!$K101,LECO!$M101))</f>
        <v/>
      </c>
      <c r="P101" s="33"/>
      <c r="Q101" s="19" t="str">
        <f t="shared" si="1"/>
        <v/>
      </c>
      <c r="R101" s="22" t="str">
        <f>IF(OR(LECO!$H101="",LECO!$O101=""),"",MAX(LECO!$H101,LECO!$O101))</f>
        <v/>
      </c>
    </row>
    <row r="102" spans="1:18" x14ac:dyDescent="0.3">
      <c r="A102" s="23"/>
      <c r="B102" s="24"/>
      <c r="C102" s="25"/>
      <c r="D102" s="35"/>
      <c r="E102" s="15"/>
      <c r="F102" s="16"/>
      <c r="G102" s="17" t="str">
        <f>IF(OR(A102="",B102="",AND(C102="",E102=""),AND(C102&lt;Rangos!$B$1,E102="")),"",IF(C102&gt;=Rangos!$B$1,10*B102*C102,10*B102*E102))</f>
        <v/>
      </c>
      <c r="H102" s="16" t="str">
        <f>IF(AND(LECO!$D102="",LECO!$F102=""),"",IF(LECO!$F102="",LECO!$D102,LECO!$F102))</f>
        <v/>
      </c>
      <c r="I102" s="32"/>
      <c r="J102" s="25"/>
      <c r="K102" s="35"/>
      <c r="L102" s="15"/>
      <c r="M102" s="16"/>
      <c r="N102" s="15" t="str">
        <f>IF(OR(A102="",B102="",AND(J102="",L102=""),AND(J102&lt;Rangos!$B$2,L102="")),"",IF(J102&gt;=Rangos!$B$2,10*B102*J102,10*B102*L102))</f>
        <v/>
      </c>
      <c r="O102" s="16" t="str">
        <f>IF(AND(LECO!$K102="",LECO!$M102=""),"",IF(LECO!$M102="",LECO!$K102,LECO!$M102))</f>
        <v/>
      </c>
      <c r="P102" s="32"/>
      <c r="Q102" s="15" t="str">
        <f t="shared" si="1"/>
        <v/>
      </c>
      <c r="R102" s="18" t="str">
        <f>IF(OR(LECO!$H102="",LECO!$O102=""),"",MAX(LECO!$H102,LECO!$O102))</f>
        <v/>
      </c>
    </row>
    <row r="103" spans="1:18" x14ac:dyDescent="0.3">
      <c r="A103" s="26"/>
      <c r="B103" s="27"/>
      <c r="C103" s="28"/>
      <c r="D103" s="36"/>
      <c r="E103" s="19"/>
      <c r="F103" s="20"/>
      <c r="G103" s="21" t="str">
        <f>IF(OR(A103="",B103="",AND(C103="",E103=""),AND(C103&lt;Rangos!$B$1,E103="")),"",IF(C103&gt;=Rangos!$B$1,10*B103*C103,10*B103*E103))</f>
        <v/>
      </c>
      <c r="H103" s="20" t="str">
        <f>IF(AND(LECO!$D103="",LECO!$F103=""),"",IF(LECO!$F103="",LECO!$D103,LECO!$F103))</f>
        <v/>
      </c>
      <c r="I103" s="33"/>
      <c r="J103" s="28"/>
      <c r="K103" s="36"/>
      <c r="L103" s="19"/>
      <c r="M103" s="20"/>
      <c r="N103" s="19" t="str">
        <f>IF(OR(A103="",B103="",AND(J103="",L103=""),AND(J103&lt;Rangos!$B$2,L103="")),"",IF(J103&gt;=Rangos!$B$2,10*B103*J103,10*B103*L103))</f>
        <v/>
      </c>
      <c r="O103" s="20" t="str">
        <f>IF(AND(LECO!$K103="",LECO!$M103=""),"",IF(LECO!$M103="",LECO!$K103,LECO!$M103))</f>
        <v/>
      </c>
      <c r="P103" s="33"/>
      <c r="Q103" s="19" t="str">
        <f t="shared" si="1"/>
        <v/>
      </c>
      <c r="R103" s="22" t="str">
        <f>IF(OR(LECO!$H103="",LECO!$O103=""),"",MAX(LECO!$H103,LECO!$O103))</f>
        <v/>
      </c>
    </row>
    <row r="104" spans="1:18" x14ac:dyDescent="0.3">
      <c r="A104" s="23"/>
      <c r="B104" s="24"/>
      <c r="C104" s="25"/>
      <c r="D104" s="35"/>
      <c r="E104" s="15"/>
      <c r="F104" s="16"/>
      <c r="G104" s="17" t="str">
        <f>IF(OR(A104="",B104="",AND(C104="",E104=""),AND(C104&lt;Rangos!$B$1,E104="")),"",IF(C104&gt;=Rangos!$B$1,10*B104*C104,10*B104*E104))</f>
        <v/>
      </c>
      <c r="H104" s="16" t="str">
        <f>IF(AND(LECO!$D104="",LECO!$F104=""),"",IF(LECO!$F104="",LECO!$D104,LECO!$F104))</f>
        <v/>
      </c>
      <c r="I104" s="32"/>
      <c r="J104" s="25"/>
      <c r="K104" s="35"/>
      <c r="L104" s="15"/>
      <c r="M104" s="16"/>
      <c r="N104" s="15" t="str">
        <f>IF(OR(A104="",B104="",AND(J104="",L104=""),AND(J104&lt;Rangos!$B$2,L104="")),"",IF(J104&gt;=Rangos!$B$2,10*B104*J104,10*B104*L104))</f>
        <v/>
      </c>
      <c r="O104" s="16" t="str">
        <f>IF(AND(LECO!$K104="",LECO!$M104=""),"",IF(LECO!$M104="",LECO!$K104,LECO!$M104))</f>
        <v/>
      </c>
      <c r="P104" s="32"/>
      <c r="Q104" s="15" t="str">
        <f t="shared" si="1"/>
        <v/>
      </c>
      <c r="R104" s="18" t="str">
        <f>IF(OR(LECO!$H104="",LECO!$O104=""),"",MAX(LECO!$H104,LECO!$O104))</f>
        <v/>
      </c>
    </row>
    <row r="105" spans="1:18" x14ac:dyDescent="0.3">
      <c r="A105" s="26"/>
      <c r="B105" s="27"/>
      <c r="C105" s="28"/>
      <c r="D105" s="36"/>
      <c r="E105" s="19"/>
      <c r="F105" s="20"/>
      <c r="G105" s="21" t="str">
        <f>IF(OR(A105="",B105="",AND(C105="",E105=""),AND(C105&lt;Rangos!$B$1,E105="")),"",IF(C105&gt;=Rangos!$B$1,10*B105*C105,10*B105*E105))</f>
        <v/>
      </c>
      <c r="H105" s="20" t="str">
        <f>IF(AND(LECO!$D105="",LECO!$F105=""),"",IF(LECO!$F105="",LECO!$D105,LECO!$F105))</f>
        <v/>
      </c>
      <c r="I105" s="33"/>
      <c r="J105" s="28"/>
      <c r="K105" s="36"/>
      <c r="L105" s="19"/>
      <c r="M105" s="20"/>
      <c r="N105" s="19" t="str">
        <f>IF(OR(A105="",B105="",AND(J105="",L105=""),AND(J105&lt;Rangos!$B$2,L105="")),"",IF(J105&gt;=Rangos!$B$2,10*B105*J105,10*B105*L105))</f>
        <v/>
      </c>
      <c r="O105" s="20" t="str">
        <f>IF(AND(LECO!$K105="",LECO!$M105=""),"",IF(LECO!$M105="",LECO!$K105,LECO!$M105))</f>
        <v/>
      </c>
      <c r="P105" s="33"/>
      <c r="Q105" s="19" t="str">
        <f t="shared" si="1"/>
        <v/>
      </c>
      <c r="R105" s="22" t="str">
        <f>IF(OR(LECO!$H105="",LECO!$O105=""),"",MAX(LECO!$H105,LECO!$O105))</f>
        <v/>
      </c>
    </row>
    <row r="106" spans="1:18" x14ac:dyDescent="0.3">
      <c r="A106" s="23"/>
      <c r="B106" s="24"/>
      <c r="C106" s="25"/>
      <c r="D106" s="35"/>
      <c r="E106" s="15"/>
      <c r="F106" s="16"/>
      <c r="G106" s="17" t="str">
        <f>IF(OR(A106="",B106="",AND(C106="",E106=""),AND(C106&lt;Rangos!$B$1,E106="")),"",IF(C106&gt;=Rangos!$B$1,10*B106*C106,10*B106*E106))</f>
        <v/>
      </c>
      <c r="H106" s="16" t="str">
        <f>IF(AND(LECO!$D106="",LECO!$F106=""),"",IF(LECO!$F106="",LECO!$D106,LECO!$F106))</f>
        <v/>
      </c>
      <c r="I106" s="32"/>
      <c r="J106" s="25"/>
      <c r="K106" s="35"/>
      <c r="L106" s="15"/>
      <c r="M106" s="16"/>
      <c r="N106" s="15" t="str">
        <f>IF(OR(A106="",B106="",AND(J106="",L106=""),AND(J106&lt;Rangos!$B$2,L106="")),"",IF(J106&gt;=Rangos!$B$2,10*B106*J106,10*B106*L106))</f>
        <v/>
      </c>
      <c r="O106" s="16" t="str">
        <f>IF(AND(LECO!$K106="",LECO!$M106=""),"",IF(LECO!$M106="",LECO!$K106,LECO!$M106))</f>
        <v/>
      </c>
      <c r="P106" s="32"/>
      <c r="Q106" s="15" t="str">
        <f t="shared" si="1"/>
        <v/>
      </c>
      <c r="R106" s="18" t="str">
        <f>IF(OR(LECO!$H106="",LECO!$O106=""),"",MAX(LECO!$H106,LECO!$O106))</f>
        <v/>
      </c>
    </row>
    <row r="107" spans="1:18" x14ac:dyDescent="0.3">
      <c r="A107" s="26"/>
      <c r="B107" s="27"/>
      <c r="C107" s="28"/>
      <c r="D107" s="36"/>
      <c r="E107" s="19"/>
      <c r="F107" s="20"/>
      <c r="G107" s="21" t="str">
        <f>IF(OR(A107="",B107="",AND(C107="",E107=""),AND(C107&lt;Rangos!$B$1,E107="")),"",IF(C107&gt;=Rangos!$B$1,10*B107*C107,10*B107*E107))</f>
        <v/>
      </c>
      <c r="H107" s="20" t="str">
        <f>IF(AND(LECO!$D107="",LECO!$F107=""),"",IF(LECO!$F107="",LECO!$D107,LECO!$F107))</f>
        <v/>
      </c>
      <c r="I107" s="33"/>
      <c r="J107" s="28"/>
      <c r="K107" s="36"/>
      <c r="L107" s="19"/>
      <c r="M107" s="20"/>
      <c r="N107" s="19" t="str">
        <f>IF(OR(A107="",B107="",AND(J107="",L107=""),AND(J107&lt;Rangos!$B$2,L107="")),"",IF(J107&gt;=Rangos!$B$2,10*B107*J107,10*B107*L107))</f>
        <v/>
      </c>
      <c r="O107" s="20" t="str">
        <f>IF(AND(LECO!$K107="",LECO!$M107=""),"",IF(LECO!$M107="",LECO!$K107,LECO!$M107))</f>
        <v/>
      </c>
      <c r="P107" s="33"/>
      <c r="Q107" s="19" t="str">
        <f t="shared" si="1"/>
        <v/>
      </c>
      <c r="R107" s="22" t="str">
        <f>IF(OR(LECO!$H107="",LECO!$O107=""),"",MAX(LECO!$H107,LECO!$O107))</f>
        <v/>
      </c>
    </row>
    <row r="108" spans="1:18" x14ac:dyDescent="0.3">
      <c r="A108" s="23"/>
      <c r="B108" s="24"/>
      <c r="C108" s="25"/>
      <c r="D108" s="35"/>
      <c r="E108" s="15"/>
      <c r="F108" s="16"/>
      <c r="G108" s="17" t="str">
        <f>IF(OR(A108="",B108="",AND(C108="",E108=""),AND(C108&lt;Rangos!$B$1,E108="")),"",IF(C108&gt;=Rangos!$B$1,10*B108*C108,10*B108*E108))</f>
        <v/>
      </c>
      <c r="H108" s="16" t="str">
        <f>IF(AND(LECO!$D108="",LECO!$F108=""),"",IF(LECO!$F108="",LECO!$D108,LECO!$F108))</f>
        <v/>
      </c>
      <c r="I108" s="32"/>
      <c r="J108" s="25"/>
      <c r="K108" s="35"/>
      <c r="L108" s="15"/>
      <c r="M108" s="16"/>
      <c r="N108" s="15" t="str">
        <f>IF(OR(A108="",B108="",AND(J108="",L108=""),AND(J108&lt;Rangos!$B$2,L108="")),"",IF(J108&gt;=Rangos!$B$2,10*B108*J108,10*B108*L108))</f>
        <v/>
      </c>
      <c r="O108" s="16" t="str">
        <f>IF(AND(LECO!$K108="",LECO!$M108=""),"",IF(LECO!$M108="",LECO!$K108,LECO!$M108))</f>
        <v/>
      </c>
      <c r="P108" s="32"/>
      <c r="Q108" s="15" t="str">
        <f t="shared" si="1"/>
        <v/>
      </c>
      <c r="R108" s="18" t="str">
        <f>IF(OR(LECO!$H108="",LECO!$O108=""),"",MAX(LECO!$H108,LECO!$O108))</f>
        <v/>
      </c>
    </row>
    <row r="109" spans="1:18" x14ac:dyDescent="0.3">
      <c r="A109" s="26"/>
      <c r="B109" s="27"/>
      <c r="C109" s="28"/>
      <c r="D109" s="36"/>
      <c r="E109" s="19"/>
      <c r="F109" s="20"/>
      <c r="G109" s="21" t="str">
        <f>IF(OR(A109="",B109="",AND(C109="",E109=""),AND(C109&lt;Rangos!$B$1,E109="")),"",IF(C109&gt;=Rangos!$B$1,10*B109*C109,10*B109*E109))</f>
        <v/>
      </c>
      <c r="H109" s="20" t="str">
        <f>IF(AND(LECO!$D109="",LECO!$F109=""),"",IF(LECO!$F109="",LECO!$D109,LECO!$F109))</f>
        <v/>
      </c>
      <c r="I109" s="33"/>
      <c r="J109" s="28"/>
      <c r="K109" s="36"/>
      <c r="L109" s="19"/>
      <c r="M109" s="20"/>
      <c r="N109" s="19" t="str">
        <f>IF(OR(A109="",B109="",AND(J109="",L109=""),AND(J109&lt;Rangos!$B$2,L109="")),"",IF(J109&gt;=Rangos!$B$2,10*B109*J109,10*B109*L109))</f>
        <v/>
      </c>
      <c r="O109" s="20" t="str">
        <f>IF(AND(LECO!$K109="",LECO!$M109=""),"",IF(LECO!$M109="",LECO!$K109,LECO!$M109))</f>
        <v/>
      </c>
      <c r="P109" s="33"/>
      <c r="Q109" s="19" t="str">
        <f t="shared" si="1"/>
        <v/>
      </c>
      <c r="R109" s="22" t="str">
        <f>IF(OR(LECO!$H109="",LECO!$O109=""),"",MAX(LECO!$H109,LECO!$O109))</f>
        <v/>
      </c>
    </row>
    <row r="110" spans="1:18" x14ac:dyDescent="0.3">
      <c r="A110" s="23"/>
      <c r="B110" s="24"/>
      <c r="C110" s="25"/>
      <c r="D110" s="35"/>
      <c r="E110" s="15"/>
      <c r="F110" s="16"/>
      <c r="G110" s="17" t="str">
        <f>IF(OR(A110="",B110="",AND(C110="",E110=""),AND(C110&lt;Rangos!$B$1,E110="")),"",IF(C110&gt;=Rangos!$B$1,10*B110*C110,10*B110*E110))</f>
        <v/>
      </c>
      <c r="H110" s="16" t="str">
        <f>IF(AND(LECO!$D110="",LECO!$F110=""),"",IF(LECO!$F110="",LECO!$D110,LECO!$F110))</f>
        <v/>
      </c>
      <c r="I110" s="32"/>
      <c r="J110" s="25"/>
      <c r="K110" s="35"/>
      <c r="L110" s="15"/>
      <c r="M110" s="16"/>
      <c r="N110" s="15" t="str">
        <f>IF(OR(A110="",B110="",AND(J110="",L110=""),AND(J110&lt;Rangos!$B$2,L110="")),"",IF(J110&gt;=Rangos!$B$2,10*B110*J110,10*B110*L110))</f>
        <v/>
      </c>
      <c r="O110" s="16" t="str">
        <f>IF(AND(LECO!$K110="",LECO!$M110=""),"",IF(LECO!$M110="",LECO!$K110,LECO!$M110))</f>
        <v/>
      </c>
      <c r="P110" s="32"/>
      <c r="Q110" s="15" t="str">
        <f t="shared" si="1"/>
        <v/>
      </c>
      <c r="R110" s="18" t="str">
        <f>IF(OR(LECO!$H110="",LECO!$O110=""),"",MAX(LECO!$H110,LECO!$O110))</f>
        <v/>
      </c>
    </row>
    <row r="111" spans="1:18" x14ac:dyDescent="0.3">
      <c r="A111" s="26"/>
      <c r="B111" s="27"/>
      <c r="C111" s="28"/>
      <c r="D111" s="36"/>
      <c r="E111" s="19"/>
      <c r="F111" s="20"/>
      <c r="G111" s="21" t="str">
        <f>IF(OR(A111="",B111="",AND(C111="",E111=""),AND(C111&lt;Rangos!$B$1,E111="")),"",IF(C111&gt;=Rangos!$B$1,10*B111*C111,10*B111*E111))</f>
        <v/>
      </c>
      <c r="H111" s="20" t="str">
        <f>IF(AND(LECO!$D111="",LECO!$F111=""),"",IF(LECO!$F111="",LECO!$D111,LECO!$F111))</f>
        <v/>
      </c>
      <c r="I111" s="33"/>
      <c r="J111" s="28"/>
      <c r="K111" s="36"/>
      <c r="L111" s="19"/>
      <c r="M111" s="20"/>
      <c r="N111" s="19" t="str">
        <f>IF(OR(A111="",B111="",AND(J111="",L111=""),AND(J111&lt;Rangos!$B$2,L111="")),"",IF(J111&gt;=Rangos!$B$2,10*B111*J111,10*B111*L111))</f>
        <v/>
      </c>
      <c r="O111" s="20" t="str">
        <f>IF(AND(LECO!$K111="",LECO!$M111=""),"",IF(LECO!$M111="",LECO!$K111,LECO!$M111))</f>
        <v/>
      </c>
      <c r="P111" s="33"/>
      <c r="Q111" s="19" t="str">
        <f t="shared" si="1"/>
        <v/>
      </c>
      <c r="R111" s="22" t="str">
        <f>IF(OR(LECO!$H111="",LECO!$O111=""),"",MAX(LECO!$H111,LECO!$O111))</f>
        <v/>
      </c>
    </row>
    <row r="112" spans="1:18" x14ac:dyDescent="0.3">
      <c r="A112" s="23"/>
      <c r="B112" s="24"/>
      <c r="C112" s="25"/>
      <c r="D112" s="35"/>
      <c r="E112" s="15"/>
      <c r="F112" s="16"/>
      <c r="G112" s="17" t="str">
        <f>IF(OR(A112="",B112="",AND(C112="",E112=""),AND(C112&lt;Rangos!$B$1,E112="")),"",IF(C112&gt;=Rangos!$B$1,10*B112*C112,10*B112*E112))</f>
        <v/>
      </c>
      <c r="H112" s="16" t="str">
        <f>IF(AND(LECO!$D112="",LECO!$F112=""),"",IF(LECO!$F112="",LECO!$D112,LECO!$F112))</f>
        <v/>
      </c>
      <c r="I112" s="32"/>
      <c r="J112" s="25"/>
      <c r="K112" s="35"/>
      <c r="L112" s="15"/>
      <c r="M112" s="16"/>
      <c r="N112" s="15" t="str">
        <f>IF(OR(A112="",B112="",AND(J112="",L112=""),AND(J112&lt;Rangos!$B$2,L112="")),"",IF(J112&gt;=Rangos!$B$2,10*B112*J112,10*B112*L112))</f>
        <v/>
      </c>
      <c r="O112" s="16" t="str">
        <f>IF(AND(LECO!$K112="",LECO!$M112=""),"",IF(LECO!$M112="",LECO!$K112,LECO!$M112))</f>
        <v/>
      </c>
      <c r="P112" s="32"/>
      <c r="Q112" s="15" t="str">
        <f t="shared" si="1"/>
        <v/>
      </c>
      <c r="R112" s="18" t="str">
        <f>IF(OR(LECO!$H112="",LECO!$O112=""),"",MAX(LECO!$H112,LECO!$O112))</f>
        <v/>
      </c>
    </row>
    <row r="113" spans="1:18" x14ac:dyDescent="0.3">
      <c r="A113" s="26"/>
      <c r="B113" s="27"/>
      <c r="C113" s="28"/>
      <c r="D113" s="36"/>
      <c r="E113" s="19"/>
      <c r="F113" s="20"/>
      <c r="G113" s="21" t="str">
        <f>IF(OR(A113="",B113="",AND(C113="",E113=""),AND(C113&lt;Rangos!$B$1,E113="")),"",IF(C113&gt;=Rangos!$B$1,10*B113*C113,10*B113*E113))</f>
        <v/>
      </c>
      <c r="H113" s="20" t="str">
        <f>IF(AND(LECO!$D113="",LECO!$F113=""),"",IF(LECO!$F113="",LECO!$D113,LECO!$F113))</f>
        <v/>
      </c>
      <c r="I113" s="33"/>
      <c r="J113" s="28"/>
      <c r="K113" s="36"/>
      <c r="L113" s="19"/>
      <c r="M113" s="20"/>
      <c r="N113" s="19" t="str">
        <f>IF(OR(A113="",B113="",AND(J113="",L113=""),AND(J113&lt;Rangos!$B$2,L113="")),"",IF(J113&gt;=Rangos!$B$2,10*B113*J113,10*B113*L113))</f>
        <v/>
      </c>
      <c r="O113" s="20" t="str">
        <f>IF(AND(LECO!$K113="",LECO!$M113=""),"",IF(LECO!$M113="",LECO!$K113,LECO!$M113))</f>
        <v/>
      </c>
      <c r="P113" s="33"/>
      <c r="Q113" s="19" t="str">
        <f t="shared" si="1"/>
        <v/>
      </c>
      <c r="R113" s="22" t="str">
        <f>IF(OR(LECO!$H113="",LECO!$O113=""),"",MAX(LECO!$H113,LECO!$O113))</f>
        <v/>
      </c>
    </row>
    <row r="114" spans="1:18" x14ac:dyDescent="0.3">
      <c r="A114" s="23"/>
      <c r="B114" s="24"/>
      <c r="C114" s="25"/>
      <c r="D114" s="35"/>
      <c r="E114" s="15"/>
      <c r="F114" s="16"/>
      <c r="G114" s="17" t="str">
        <f>IF(OR(A114="",B114="",AND(C114="",E114=""),AND(C114&lt;Rangos!$B$1,E114="")),"",IF(C114&gt;=Rangos!$B$1,10*B114*C114,10*B114*E114))</f>
        <v/>
      </c>
      <c r="H114" s="16" t="str">
        <f>IF(AND(LECO!$D114="",LECO!$F114=""),"",IF(LECO!$F114="",LECO!$D114,LECO!$F114))</f>
        <v/>
      </c>
      <c r="I114" s="32"/>
      <c r="J114" s="25"/>
      <c r="K114" s="35"/>
      <c r="L114" s="15"/>
      <c r="M114" s="16"/>
      <c r="N114" s="15" t="str">
        <f>IF(OR(A114="",B114="",AND(J114="",L114=""),AND(J114&lt;Rangos!$B$2,L114="")),"",IF(J114&gt;=Rangos!$B$2,10*B114*J114,10*B114*L114))</f>
        <v/>
      </c>
      <c r="O114" s="16" t="str">
        <f>IF(AND(LECO!$K114="",LECO!$M114=""),"",IF(LECO!$M114="",LECO!$K114,LECO!$M114))</f>
        <v/>
      </c>
      <c r="P114" s="32"/>
      <c r="Q114" s="15" t="str">
        <f t="shared" si="1"/>
        <v/>
      </c>
      <c r="R114" s="18" t="str">
        <f>IF(OR(LECO!$H114="",LECO!$O114=""),"",MAX(LECO!$H114,LECO!$O114))</f>
        <v/>
      </c>
    </row>
    <row r="115" spans="1:18" x14ac:dyDescent="0.3">
      <c r="A115" s="26"/>
      <c r="B115" s="27"/>
      <c r="C115" s="28"/>
      <c r="D115" s="36"/>
      <c r="E115" s="19"/>
      <c r="F115" s="20"/>
      <c r="G115" s="21" t="str">
        <f>IF(OR(A115="",B115="",AND(C115="",E115=""),AND(C115&lt;Rangos!$B$1,E115="")),"",IF(C115&gt;=Rangos!$B$1,10*B115*C115,10*B115*E115))</f>
        <v/>
      </c>
      <c r="H115" s="20" t="str">
        <f>IF(AND(LECO!$D115="",LECO!$F115=""),"",IF(LECO!$F115="",LECO!$D115,LECO!$F115))</f>
        <v/>
      </c>
      <c r="I115" s="33"/>
      <c r="J115" s="28"/>
      <c r="K115" s="36"/>
      <c r="L115" s="19"/>
      <c r="M115" s="20"/>
      <c r="N115" s="19" t="str">
        <f>IF(OR(A115="",B115="",AND(J115="",L115=""),AND(J115&lt;Rangos!$B$2,L115="")),"",IF(J115&gt;=Rangos!$B$2,10*B115*J115,10*B115*L115))</f>
        <v/>
      </c>
      <c r="O115" s="20" t="str">
        <f>IF(AND(LECO!$K115="",LECO!$M115=""),"",IF(LECO!$M115="",LECO!$K115,LECO!$M115))</f>
        <v/>
      </c>
      <c r="P115" s="33"/>
      <c r="Q115" s="19" t="str">
        <f t="shared" si="1"/>
        <v/>
      </c>
      <c r="R115" s="22" t="str">
        <f>IF(OR(LECO!$H115="",LECO!$O115=""),"",MAX(LECO!$H115,LECO!$O115))</f>
        <v/>
      </c>
    </row>
    <row r="116" spans="1:18" x14ac:dyDescent="0.3">
      <c r="A116" s="23"/>
      <c r="B116" s="24"/>
      <c r="C116" s="25"/>
      <c r="D116" s="35"/>
      <c r="E116" s="15"/>
      <c r="F116" s="16"/>
      <c r="G116" s="17" t="str">
        <f>IF(OR(A116="",B116="",AND(C116="",E116=""),AND(C116&lt;Rangos!$B$1,E116="")),"",IF(C116&gt;=Rangos!$B$1,10*B116*C116,10*B116*E116))</f>
        <v/>
      </c>
      <c r="H116" s="16" t="str">
        <f>IF(AND(LECO!$D116="",LECO!$F116=""),"",IF(LECO!$F116="",LECO!$D116,LECO!$F116))</f>
        <v/>
      </c>
      <c r="I116" s="32"/>
      <c r="J116" s="25"/>
      <c r="K116" s="35"/>
      <c r="L116" s="15"/>
      <c r="M116" s="16"/>
      <c r="N116" s="15" t="str">
        <f>IF(OR(A116="",B116="",AND(J116="",L116=""),AND(J116&lt;Rangos!$B$2,L116="")),"",IF(J116&gt;=Rangos!$B$2,10*B116*J116,10*B116*L116))</f>
        <v/>
      </c>
      <c r="O116" s="16" t="str">
        <f>IF(AND(LECO!$K116="",LECO!$M116=""),"",IF(LECO!$M116="",LECO!$K116,LECO!$M116))</f>
        <v/>
      </c>
      <c r="P116" s="32"/>
      <c r="Q116" s="15" t="str">
        <f t="shared" si="1"/>
        <v/>
      </c>
      <c r="R116" s="18" t="str">
        <f>IF(OR(LECO!$H116="",LECO!$O116=""),"",MAX(LECO!$H116,LECO!$O116))</f>
        <v/>
      </c>
    </row>
    <row r="117" spans="1:18" x14ac:dyDescent="0.3">
      <c r="A117" s="26"/>
      <c r="B117" s="27"/>
      <c r="C117" s="28"/>
      <c r="D117" s="36"/>
      <c r="E117" s="19"/>
      <c r="F117" s="20"/>
      <c r="G117" s="21" t="str">
        <f>IF(OR(A117="",B117="",AND(C117="",E117=""),AND(C117&lt;Rangos!$B$1,E117="")),"",IF(C117&gt;=Rangos!$B$1,10*B117*C117,10*B117*E117))</f>
        <v/>
      </c>
      <c r="H117" s="20" t="str">
        <f>IF(AND(LECO!$D117="",LECO!$F117=""),"",IF(LECO!$F117="",LECO!$D117,LECO!$F117))</f>
        <v/>
      </c>
      <c r="I117" s="33"/>
      <c r="J117" s="28"/>
      <c r="K117" s="36"/>
      <c r="L117" s="19"/>
      <c r="M117" s="20"/>
      <c r="N117" s="19" t="str">
        <f>IF(OR(A117="",B117="",AND(J117="",L117=""),AND(J117&lt;Rangos!$B$2,L117="")),"",IF(J117&gt;=Rangos!$B$2,10*B117*J117,10*B117*L117))</f>
        <v/>
      </c>
      <c r="O117" s="20" t="str">
        <f>IF(AND(LECO!$K117="",LECO!$M117=""),"",IF(LECO!$M117="",LECO!$K117,LECO!$M117))</f>
        <v/>
      </c>
      <c r="P117" s="33"/>
      <c r="Q117" s="19" t="str">
        <f t="shared" si="1"/>
        <v/>
      </c>
      <c r="R117" s="22" t="str">
        <f>IF(OR(LECO!$H117="",LECO!$O117=""),"",MAX(LECO!$H117,LECO!$O117))</f>
        <v/>
      </c>
    </row>
    <row r="118" spans="1:18" x14ac:dyDescent="0.3">
      <c r="A118" s="23"/>
      <c r="B118" s="24"/>
      <c r="C118" s="25"/>
      <c r="D118" s="35"/>
      <c r="E118" s="15"/>
      <c r="F118" s="16"/>
      <c r="G118" s="17" t="str">
        <f>IF(OR(A118="",B118="",AND(C118="",E118=""),AND(C118&lt;Rangos!$B$1,E118="")),"",IF(C118&gt;=Rangos!$B$1,10*B118*C118,10*B118*E118))</f>
        <v/>
      </c>
      <c r="H118" s="16" t="str">
        <f>IF(AND(LECO!$D118="",LECO!$F118=""),"",IF(LECO!$F118="",LECO!$D118,LECO!$F118))</f>
        <v/>
      </c>
      <c r="I118" s="32"/>
      <c r="J118" s="25"/>
      <c r="K118" s="35"/>
      <c r="L118" s="15"/>
      <c r="M118" s="16"/>
      <c r="N118" s="15" t="str">
        <f>IF(OR(A118="",B118="",AND(J118="",L118=""),AND(J118&lt;Rangos!$B$2,L118="")),"",IF(J118&gt;=Rangos!$B$2,10*B118*J118,10*B118*L118))</f>
        <v/>
      </c>
      <c r="O118" s="16" t="str">
        <f>IF(AND(LECO!$K118="",LECO!$M118=""),"",IF(LECO!$M118="",LECO!$K118,LECO!$M118))</f>
        <v/>
      </c>
      <c r="P118" s="32"/>
      <c r="Q118" s="15" t="str">
        <f t="shared" si="1"/>
        <v/>
      </c>
      <c r="R118" s="18" t="str">
        <f>IF(OR(LECO!$H118="",LECO!$O118=""),"",MAX(LECO!$H118,LECO!$O118))</f>
        <v/>
      </c>
    </row>
    <row r="119" spans="1:18" x14ac:dyDescent="0.3">
      <c r="A119" s="26"/>
      <c r="B119" s="27"/>
      <c r="C119" s="28"/>
      <c r="D119" s="36"/>
      <c r="E119" s="19"/>
      <c r="F119" s="20"/>
      <c r="G119" s="21" t="str">
        <f>IF(OR(A119="",B119="",AND(C119="",E119=""),AND(C119&lt;Rangos!$B$1,E119="")),"",IF(C119&gt;=Rangos!$B$1,10*B119*C119,10*B119*E119))</f>
        <v/>
      </c>
      <c r="H119" s="20" t="str">
        <f>IF(AND(LECO!$D119="",LECO!$F119=""),"",IF(LECO!$F119="",LECO!$D119,LECO!$F119))</f>
        <v/>
      </c>
      <c r="I119" s="33"/>
      <c r="J119" s="28"/>
      <c r="K119" s="36"/>
      <c r="L119" s="19"/>
      <c r="M119" s="20"/>
      <c r="N119" s="19" t="str">
        <f>IF(OR(A119="",B119="",AND(J119="",L119=""),AND(J119&lt;Rangos!$B$2,L119="")),"",IF(J119&gt;=Rangos!$B$2,10*B119*J119,10*B119*L119))</f>
        <v/>
      </c>
      <c r="O119" s="20" t="str">
        <f>IF(AND(LECO!$K119="",LECO!$M119=""),"",IF(LECO!$M119="",LECO!$K119,LECO!$M119))</f>
        <v/>
      </c>
      <c r="P119" s="33"/>
      <c r="Q119" s="19" t="str">
        <f t="shared" si="1"/>
        <v/>
      </c>
      <c r="R119" s="22" t="str">
        <f>IF(OR(LECO!$H119="",LECO!$O119=""),"",MAX(LECO!$H119,LECO!$O119))</f>
        <v/>
      </c>
    </row>
    <row r="120" spans="1:18" x14ac:dyDescent="0.3">
      <c r="A120" s="23"/>
      <c r="B120" s="24"/>
      <c r="C120" s="25"/>
      <c r="D120" s="35"/>
      <c r="E120" s="15"/>
      <c r="F120" s="16"/>
      <c r="G120" s="17" t="str">
        <f>IF(OR(A120="",B120="",AND(C120="",E120=""),AND(C120&lt;Rangos!$B$1,E120="")),"",IF(C120&gt;=Rangos!$B$1,10*B120*C120,10*B120*E120))</f>
        <v/>
      </c>
      <c r="H120" s="16" t="str">
        <f>IF(AND(LECO!$D120="",LECO!$F120=""),"",IF(LECO!$F120="",LECO!$D120,LECO!$F120))</f>
        <v/>
      </c>
      <c r="I120" s="32"/>
      <c r="J120" s="25"/>
      <c r="K120" s="35"/>
      <c r="L120" s="15"/>
      <c r="M120" s="16"/>
      <c r="N120" s="15" t="str">
        <f>IF(OR(A120="",B120="",AND(J120="",L120=""),AND(J120&lt;Rangos!$B$2,L120="")),"",IF(J120&gt;=Rangos!$B$2,10*B120*J120,10*B120*L120))</f>
        <v/>
      </c>
      <c r="O120" s="16" t="str">
        <f>IF(AND(LECO!$K120="",LECO!$M120=""),"",IF(LECO!$M120="",LECO!$K120,LECO!$M120))</f>
        <v/>
      </c>
      <c r="P120" s="32"/>
      <c r="Q120" s="15" t="str">
        <f t="shared" si="1"/>
        <v/>
      </c>
      <c r="R120" s="18" t="str">
        <f>IF(OR(LECO!$H120="",LECO!$O120=""),"",MAX(LECO!$H120,LECO!$O120))</f>
        <v/>
      </c>
    </row>
    <row r="121" spans="1:18" x14ac:dyDescent="0.3">
      <c r="A121" s="26"/>
      <c r="B121" s="27"/>
      <c r="C121" s="28"/>
      <c r="D121" s="36"/>
      <c r="E121" s="19"/>
      <c r="F121" s="20"/>
      <c r="G121" s="21" t="str">
        <f>IF(OR(A121="",B121="",AND(C121="",E121=""),AND(C121&lt;Rangos!$B$1,E121="")),"",IF(C121&gt;=Rangos!$B$1,10*B121*C121,10*B121*E121))</f>
        <v/>
      </c>
      <c r="H121" s="20" t="str">
        <f>IF(AND(LECO!$D121="",LECO!$F121=""),"",IF(LECO!$F121="",LECO!$D121,LECO!$F121))</f>
        <v/>
      </c>
      <c r="I121" s="33"/>
      <c r="J121" s="28"/>
      <c r="K121" s="36"/>
      <c r="L121" s="19"/>
      <c r="M121" s="20"/>
      <c r="N121" s="19" t="str">
        <f>IF(OR(A121="",B121="",AND(J121="",L121=""),AND(J121&lt;Rangos!$B$2,L121="")),"",IF(J121&gt;=Rangos!$B$2,10*B121*J121,10*B121*L121))</f>
        <v/>
      </c>
      <c r="O121" s="20" t="str">
        <f>IF(AND(LECO!$K121="",LECO!$M121=""),"",IF(LECO!$M121="",LECO!$K121,LECO!$M121))</f>
        <v/>
      </c>
      <c r="P121" s="33"/>
      <c r="Q121" s="19" t="str">
        <f t="shared" si="1"/>
        <v/>
      </c>
      <c r="R121" s="22" t="str">
        <f>IF(OR(LECO!$H121="",LECO!$O121=""),"",MAX(LECO!$H121,LECO!$O121))</f>
        <v/>
      </c>
    </row>
    <row r="122" spans="1:18" x14ac:dyDescent="0.3">
      <c r="A122" s="23"/>
      <c r="B122" s="24"/>
      <c r="C122" s="25"/>
      <c r="D122" s="35"/>
      <c r="E122" s="15"/>
      <c r="F122" s="16"/>
      <c r="G122" s="17" t="str">
        <f>IF(OR(A122="",B122="",AND(C122="",E122=""),AND(C122&lt;Rangos!$B$1,E122="")),"",IF(C122&gt;=Rangos!$B$1,10*B122*C122,10*B122*E122))</f>
        <v/>
      </c>
      <c r="H122" s="16" t="str">
        <f>IF(AND(LECO!$D122="",LECO!$F122=""),"",IF(LECO!$F122="",LECO!$D122,LECO!$F122))</f>
        <v/>
      </c>
      <c r="I122" s="32"/>
      <c r="J122" s="25"/>
      <c r="K122" s="35"/>
      <c r="L122" s="15"/>
      <c r="M122" s="16"/>
      <c r="N122" s="15" t="str">
        <f>IF(OR(A122="",B122="",AND(J122="",L122=""),AND(J122&lt;Rangos!$B$2,L122="")),"",IF(J122&gt;=Rangos!$B$2,10*B122*J122,10*B122*L122))</f>
        <v/>
      </c>
      <c r="O122" s="16" t="str">
        <f>IF(AND(LECO!$K122="",LECO!$M122=""),"",IF(LECO!$M122="",LECO!$K122,LECO!$M122))</f>
        <v/>
      </c>
      <c r="P122" s="32"/>
      <c r="Q122" s="15" t="str">
        <f t="shared" si="1"/>
        <v/>
      </c>
      <c r="R122" s="18" t="str">
        <f>IF(OR(LECO!$H122="",LECO!$O122=""),"",MAX(LECO!$H122,LECO!$O122))</f>
        <v/>
      </c>
    </row>
    <row r="123" spans="1:18" x14ac:dyDescent="0.3">
      <c r="A123" s="26"/>
      <c r="B123" s="27"/>
      <c r="C123" s="28"/>
      <c r="D123" s="36"/>
      <c r="E123" s="19"/>
      <c r="F123" s="20"/>
      <c r="G123" s="21" t="str">
        <f>IF(OR(A123="",B123="",AND(C123="",E123=""),AND(C123&lt;Rangos!$B$1,E123="")),"",IF(C123&gt;=Rangos!$B$1,10*B123*C123,10*B123*E123))</f>
        <v/>
      </c>
      <c r="H123" s="20" t="str">
        <f>IF(AND(LECO!$D123="",LECO!$F123=""),"",IF(LECO!$F123="",LECO!$D123,LECO!$F123))</f>
        <v/>
      </c>
      <c r="I123" s="33"/>
      <c r="J123" s="28"/>
      <c r="K123" s="36"/>
      <c r="L123" s="19"/>
      <c r="M123" s="20"/>
      <c r="N123" s="19" t="str">
        <f>IF(OR(A123="",B123="",AND(J123="",L123=""),AND(J123&lt;Rangos!$B$2,L123="")),"",IF(J123&gt;=Rangos!$B$2,10*B123*J123,10*B123*L123))</f>
        <v/>
      </c>
      <c r="O123" s="20" t="str">
        <f>IF(AND(LECO!$K123="",LECO!$M123=""),"",IF(LECO!$M123="",LECO!$K123,LECO!$M123))</f>
        <v/>
      </c>
      <c r="P123" s="33"/>
      <c r="Q123" s="19" t="str">
        <f t="shared" si="1"/>
        <v/>
      </c>
      <c r="R123" s="22" t="str">
        <f>IF(OR(LECO!$H123="",LECO!$O123=""),"",MAX(LECO!$H123,LECO!$O123))</f>
        <v/>
      </c>
    </row>
    <row r="124" spans="1:18" x14ac:dyDescent="0.3">
      <c r="A124" s="23"/>
      <c r="B124" s="24"/>
      <c r="C124" s="25"/>
      <c r="D124" s="35"/>
      <c r="E124" s="15"/>
      <c r="F124" s="16"/>
      <c r="G124" s="17" t="str">
        <f>IF(OR(A124="",B124="",AND(C124="",E124=""),AND(C124&lt;Rangos!$B$1,E124="")),"",IF(C124&gt;=Rangos!$B$1,10*B124*C124,10*B124*E124))</f>
        <v/>
      </c>
      <c r="H124" s="16" t="str">
        <f>IF(AND(LECO!$D124="",LECO!$F124=""),"",IF(LECO!$F124="",LECO!$D124,LECO!$F124))</f>
        <v/>
      </c>
      <c r="I124" s="32"/>
      <c r="J124" s="25"/>
      <c r="K124" s="35"/>
      <c r="L124" s="15"/>
      <c r="M124" s="16"/>
      <c r="N124" s="15" t="str">
        <f>IF(OR(A124="",B124="",AND(J124="",L124=""),AND(J124&lt;Rangos!$B$2,L124="")),"",IF(J124&gt;=Rangos!$B$2,10*B124*J124,10*B124*L124))</f>
        <v/>
      </c>
      <c r="O124" s="16" t="str">
        <f>IF(AND(LECO!$K124="",LECO!$M124=""),"",IF(LECO!$M124="",LECO!$K124,LECO!$M124))</f>
        <v/>
      </c>
      <c r="P124" s="32"/>
      <c r="Q124" s="15" t="str">
        <f t="shared" si="1"/>
        <v/>
      </c>
      <c r="R124" s="18" t="str">
        <f>IF(OR(LECO!$H124="",LECO!$O124=""),"",MAX(LECO!$H124,LECO!$O124))</f>
        <v/>
      </c>
    </row>
    <row r="125" spans="1:18" x14ac:dyDescent="0.3">
      <c r="A125" s="26"/>
      <c r="B125" s="27"/>
      <c r="C125" s="28"/>
      <c r="D125" s="36"/>
      <c r="E125" s="19"/>
      <c r="F125" s="20"/>
      <c r="G125" s="21" t="str">
        <f>IF(OR(A125="",B125="",AND(C125="",E125=""),AND(C125&lt;Rangos!$B$1,E125="")),"",IF(C125&gt;=Rangos!$B$1,10*B125*C125,10*B125*E125))</f>
        <v/>
      </c>
      <c r="H125" s="20" t="str">
        <f>IF(AND(LECO!$D125="",LECO!$F125=""),"",IF(LECO!$F125="",LECO!$D125,LECO!$F125))</f>
        <v/>
      </c>
      <c r="I125" s="33"/>
      <c r="J125" s="28"/>
      <c r="K125" s="36"/>
      <c r="L125" s="19"/>
      <c r="M125" s="20"/>
      <c r="N125" s="19" t="str">
        <f>IF(OR(A125="",B125="",AND(J125="",L125=""),AND(J125&lt;Rangos!$B$2,L125="")),"",IF(J125&gt;=Rangos!$B$2,10*B125*J125,10*B125*L125))</f>
        <v/>
      </c>
      <c r="O125" s="20" t="str">
        <f>IF(AND(LECO!$K125="",LECO!$M125=""),"",IF(LECO!$M125="",LECO!$K125,LECO!$M125))</f>
        <v/>
      </c>
      <c r="P125" s="33"/>
      <c r="Q125" s="19" t="str">
        <f t="shared" si="1"/>
        <v/>
      </c>
      <c r="R125" s="22" t="str">
        <f>IF(OR(LECO!$H125="",LECO!$O125=""),"",MAX(LECO!$H125,LECO!$O125))</f>
        <v/>
      </c>
    </row>
    <row r="126" spans="1:18" x14ac:dyDescent="0.3">
      <c r="A126" s="23"/>
      <c r="B126" s="24"/>
      <c r="C126" s="25"/>
      <c r="D126" s="35"/>
      <c r="E126" s="15"/>
      <c r="F126" s="16"/>
      <c r="G126" s="17" t="str">
        <f>IF(OR(A126="",B126="",AND(C126="",E126=""),AND(C126&lt;Rangos!$B$1,E126="")),"",IF(C126&gt;=Rangos!$B$1,10*B126*C126,10*B126*E126))</f>
        <v/>
      </c>
      <c r="H126" s="16" t="str">
        <f>IF(AND(LECO!$D126="",LECO!$F126=""),"",IF(LECO!$F126="",LECO!$D126,LECO!$F126))</f>
        <v/>
      </c>
      <c r="I126" s="32"/>
      <c r="J126" s="25"/>
      <c r="K126" s="35"/>
      <c r="L126" s="15"/>
      <c r="M126" s="16"/>
      <c r="N126" s="15" t="str">
        <f>IF(OR(A126="",B126="",AND(J126="",L126=""),AND(J126&lt;Rangos!$B$2,L126="")),"",IF(J126&gt;=Rangos!$B$2,10*B126*J126,10*B126*L126))</f>
        <v/>
      </c>
      <c r="O126" s="16" t="str">
        <f>IF(AND(LECO!$K126="",LECO!$M126=""),"",IF(LECO!$M126="",LECO!$K126,LECO!$M126))</f>
        <v/>
      </c>
      <c r="P126" s="32"/>
      <c r="Q126" s="15" t="str">
        <f t="shared" si="1"/>
        <v/>
      </c>
      <c r="R126" s="18" t="str">
        <f>IF(OR(LECO!$H126="",LECO!$O126=""),"",MAX(LECO!$H126,LECO!$O126))</f>
        <v/>
      </c>
    </row>
    <row r="127" spans="1:18" x14ac:dyDescent="0.3">
      <c r="A127" s="26"/>
      <c r="B127" s="27"/>
      <c r="C127" s="28"/>
      <c r="D127" s="36"/>
      <c r="E127" s="19"/>
      <c r="F127" s="20"/>
      <c r="G127" s="21" t="str">
        <f>IF(OR(A127="",B127="",AND(C127="",E127=""),AND(C127&lt;Rangos!$B$1,E127="")),"",IF(C127&gt;=Rangos!$B$1,10*B127*C127,10*B127*E127))</f>
        <v/>
      </c>
      <c r="H127" s="20" t="str">
        <f>IF(AND(LECO!$D127="",LECO!$F127=""),"",IF(LECO!$F127="",LECO!$D127,LECO!$F127))</f>
        <v/>
      </c>
      <c r="I127" s="33"/>
      <c r="J127" s="28"/>
      <c r="K127" s="36"/>
      <c r="L127" s="19"/>
      <c r="M127" s="20"/>
      <c r="N127" s="19" t="str">
        <f>IF(OR(A127="",B127="",AND(J127="",L127=""),AND(J127&lt;Rangos!$B$2,L127="")),"",IF(J127&gt;=Rangos!$B$2,10*B127*J127,10*B127*L127))</f>
        <v/>
      </c>
      <c r="O127" s="20" t="str">
        <f>IF(AND(LECO!$K127="",LECO!$M127=""),"",IF(LECO!$M127="",LECO!$K127,LECO!$M127))</f>
        <v/>
      </c>
      <c r="P127" s="33"/>
      <c r="Q127" s="19" t="str">
        <f t="shared" si="1"/>
        <v/>
      </c>
      <c r="R127" s="22" t="str">
        <f>IF(OR(LECO!$H127="",LECO!$O127=""),"",MAX(LECO!$H127,LECO!$O127))</f>
        <v/>
      </c>
    </row>
    <row r="128" spans="1:18" x14ac:dyDescent="0.3">
      <c r="A128" s="23"/>
      <c r="B128" s="24"/>
      <c r="C128" s="25"/>
      <c r="D128" s="35"/>
      <c r="E128" s="15"/>
      <c r="F128" s="16"/>
      <c r="G128" s="17" t="str">
        <f>IF(OR(A128="",B128="",AND(C128="",E128=""),AND(C128&lt;Rangos!$B$1,E128="")),"",IF(C128&gt;=Rangos!$B$1,10*B128*C128,10*B128*E128))</f>
        <v/>
      </c>
      <c r="H128" s="16" t="str">
        <f>IF(AND(LECO!$D128="",LECO!$F128=""),"",IF(LECO!$F128="",LECO!$D128,LECO!$F128))</f>
        <v/>
      </c>
      <c r="I128" s="32"/>
      <c r="J128" s="25"/>
      <c r="K128" s="35"/>
      <c r="L128" s="15"/>
      <c r="M128" s="16"/>
      <c r="N128" s="15" t="str">
        <f>IF(OR(A128="",B128="",AND(J128="",L128=""),AND(J128&lt;Rangos!$B$2,L128="")),"",IF(J128&gt;=Rangos!$B$2,10*B128*J128,10*B128*L128))</f>
        <v/>
      </c>
      <c r="O128" s="16" t="str">
        <f>IF(AND(LECO!$K128="",LECO!$M128=""),"",IF(LECO!$M128="",LECO!$K128,LECO!$M128))</f>
        <v/>
      </c>
      <c r="P128" s="32"/>
      <c r="Q128" s="15" t="str">
        <f t="shared" si="1"/>
        <v/>
      </c>
      <c r="R128" s="18" t="str">
        <f>IF(OR(LECO!$H128="",LECO!$O128=""),"",MAX(LECO!$H128,LECO!$O128))</f>
        <v/>
      </c>
    </row>
    <row r="129" spans="1:18" x14ac:dyDescent="0.3">
      <c r="A129" s="26"/>
      <c r="B129" s="27"/>
      <c r="C129" s="28"/>
      <c r="D129" s="36"/>
      <c r="E129" s="19"/>
      <c r="F129" s="20"/>
      <c r="G129" s="21" t="str">
        <f>IF(OR(A129="",B129="",AND(C129="",E129=""),AND(C129&lt;Rangos!$B$1,E129="")),"",IF(C129&gt;=Rangos!$B$1,10*B129*C129,10*B129*E129))</f>
        <v/>
      </c>
      <c r="H129" s="20" t="str">
        <f>IF(AND(LECO!$D129="",LECO!$F129=""),"",IF(LECO!$F129="",LECO!$D129,LECO!$F129))</f>
        <v/>
      </c>
      <c r="I129" s="33"/>
      <c r="J129" s="28"/>
      <c r="K129" s="36"/>
      <c r="L129" s="19"/>
      <c r="M129" s="20"/>
      <c r="N129" s="19" t="str">
        <f>IF(OR(A129="",B129="",AND(J129="",L129=""),AND(J129&lt;Rangos!$B$2,L129="")),"",IF(J129&gt;=Rangos!$B$2,10*B129*J129,10*B129*L129))</f>
        <v/>
      </c>
      <c r="O129" s="20" t="str">
        <f>IF(AND(LECO!$K129="",LECO!$M129=""),"",IF(LECO!$M129="",LECO!$K129,LECO!$M129))</f>
        <v/>
      </c>
      <c r="P129" s="33"/>
      <c r="Q129" s="19" t="str">
        <f t="shared" si="1"/>
        <v/>
      </c>
      <c r="R129" s="22" t="str">
        <f>IF(OR(LECO!$H129="",LECO!$O129=""),"",MAX(LECO!$H129,LECO!$O129))</f>
        <v/>
      </c>
    </row>
    <row r="130" spans="1:18" x14ac:dyDescent="0.3">
      <c r="A130" s="23"/>
      <c r="B130" s="24"/>
      <c r="C130" s="25"/>
      <c r="D130" s="35"/>
      <c r="E130" s="15"/>
      <c r="F130" s="16"/>
      <c r="G130" s="17" t="str">
        <f>IF(OR(A130="",B130="",AND(C130="",E130=""),AND(C130&lt;Rangos!$B$1,E130="")),"",IF(C130&gt;=Rangos!$B$1,10*B130*C130,10*B130*E130))</f>
        <v/>
      </c>
      <c r="H130" s="16" t="str">
        <f>IF(AND(LECO!$D130="",LECO!$F130=""),"",IF(LECO!$F130="",LECO!$D130,LECO!$F130))</f>
        <v/>
      </c>
      <c r="I130" s="32"/>
      <c r="J130" s="25"/>
      <c r="K130" s="35"/>
      <c r="L130" s="15"/>
      <c r="M130" s="16"/>
      <c r="N130" s="15" t="str">
        <f>IF(OR(A130="",B130="",AND(J130="",L130=""),AND(J130&lt;Rangos!$B$2,L130="")),"",IF(J130&gt;=Rangos!$B$2,10*B130*J130,10*B130*L130))</f>
        <v/>
      </c>
      <c r="O130" s="16" t="str">
        <f>IF(AND(LECO!$K130="",LECO!$M130=""),"",IF(LECO!$M130="",LECO!$K130,LECO!$M130))</f>
        <v/>
      </c>
      <c r="P130" s="32"/>
      <c r="Q130" s="15" t="str">
        <f t="shared" si="1"/>
        <v/>
      </c>
      <c r="R130" s="18" t="str">
        <f>IF(OR(LECO!$H130="",LECO!$O130=""),"",MAX(LECO!$H130,LECO!$O130))</f>
        <v/>
      </c>
    </row>
    <row r="131" spans="1:18" x14ac:dyDescent="0.3">
      <c r="A131" s="26"/>
      <c r="B131" s="27"/>
      <c r="C131" s="28"/>
      <c r="D131" s="36"/>
      <c r="E131" s="19"/>
      <c r="F131" s="20"/>
      <c r="G131" s="21" t="str">
        <f>IF(OR(A131="",B131="",AND(C131="",E131=""),AND(C131&lt;Rangos!$B$1,E131="")),"",IF(C131&gt;=Rangos!$B$1,10*B131*C131,10*B131*E131))</f>
        <v/>
      </c>
      <c r="H131" s="20" t="str">
        <f>IF(AND(LECO!$D131="",LECO!$F131=""),"",IF(LECO!$F131="",LECO!$D131,LECO!$F131))</f>
        <v/>
      </c>
      <c r="I131" s="33"/>
      <c r="J131" s="28"/>
      <c r="K131" s="36"/>
      <c r="L131" s="19"/>
      <c r="M131" s="20"/>
      <c r="N131" s="19" t="str">
        <f>IF(OR(A131="",B131="",AND(J131="",L131=""),AND(J131&lt;Rangos!$B$2,L131="")),"",IF(J131&gt;=Rangos!$B$2,10*B131*J131,10*B131*L131))</f>
        <v/>
      </c>
      <c r="O131" s="20" t="str">
        <f>IF(AND(LECO!$K131="",LECO!$M131=""),"",IF(LECO!$M131="",LECO!$K131,LECO!$M131))</f>
        <v/>
      </c>
      <c r="P131" s="33"/>
      <c r="Q131" s="19" t="str">
        <f t="shared" si="1"/>
        <v/>
      </c>
      <c r="R131" s="22" t="str">
        <f>IF(OR(LECO!$H131="",LECO!$O131=""),"",MAX(LECO!$H131,LECO!$O131))</f>
        <v/>
      </c>
    </row>
    <row r="132" spans="1:18" x14ac:dyDescent="0.3">
      <c r="A132" s="23"/>
      <c r="B132" s="24"/>
      <c r="C132" s="25"/>
      <c r="D132" s="35"/>
      <c r="E132" s="15"/>
      <c r="F132" s="16"/>
      <c r="G132" s="17" t="str">
        <f>IF(OR(A132="",B132="",AND(C132="",E132=""),AND(C132&lt;Rangos!$B$1,E132="")),"",IF(C132&gt;=Rangos!$B$1,10*B132*C132,10*B132*E132))</f>
        <v/>
      </c>
      <c r="H132" s="16" t="str">
        <f>IF(AND(LECO!$D132="",LECO!$F132=""),"",IF(LECO!$F132="",LECO!$D132,LECO!$F132))</f>
        <v/>
      </c>
      <c r="I132" s="32"/>
      <c r="J132" s="25"/>
      <c r="K132" s="35"/>
      <c r="L132" s="15"/>
      <c r="M132" s="16"/>
      <c r="N132" s="15" t="str">
        <f>IF(OR(A132="",B132="",AND(J132="",L132=""),AND(J132&lt;Rangos!$B$2,L132="")),"",IF(J132&gt;=Rangos!$B$2,10*B132*J132,10*B132*L132))</f>
        <v/>
      </c>
      <c r="O132" s="16" t="str">
        <f>IF(AND(LECO!$K132="",LECO!$M132=""),"",IF(LECO!$M132="",LECO!$K132,LECO!$M132))</f>
        <v/>
      </c>
      <c r="P132" s="32"/>
      <c r="Q132" s="15" t="str">
        <f t="shared" si="1"/>
        <v/>
      </c>
      <c r="R132" s="18" t="str">
        <f>IF(OR(LECO!$H132="",LECO!$O132=""),"",MAX(LECO!$H132,LECO!$O132))</f>
        <v/>
      </c>
    </row>
    <row r="133" spans="1:18" x14ac:dyDescent="0.3">
      <c r="A133" s="26"/>
      <c r="B133" s="27"/>
      <c r="C133" s="28"/>
      <c r="D133" s="36"/>
      <c r="E133" s="19"/>
      <c r="F133" s="20"/>
      <c r="G133" s="21" t="str">
        <f>IF(OR(A133="",B133="",AND(C133="",E133=""),AND(C133&lt;Rangos!$B$1,E133="")),"",IF(C133&gt;=Rangos!$B$1,10*B133*C133,10*B133*E133))</f>
        <v/>
      </c>
      <c r="H133" s="20" t="str">
        <f>IF(AND(LECO!$D133="",LECO!$F133=""),"",IF(LECO!$F133="",LECO!$D133,LECO!$F133))</f>
        <v/>
      </c>
      <c r="I133" s="33"/>
      <c r="J133" s="28"/>
      <c r="K133" s="36"/>
      <c r="L133" s="19"/>
      <c r="M133" s="20"/>
      <c r="N133" s="19" t="str">
        <f>IF(OR(A133="",B133="",AND(J133="",L133=""),AND(J133&lt;Rangos!$B$2,L133="")),"",IF(J133&gt;=Rangos!$B$2,10*B133*J133,10*B133*L133))</f>
        <v/>
      </c>
      <c r="O133" s="20" t="str">
        <f>IF(AND(LECO!$K133="",LECO!$M133=""),"",IF(LECO!$M133="",LECO!$K133,LECO!$M133))</f>
        <v/>
      </c>
      <c r="P133" s="33"/>
      <c r="Q133" s="19" t="str">
        <f t="shared" si="1"/>
        <v/>
      </c>
      <c r="R133" s="22" t="str">
        <f>IF(OR(LECO!$H133="",LECO!$O133=""),"",MAX(LECO!$H133,LECO!$O133))</f>
        <v/>
      </c>
    </row>
    <row r="134" spans="1:18" x14ac:dyDescent="0.3">
      <c r="A134" s="23"/>
      <c r="B134" s="24"/>
      <c r="C134" s="25"/>
      <c r="D134" s="35"/>
      <c r="E134" s="15"/>
      <c r="F134" s="16"/>
      <c r="G134" s="17" t="str">
        <f>IF(OR(A134="",B134="",AND(C134="",E134=""),AND(C134&lt;Rangos!$B$1,E134="")),"",IF(C134&gt;=Rangos!$B$1,10*B134*C134,10*B134*E134))</f>
        <v/>
      </c>
      <c r="H134" s="16" t="str">
        <f>IF(AND(LECO!$D134="",LECO!$F134=""),"",IF(LECO!$F134="",LECO!$D134,LECO!$F134))</f>
        <v/>
      </c>
      <c r="I134" s="32"/>
      <c r="J134" s="25"/>
      <c r="K134" s="35"/>
      <c r="L134" s="15"/>
      <c r="M134" s="16"/>
      <c r="N134" s="15" t="str">
        <f>IF(OR(A134="",B134="",AND(J134="",L134=""),AND(J134&lt;Rangos!$B$2,L134="")),"",IF(J134&gt;=Rangos!$B$2,10*B134*J134,10*B134*L134))</f>
        <v/>
      </c>
      <c r="O134" s="16" t="str">
        <f>IF(AND(LECO!$K134="",LECO!$M134=""),"",IF(LECO!$M134="",LECO!$K134,LECO!$M134))</f>
        <v/>
      </c>
      <c r="P134" s="32"/>
      <c r="Q134" s="15" t="str">
        <f t="shared" ref="Q134:Q197" si="2">IF(OR(G134="",N134=""),"",G134/N134)</f>
        <v/>
      </c>
      <c r="R134" s="18" t="str">
        <f>IF(OR(LECO!$H134="",LECO!$O134=""),"",MAX(LECO!$H134,LECO!$O134))</f>
        <v/>
      </c>
    </row>
    <row r="135" spans="1:18" x14ac:dyDescent="0.3">
      <c r="A135" s="26"/>
      <c r="B135" s="27"/>
      <c r="C135" s="28"/>
      <c r="D135" s="36"/>
      <c r="E135" s="19"/>
      <c r="F135" s="20"/>
      <c r="G135" s="21" t="str">
        <f>IF(OR(A135="",B135="",AND(C135="",E135=""),AND(C135&lt;Rangos!$B$1,E135="")),"",IF(C135&gt;=Rangos!$B$1,10*B135*C135,10*B135*E135))</f>
        <v/>
      </c>
      <c r="H135" s="20" t="str">
        <f>IF(AND(LECO!$D135="",LECO!$F135=""),"",IF(LECO!$F135="",LECO!$D135,LECO!$F135))</f>
        <v/>
      </c>
      <c r="I135" s="33"/>
      <c r="J135" s="28"/>
      <c r="K135" s="36"/>
      <c r="L135" s="19"/>
      <c r="M135" s="20"/>
      <c r="N135" s="19" t="str">
        <f>IF(OR(A135="",B135="",AND(J135="",L135=""),AND(J135&lt;Rangos!$B$2,L135="")),"",IF(J135&gt;=Rangos!$B$2,10*B135*J135,10*B135*L135))</f>
        <v/>
      </c>
      <c r="O135" s="20" t="str">
        <f>IF(AND(LECO!$K135="",LECO!$M135=""),"",IF(LECO!$M135="",LECO!$K135,LECO!$M135))</f>
        <v/>
      </c>
      <c r="P135" s="33"/>
      <c r="Q135" s="19" t="str">
        <f t="shared" si="2"/>
        <v/>
      </c>
      <c r="R135" s="22" t="str">
        <f>IF(OR(LECO!$H135="",LECO!$O135=""),"",MAX(LECO!$H135,LECO!$O135))</f>
        <v/>
      </c>
    </row>
    <row r="136" spans="1:18" x14ac:dyDescent="0.3">
      <c r="A136" s="23"/>
      <c r="B136" s="24"/>
      <c r="C136" s="25"/>
      <c r="D136" s="35"/>
      <c r="E136" s="15"/>
      <c r="F136" s="16"/>
      <c r="G136" s="17" t="str">
        <f>IF(OR(A136="",B136="",AND(C136="",E136=""),AND(C136&lt;Rangos!$B$1,E136="")),"",IF(C136&gt;=Rangos!$B$1,10*B136*C136,10*B136*E136))</f>
        <v/>
      </c>
      <c r="H136" s="16" t="str">
        <f>IF(AND(LECO!$D136="",LECO!$F136=""),"",IF(LECO!$F136="",LECO!$D136,LECO!$F136))</f>
        <v/>
      </c>
      <c r="I136" s="32"/>
      <c r="J136" s="25"/>
      <c r="K136" s="35"/>
      <c r="L136" s="15"/>
      <c r="M136" s="16"/>
      <c r="N136" s="15" t="str">
        <f>IF(OR(A136="",B136="",AND(J136="",L136=""),AND(J136&lt;Rangos!$B$2,L136="")),"",IF(J136&gt;=Rangos!$B$2,10*B136*J136,10*B136*L136))</f>
        <v/>
      </c>
      <c r="O136" s="16" t="str">
        <f>IF(AND(LECO!$K136="",LECO!$M136=""),"",IF(LECO!$M136="",LECO!$K136,LECO!$M136))</f>
        <v/>
      </c>
      <c r="P136" s="32"/>
      <c r="Q136" s="15" t="str">
        <f t="shared" si="2"/>
        <v/>
      </c>
      <c r="R136" s="18" t="str">
        <f>IF(OR(LECO!$H136="",LECO!$O136=""),"",MAX(LECO!$H136,LECO!$O136))</f>
        <v/>
      </c>
    </row>
    <row r="137" spans="1:18" x14ac:dyDescent="0.3">
      <c r="A137" s="26"/>
      <c r="B137" s="27"/>
      <c r="C137" s="28"/>
      <c r="D137" s="36"/>
      <c r="E137" s="19"/>
      <c r="F137" s="20"/>
      <c r="G137" s="21" t="str">
        <f>IF(OR(A137="",B137="",AND(C137="",E137=""),AND(C137&lt;Rangos!$B$1,E137="")),"",IF(C137&gt;=Rangos!$B$1,10*B137*C137,10*B137*E137))</f>
        <v/>
      </c>
      <c r="H137" s="20" t="str">
        <f>IF(AND(LECO!$D137="",LECO!$F137=""),"",IF(LECO!$F137="",LECO!$D137,LECO!$F137))</f>
        <v/>
      </c>
      <c r="I137" s="33"/>
      <c r="J137" s="28"/>
      <c r="K137" s="36"/>
      <c r="L137" s="19"/>
      <c r="M137" s="20"/>
      <c r="N137" s="19" t="str">
        <f>IF(OR(A137="",B137="",AND(J137="",L137=""),AND(J137&lt;Rangos!$B$2,L137="")),"",IF(J137&gt;=Rangos!$B$2,10*B137*J137,10*B137*L137))</f>
        <v/>
      </c>
      <c r="O137" s="20" t="str">
        <f>IF(AND(LECO!$K137="",LECO!$M137=""),"",IF(LECO!$M137="",LECO!$K137,LECO!$M137))</f>
        <v/>
      </c>
      <c r="P137" s="33"/>
      <c r="Q137" s="19" t="str">
        <f t="shared" si="2"/>
        <v/>
      </c>
      <c r="R137" s="22" t="str">
        <f>IF(OR(LECO!$H137="",LECO!$O137=""),"",MAX(LECO!$H137,LECO!$O137))</f>
        <v/>
      </c>
    </row>
    <row r="138" spans="1:18" x14ac:dyDescent="0.3">
      <c r="A138" s="23"/>
      <c r="B138" s="24"/>
      <c r="C138" s="25"/>
      <c r="D138" s="35"/>
      <c r="E138" s="15"/>
      <c r="F138" s="16"/>
      <c r="G138" s="17" t="str">
        <f>IF(OR(A138="",B138="",AND(C138="",E138=""),AND(C138&lt;Rangos!$B$1,E138="")),"",IF(C138&gt;=Rangos!$B$1,10*B138*C138,10*B138*E138))</f>
        <v/>
      </c>
      <c r="H138" s="16" t="str">
        <f>IF(AND(LECO!$D138="",LECO!$F138=""),"",IF(LECO!$F138="",LECO!$D138,LECO!$F138))</f>
        <v/>
      </c>
      <c r="I138" s="32"/>
      <c r="J138" s="25"/>
      <c r="K138" s="35"/>
      <c r="L138" s="15"/>
      <c r="M138" s="16"/>
      <c r="N138" s="15" t="str">
        <f>IF(OR(A138="",B138="",AND(J138="",L138=""),AND(J138&lt;Rangos!$B$2,L138="")),"",IF(J138&gt;=Rangos!$B$2,10*B138*J138,10*B138*L138))</f>
        <v/>
      </c>
      <c r="O138" s="16" t="str">
        <f>IF(AND(LECO!$K138="",LECO!$M138=""),"",IF(LECO!$M138="",LECO!$K138,LECO!$M138))</f>
        <v/>
      </c>
      <c r="P138" s="32"/>
      <c r="Q138" s="15" t="str">
        <f t="shared" si="2"/>
        <v/>
      </c>
      <c r="R138" s="18" t="str">
        <f>IF(OR(LECO!$H138="",LECO!$O138=""),"",MAX(LECO!$H138,LECO!$O138))</f>
        <v/>
      </c>
    </row>
    <row r="139" spans="1:18" x14ac:dyDescent="0.3">
      <c r="A139" s="26"/>
      <c r="B139" s="27"/>
      <c r="C139" s="28"/>
      <c r="D139" s="36"/>
      <c r="E139" s="19"/>
      <c r="F139" s="20"/>
      <c r="G139" s="21" t="str">
        <f>IF(OR(A139="",B139="",AND(C139="",E139=""),AND(C139&lt;Rangos!$B$1,E139="")),"",IF(C139&gt;=Rangos!$B$1,10*B139*C139,10*B139*E139))</f>
        <v/>
      </c>
      <c r="H139" s="20" t="str">
        <f>IF(AND(LECO!$D139="",LECO!$F139=""),"",IF(LECO!$F139="",LECO!$D139,LECO!$F139))</f>
        <v/>
      </c>
      <c r="I139" s="33"/>
      <c r="J139" s="28"/>
      <c r="K139" s="36"/>
      <c r="L139" s="19"/>
      <c r="M139" s="20"/>
      <c r="N139" s="19" t="str">
        <f>IF(OR(A139="",B139="",AND(J139="",L139=""),AND(J139&lt;Rangos!$B$2,L139="")),"",IF(J139&gt;=Rangos!$B$2,10*B139*J139,10*B139*L139))</f>
        <v/>
      </c>
      <c r="O139" s="20" t="str">
        <f>IF(AND(LECO!$K139="",LECO!$M139=""),"",IF(LECO!$M139="",LECO!$K139,LECO!$M139))</f>
        <v/>
      </c>
      <c r="P139" s="33"/>
      <c r="Q139" s="19" t="str">
        <f t="shared" si="2"/>
        <v/>
      </c>
      <c r="R139" s="22" t="str">
        <f>IF(OR(LECO!$H139="",LECO!$O139=""),"",MAX(LECO!$H139,LECO!$O139))</f>
        <v/>
      </c>
    </row>
    <row r="140" spans="1:18" x14ac:dyDescent="0.3">
      <c r="A140" s="23"/>
      <c r="B140" s="24"/>
      <c r="C140" s="25"/>
      <c r="D140" s="35"/>
      <c r="E140" s="15"/>
      <c r="F140" s="16"/>
      <c r="G140" s="17" t="str">
        <f>IF(OR(A140="",B140="",AND(C140="",E140=""),AND(C140&lt;Rangos!$B$1,E140="")),"",IF(C140&gt;=Rangos!$B$1,10*B140*C140,10*B140*E140))</f>
        <v/>
      </c>
      <c r="H140" s="16" t="str">
        <f>IF(AND(LECO!$D140="",LECO!$F140=""),"",IF(LECO!$F140="",LECO!$D140,LECO!$F140))</f>
        <v/>
      </c>
      <c r="I140" s="32"/>
      <c r="J140" s="25"/>
      <c r="K140" s="35"/>
      <c r="L140" s="15"/>
      <c r="M140" s="16"/>
      <c r="N140" s="15" t="str">
        <f>IF(OR(A140="",B140="",AND(J140="",L140=""),AND(J140&lt;Rangos!$B$2,L140="")),"",IF(J140&gt;=Rangos!$B$2,10*B140*J140,10*B140*L140))</f>
        <v/>
      </c>
      <c r="O140" s="16" t="str">
        <f>IF(AND(LECO!$K140="",LECO!$M140=""),"",IF(LECO!$M140="",LECO!$K140,LECO!$M140))</f>
        <v/>
      </c>
      <c r="P140" s="32"/>
      <c r="Q140" s="15" t="str">
        <f t="shared" si="2"/>
        <v/>
      </c>
      <c r="R140" s="18" t="str">
        <f>IF(OR(LECO!$H140="",LECO!$O140=""),"",MAX(LECO!$H140,LECO!$O140))</f>
        <v/>
      </c>
    </row>
    <row r="141" spans="1:18" x14ac:dyDescent="0.3">
      <c r="A141" s="26"/>
      <c r="B141" s="27"/>
      <c r="C141" s="28"/>
      <c r="D141" s="36"/>
      <c r="E141" s="19"/>
      <c r="F141" s="20"/>
      <c r="G141" s="21" t="str">
        <f>IF(OR(A141="",B141="",AND(C141="",E141=""),AND(C141&lt;Rangos!$B$1,E141="")),"",IF(C141&gt;=Rangos!$B$1,10*B141*C141,10*B141*E141))</f>
        <v/>
      </c>
      <c r="H141" s="20" t="str">
        <f>IF(AND(LECO!$D141="",LECO!$F141=""),"",IF(LECO!$F141="",LECO!$D141,LECO!$F141))</f>
        <v/>
      </c>
      <c r="I141" s="33"/>
      <c r="J141" s="28"/>
      <c r="K141" s="36"/>
      <c r="L141" s="19"/>
      <c r="M141" s="20"/>
      <c r="N141" s="19" t="str">
        <f>IF(OR(A141="",B141="",AND(J141="",L141=""),AND(J141&lt;Rangos!$B$2,L141="")),"",IF(J141&gt;=Rangos!$B$2,10*B141*J141,10*B141*L141))</f>
        <v/>
      </c>
      <c r="O141" s="20" t="str">
        <f>IF(AND(LECO!$K141="",LECO!$M141=""),"",IF(LECO!$M141="",LECO!$K141,LECO!$M141))</f>
        <v/>
      </c>
      <c r="P141" s="33"/>
      <c r="Q141" s="19" t="str">
        <f t="shared" si="2"/>
        <v/>
      </c>
      <c r="R141" s="22" t="str">
        <f>IF(OR(LECO!$H141="",LECO!$O141=""),"",MAX(LECO!$H141,LECO!$O141))</f>
        <v/>
      </c>
    </row>
    <row r="142" spans="1:18" x14ac:dyDescent="0.3">
      <c r="A142" s="23"/>
      <c r="B142" s="24"/>
      <c r="C142" s="25"/>
      <c r="D142" s="35"/>
      <c r="E142" s="15"/>
      <c r="F142" s="16"/>
      <c r="G142" s="17" t="str">
        <f>IF(OR(A142="",B142="",AND(C142="",E142=""),AND(C142&lt;Rangos!$B$1,E142="")),"",IF(C142&gt;=Rangos!$B$1,10*B142*C142,10*B142*E142))</f>
        <v/>
      </c>
      <c r="H142" s="16" t="str">
        <f>IF(AND(LECO!$D142="",LECO!$F142=""),"",IF(LECO!$F142="",LECO!$D142,LECO!$F142))</f>
        <v/>
      </c>
      <c r="I142" s="32"/>
      <c r="J142" s="25"/>
      <c r="K142" s="35"/>
      <c r="L142" s="15"/>
      <c r="M142" s="16"/>
      <c r="N142" s="15" t="str">
        <f>IF(OR(A142="",B142="",AND(J142="",L142=""),AND(J142&lt;Rangos!$B$2,L142="")),"",IF(J142&gt;=Rangos!$B$2,10*B142*J142,10*B142*L142))</f>
        <v/>
      </c>
      <c r="O142" s="16" t="str">
        <f>IF(AND(LECO!$K142="",LECO!$M142=""),"",IF(LECO!$M142="",LECO!$K142,LECO!$M142))</f>
        <v/>
      </c>
      <c r="P142" s="32"/>
      <c r="Q142" s="15" t="str">
        <f t="shared" si="2"/>
        <v/>
      </c>
      <c r="R142" s="18" t="str">
        <f>IF(OR(LECO!$H142="",LECO!$O142=""),"",MAX(LECO!$H142,LECO!$O142))</f>
        <v/>
      </c>
    </row>
    <row r="143" spans="1:18" x14ac:dyDescent="0.3">
      <c r="A143" s="26"/>
      <c r="B143" s="27"/>
      <c r="C143" s="28"/>
      <c r="D143" s="36"/>
      <c r="E143" s="19"/>
      <c r="F143" s="20"/>
      <c r="G143" s="21" t="str">
        <f>IF(OR(A143="",B143="",AND(C143="",E143=""),AND(C143&lt;Rangos!$B$1,E143="")),"",IF(C143&gt;=Rangos!$B$1,10*B143*C143,10*B143*E143))</f>
        <v/>
      </c>
      <c r="H143" s="20" t="str">
        <f>IF(AND(LECO!$D143="",LECO!$F143=""),"",IF(LECO!$F143="",LECO!$D143,LECO!$F143))</f>
        <v/>
      </c>
      <c r="I143" s="33"/>
      <c r="J143" s="28"/>
      <c r="K143" s="36"/>
      <c r="L143" s="19"/>
      <c r="M143" s="20"/>
      <c r="N143" s="19" t="str">
        <f>IF(OR(A143="",B143="",AND(J143="",L143=""),AND(J143&lt;Rangos!$B$2,L143="")),"",IF(J143&gt;=Rangos!$B$2,10*B143*J143,10*B143*L143))</f>
        <v/>
      </c>
      <c r="O143" s="20" t="str">
        <f>IF(AND(LECO!$K143="",LECO!$M143=""),"",IF(LECO!$M143="",LECO!$K143,LECO!$M143))</f>
        <v/>
      </c>
      <c r="P143" s="33"/>
      <c r="Q143" s="19" t="str">
        <f t="shared" si="2"/>
        <v/>
      </c>
      <c r="R143" s="22" t="str">
        <f>IF(OR(LECO!$H143="",LECO!$O143=""),"",MAX(LECO!$H143,LECO!$O143))</f>
        <v/>
      </c>
    </row>
    <row r="144" spans="1:18" x14ac:dyDescent="0.3">
      <c r="A144" s="23"/>
      <c r="B144" s="24"/>
      <c r="C144" s="25"/>
      <c r="D144" s="35"/>
      <c r="E144" s="15"/>
      <c r="F144" s="16"/>
      <c r="G144" s="17" t="str">
        <f>IF(OR(A144="",B144="",AND(C144="",E144=""),AND(C144&lt;Rangos!$B$1,E144="")),"",IF(C144&gt;=Rangos!$B$1,10*B144*C144,10*B144*E144))</f>
        <v/>
      </c>
      <c r="H144" s="16" t="str">
        <f>IF(AND(LECO!$D144="",LECO!$F144=""),"",IF(LECO!$F144="",LECO!$D144,LECO!$F144))</f>
        <v/>
      </c>
      <c r="I144" s="32"/>
      <c r="J144" s="25"/>
      <c r="K144" s="35"/>
      <c r="L144" s="15"/>
      <c r="M144" s="16"/>
      <c r="N144" s="15" t="str">
        <f>IF(OR(A144="",B144="",AND(J144="",L144=""),AND(J144&lt;Rangos!$B$2,L144="")),"",IF(J144&gt;=Rangos!$B$2,10*B144*J144,10*B144*L144))</f>
        <v/>
      </c>
      <c r="O144" s="16" t="str">
        <f>IF(AND(LECO!$K144="",LECO!$M144=""),"",IF(LECO!$M144="",LECO!$K144,LECO!$M144))</f>
        <v/>
      </c>
      <c r="P144" s="32"/>
      <c r="Q144" s="15" t="str">
        <f t="shared" si="2"/>
        <v/>
      </c>
      <c r="R144" s="18" t="str">
        <f>IF(OR(LECO!$H144="",LECO!$O144=""),"",MAX(LECO!$H144,LECO!$O144))</f>
        <v/>
      </c>
    </row>
    <row r="145" spans="1:18" x14ac:dyDescent="0.3">
      <c r="A145" s="26"/>
      <c r="B145" s="27"/>
      <c r="C145" s="28"/>
      <c r="D145" s="36"/>
      <c r="E145" s="19"/>
      <c r="F145" s="20"/>
      <c r="G145" s="21" t="str">
        <f>IF(OR(A145="",B145="",AND(C145="",E145=""),AND(C145&lt;Rangos!$B$1,E145="")),"",IF(C145&gt;=Rangos!$B$1,10*B145*C145,10*B145*E145))</f>
        <v/>
      </c>
      <c r="H145" s="20" t="str">
        <f>IF(AND(LECO!$D145="",LECO!$F145=""),"",IF(LECO!$F145="",LECO!$D145,LECO!$F145))</f>
        <v/>
      </c>
      <c r="I145" s="33"/>
      <c r="J145" s="28"/>
      <c r="K145" s="36"/>
      <c r="L145" s="19"/>
      <c r="M145" s="20"/>
      <c r="N145" s="19" t="str">
        <f>IF(OR(A145="",B145="",AND(J145="",L145=""),AND(J145&lt;Rangos!$B$2,L145="")),"",IF(J145&gt;=Rangos!$B$2,10*B145*J145,10*B145*L145))</f>
        <v/>
      </c>
      <c r="O145" s="20" t="str">
        <f>IF(AND(LECO!$K145="",LECO!$M145=""),"",IF(LECO!$M145="",LECO!$K145,LECO!$M145))</f>
        <v/>
      </c>
      <c r="P145" s="33"/>
      <c r="Q145" s="19" t="str">
        <f t="shared" si="2"/>
        <v/>
      </c>
      <c r="R145" s="22" t="str">
        <f>IF(OR(LECO!$H145="",LECO!$O145=""),"",MAX(LECO!$H145,LECO!$O145))</f>
        <v/>
      </c>
    </row>
    <row r="146" spans="1:18" x14ac:dyDescent="0.3">
      <c r="A146" s="23"/>
      <c r="B146" s="24"/>
      <c r="C146" s="25"/>
      <c r="D146" s="35"/>
      <c r="E146" s="15"/>
      <c r="F146" s="16"/>
      <c r="G146" s="17" t="str">
        <f>IF(OR(A146="",B146="",AND(C146="",E146=""),AND(C146&lt;Rangos!$B$1,E146="")),"",IF(C146&gt;=Rangos!$B$1,10*B146*C146,10*B146*E146))</f>
        <v/>
      </c>
      <c r="H146" s="16" t="str">
        <f>IF(AND(LECO!$D146="",LECO!$F146=""),"",IF(LECO!$F146="",LECO!$D146,LECO!$F146))</f>
        <v/>
      </c>
      <c r="I146" s="32"/>
      <c r="J146" s="25"/>
      <c r="K146" s="35"/>
      <c r="L146" s="15"/>
      <c r="M146" s="16"/>
      <c r="N146" s="15" t="str">
        <f>IF(OR(A146="",B146="",AND(J146="",L146=""),AND(J146&lt;Rangos!$B$2,L146="")),"",IF(J146&gt;=Rangos!$B$2,10*B146*J146,10*B146*L146))</f>
        <v/>
      </c>
      <c r="O146" s="16" t="str">
        <f>IF(AND(LECO!$K146="",LECO!$M146=""),"",IF(LECO!$M146="",LECO!$K146,LECO!$M146))</f>
        <v/>
      </c>
      <c r="P146" s="32"/>
      <c r="Q146" s="15" t="str">
        <f t="shared" si="2"/>
        <v/>
      </c>
      <c r="R146" s="18" t="str">
        <f>IF(OR(LECO!$H146="",LECO!$O146=""),"",MAX(LECO!$H146,LECO!$O146))</f>
        <v/>
      </c>
    </row>
    <row r="147" spans="1:18" x14ac:dyDescent="0.3">
      <c r="A147" s="26"/>
      <c r="B147" s="27"/>
      <c r="C147" s="28"/>
      <c r="D147" s="36"/>
      <c r="E147" s="19"/>
      <c r="F147" s="20"/>
      <c r="G147" s="21" t="str">
        <f>IF(OR(A147="",B147="",AND(C147="",E147=""),AND(C147&lt;Rangos!$B$1,E147="")),"",IF(C147&gt;=Rangos!$B$1,10*B147*C147,10*B147*E147))</f>
        <v/>
      </c>
      <c r="H147" s="20" t="str">
        <f>IF(AND(LECO!$D147="",LECO!$F147=""),"",IF(LECO!$F147="",LECO!$D147,LECO!$F147))</f>
        <v/>
      </c>
      <c r="I147" s="33"/>
      <c r="J147" s="28"/>
      <c r="K147" s="36"/>
      <c r="L147" s="19"/>
      <c r="M147" s="20"/>
      <c r="N147" s="19" t="str">
        <f>IF(OR(A147="",B147="",AND(J147="",L147=""),AND(J147&lt;Rangos!$B$2,L147="")),"",IF(J147&gt;=Rangos!$B$2,10*B147*J147,10*B147*L147))</f>
        <v/>
      </c>
      <c r="O147" s="20" t="str">
        <f>IF(AND(LECO!$K147="",LECO!$M147=""),"",IF(LECO!$M147="",LECO!$K147,LECO!$M147))</f>
        <v/>
      </c>
      <c r="P147" s="33"/>
      <c r="Q147" s="19" t="str">
        <f t="shared" si="2"/>
        <v/>
      </c>
      <c r="R147" s="22" t="str">
        <f>IF(OR(LECO!$H147="",LECO!$O147=""),"",MAX(LECO!$H147,LECO!$O147))</f>
        <v/>
      </c>
    </row>
    <row r="148" spans="1:18" x14ac:dyDescent="0.3">
      <c r="A148" s="23"/>
      <c r="B148" s="24"/>
      <c r="C148" s="25"/>
      <c r="D148" s="35"/>
      <c r="E148" s="15"/>
      <c r="F148" s="16"/>
      <c r="G148" s="17" t="str">
        <f>IF(OR(A148="",B148="",AND(C148="",E148=""),AND(C148&lt;Rangos!$B$1,E148="")),"",IF(C148&gt;=Rangos!$B$1,10*B148*C148,10*B148*E148))</f>
        <v/>
      </c>
      <c r="H148" s="16" t="str">
        <f>IF(AND(LECO!$D148="",LECO!$F148=""),"",IF(LECO!$F148="",LECO!$D148,LECO!$F148))</f>
        <v/>
      </c>
      <c r="I148" s="32"/>
      <c r="J148" s="25"/>
      <c r="K148" s="35"/>
      <c r="L148" s="15"/>
      <c r="M148" s="16"/>
      <c r="N148" s="15" t="str">
        <f>IF(OR(A148="",B148="",AND(J148="",L148=""),AND(J148&lt;Rangos!$B$2,L148="")),"",IF(J148&gt;=Rangos!$B$2,10*B148*J148,10*B148*L148))</f>
        <v/>
      </c>
      <c r="O148" s="16" t="str">
        <f>IF(AND(LECO!$K148="",LECO!$M148=""),"",IF(LECO!$M148="",LECO!$K148,LECO!$M148))</f>
        <v/>
      </c>
      <c r="P148" s="32"/>
      <c r="Q148" s="15" t="str">
        <f t="shared" si="2"/>
        <v/>
      </c>
      <c r="R148" s="18" t="str">
        <f>IF(OR(LECO!$H148="",LECO!$O148=""),"",MAX(LECO!$H148,LECO!$O148))</f>
        <v/>
      </c>
    </row>
    <row r="149" spans="1:18" x14ac:dyDescent="0.3">
      <c r="A149" s="26"/>
      <c r="B149" s="27"/>
      <c r="C149" s="28"/>
      <c r="D149" s="36"/>
      <c r="E149" s="19"/>
      <c r="F149" s="20"/>
      <c r="G149" s="21" t="str">
        <f>IF(OR(A149="",B149="",AND(C149="",E149=""),AND(C149&lt;Rangos!$B$1,E149="")),"",IF(C149&gt;=Rangos!$B$1,10*B149*C149,10*B149*E149))</f>
        <v/>
      </c>
      <c r="H149" s="20" t="str">
        <f>IF(AND(LECO!$D149="",LECO!$F149=""),"",IF(LECO!$F149="",LECO!$D149,LECO!$F149))</f>
        <v/>
      </c>
      <c r="I149" s="33"/>
      <c r="J149" s="28"/>
      <c r="K149" s="36"/>
      <c r="L149" s="19"/>
      <c r="M149" s="20"/>
      <c r="N149" s="19" t="str">
        <f>IF(OR(A149="",B149="",AND(J149="",L149=""),AND(J149&lt;Rangos!$B$2,L149="")),"",IF(J149&gt;=Rangos!$B$2,10*B149*J149,10*B149*L149))</f>
        <v/>
      </c>
      <c r="O149" s="20" t="str">
        <f>IF(AND(LECO!$K149="",LECO!$M149=""),"",IF(LECO!$M149="",LECO!$K149,LECO!$M149))</f>
        <v/>
      </c>
      <c r="P149" s="33"/>
      <c r="Q149" s="19" t="str">
        <f t="shared" si="2"/>
        <v/>
      </c>
      <c r="R149" s="22" t="str">
        <f>IF(OR(LECO!$H149="",LECO!$O149=""),"",MAX(LECO!$H149,LECO!$O149))</f>
        <v/>
      </c>
    </row>
    <row r="150" spans="1:18" x14ac:dyDescent="0.3">
      <c r="A150" s="23"/>
      <c r="B150" s="24"/>
      <c r="C150" s="25"/>
      <c r="D150" s="35"/>
      <c r="E150" s="15"/>
      <c r="F150" s="16"/>
      <c r="G150" s="17" t="str">
        <f>IF(OR(A150="",B150="",AND(C150="",E150=""),AND(C150&lt;Rangos!$B$1,E150="")),"",IF(C150&gt;=Rangos!$B$1,10*B150*C150,10*B150*E150))</f>
        <v/>
      </c>
      <c r="H150" s="16" t="str">
        <f>IF(AND(LECO!$D150="",LECO!$F150=""),"",IF(LECO!$F150="",LECO!$D150,LECO!$F150))</f>
        <v/>
      </c>
      <c r="I150" s="32"/>
      <c r="J150" s="25"/>
      <c r="K150" s="35"/>
      <c r="L150" s="15"/>
      <c r="M150" s="16"/>
      <c r="N150" s="15" t="str">
        <f>IF(OR(A150="",B150="",AND(J150="",L150=""),AND(J150&lt;Rangos!$B$2,L150="")),"",IF(J150&gt;=Rangos!$B$2,10*B150*J150,10*B150*L150))</f>
        <v/>
      </c>
      <c r="O150" s="16" t="str">
        <f>IF(AND(LECO!$K150="",LECO!$M150=""),"",IF(LECO!$M150="",LECO!$K150,LECO!$M150))</f>
        <v/>
      </c>
      <c r="P150" s="32"/>
      <c r="Q150" s="15" t="str">
        <f t="shared" si="2"/>
        <v/>
      </c>
      <c r="R150" s="18" t="str">
        <f>IF(OR(LECO!$H150="",LECO!$O150=""),"",MAX(LECO!$H150,LECO!$O150))</f>
        <v/>
      </c>
    </row>
    <row r="151" spans="1:18" x14ac:dyDescent="0.3">
      <c r="A151" s="26"/>
      <c r="B151" s="27"/>
      <c r="C151" s="28"/>
      <c r="D151" s="36"/>
      <c r="E151" s="19"/>
      <c r="F151" s="20"/>
      <c r="G151" s="21" t="str">
        <f>IF(OR(A151="",B151="",AND(C151="",E151=""),AND(C151&lt;Rangos!$B$1,E151="")),"",IF(C151&gt;=Rangos!$B$1,10*B151*C151,10*B151*E151))</f>
        <v/>
      </c>
      <c r="H151" s="20" t="str">
        <f>IF(AND(LECO!$D151="",LECO!$F151=""),"",IF(LECO!$F151="",LECO!$D151,LECO!$F151))</f>
        <v/>
      </c>
      <c r="I151" s="33"/>
      <c r="J151" s="28"/>
      <c r="K151" s="36"/>
      <c r="L151" s="19"/>
      <c r="M151" s="20"/>
      <c r="N151" s="19" t="str">
        <f>IF(OR(A151="",B151="",AND(J151="",L151=""),AND(J151&lt;Rangos!$B$2,L151="")),"",IF(J151&gt;=Rangos!$B$2,10*B151*J151,10*B151*L151))</f>
        <v/>
      </c>
      <c r="O151" s="20" t="str">
        <f>IF(AND(LECO!$K151="",LECO!$M151=""),"",IF(LECO!$M151="",LECO!$K151,LECO!$M151))</f>
        <v/>
      </c>
      <c r="P151" s="33"/>
      <c r="Q151" s="19" t="str">
        <f t="shared" si="2"/>
        <v/>
      </c>
      <c r="R151" s="22" t="str">
        <f>IF(OR(LECO!$H151="",LECO!$O151=""),"",MAX(LECO!$H151,LECO!$O151))</f>
        <v/>
      </c>
    </row>
    <row r="152" spans="1:18" x14ac:dyDescent="0.3">
      <c r="A152" s="23"/>
      <c r="B152" s="24"/>
      <c r="C152" s="25"/>
      <c r="D152" s="35"/>
      <c r="E152" s="15"/>
      <c r="F152" s="16"/>
      <c r="G152" s="17" t="str">
        <f>IF(OR(A152="",B152="",AND(C152="",E152=""),AND(C152&lt;Rangos!$B$1,E152="")),"",IF(C152&gt;=Rangos!$B$1,10*B152*C152,10*B152*E152))</f>
        <v/>
      </c>
      <c r="H152" s="16" t="str">
        <f>IF(AND(LECO!$D152="",LECO!$F152=""),"",IF(LECO!$F152="",LECO!$D152,LECO!$F152))</f>
        <v/>
      </c>
      <c r="I152" s="32"/>
      <c r="J152" s="25"/>
      <c r="K152" s="35"/>
      <c r="L152" s="15"/>
      <c r="M152" s="16"/>
      <c r="N152" s="15" t="str">
        <f>IF(OR(A152="",B152="",AND(J152="",L152=""),AND(J152&lt;Rangos!$B$2,L152="")),"",IF(J152&gt;=Rangos!$B$2,10*B152*J152,10*B152*L152))</f>
        <v/>
      </c>
      <c r="O152" s="16" t="str">
        <f>IF(AND(LECO!$K152="",LECO!$M152=""),"",IF(LECO!$M152="",LECO!$K152,LECO!$M152))</f>
        <v/>
      </c>
      <c r="P152" s="32"/>
      <c r="Q152" s="15" t="str">
        <f t="shared" si="2"/>
        <v/>
      </c>
      <c r="R152" s="18" t="str">
        <f>IF(OR(LECO!$H152="",LECO!$O152=""),"",MAX(LECO!$H152,LECO!$O152))</f>
        <v/>
      </c>
    </row>
    <row r="153" spans="1:18" x14ac:dyDescent="0.3">
      <c r="A153" s="26"/>
      <c r="B153" s="27"/>
      <c r="C153" s="28"/>
      <c r="D153" s="36"/>
      <c r="E153" s="19"/>
      <c r="F153" s="20"/>
      <c r="G153" s="21" t="str">
        <f>IF(OR(A153="",B153="",AND(C153="",E153=""),AND(C153&lt;Rangos!$B$1,E153="")),"",IF(C153&gt;=Rangos!$B$1,10*B153*C153,10*B153*E153))</f>
        <v/>
      </c>
      <c r="H153" s="20" t="str">
        <f>IF(AND(LECO!$D153="",LECO!$F153=""),"",IF(LECO!$F153="",LECO!$D153,LECO!$F153))</f>
        <v/>
      </c>
      <c r="I153" s="33"/>
      <c r="J153" s="28"/>
      <c r="K153" s="36"/>
      <c r="L153" s="19"/>
      <c r="M153" s="20"/>
      <c r="N153" s="19" t="str">
        <f>IF(OR(A153="",B153="",AND(J153="",L153=""),AND(J153&lt;Rangos!$B$2,L153="")),"",IF(J153&gt;=Rangos!$B$2,10*B153*J153,10*B153*L153))</f>
        <v/>
      </c>
      <c r="O153" s="20" t="str">
        <f>IF(AND(LECO!$K153="",LECO!$M153=""),"",IF(LECO!$M153="",LECO!$K153,LECO!$M153))</f>
        <v/>
      </c>
      <c r="P153" s="33"/>
      <c r="Q153" s="19" t="str">
        <f t="shared" si="2"/>
        <v/>
      </c>
      <c r="R153" s="22" t="str">
        <f>IF(OR(LECO!$H153="",LECO!$O153=""),"",MAX(LECO!$H153,LECO!$O153))</f>
        <v/>
      </c>
    </row>
    <row r="154" spans="1:18" x14ac:dyDescent="0.3">
      <c r="A154" s="23"/>
      <c r="B154" s="24"/>
      <c r="C154" s="25"/>
      <c r="D154" s="35"/>
      <c r="E154" s="15"/>
      <c r="F154" s="16"/>
      <c r="G154" s="17" t="str">
        <f>IF(OR(A154="",B154="",AND(C154="",E154=""),AND(C154&lt;Rangos!$B$1,E154="")),"",IF(C154&gt;=Rangos!$B$1,10*B154*C154,10*B154*E154))</f>
        <v/>
      </c>
      <c r="H154" s="16" t="str">
        <f>IF(AND(LECO!$D154="",LECO!$F154=""),"",IF(LECO!$F154="",LECO!$D154,LECO!$F154))</f>
        <v/>
      </c>
      <c r="I154" s="32"/>
      <c r="J154" s="25"/>
      <c r="K154" s="35"/>
      <c r="L154" s="15"/>
      <c r="M154" s="16"/>
      <c r="N154" s="15" t="str">
        <f>IF(OR(A154="",B154="",AND(J154="",L154=""),AND(J154&lt;Rangos!$B$2,L154="")),"",IF(J154&gt;=Rangos!$B$2,10*B154*J154,10*B154*L154))</f>
        <v/>
      </c>
      <c r="O154" s="16" t="str">
        <f>IF(AND(LECO!$K154="",LECO!$M154=""),"",IF(LECO!$M154="",LECO!$K154,LECO!$M154))</f>
        <v/>
      </c>
      <c r="P154" s="32"/>
      <c r="Q154" s="15" t="str">
        <f t="shared" si="2"/>
        <v/>
      </c>
      <c r="R154" s="18" t="str">
        <f>IF(OR(LECO!$H154="",LECO!$O154=""),"",MAX(LECO!$H154,LECO!$O154))</f>
        <v/>
      </c>
    </row>
    <row r="155" spans="1:18" x14ac:dyDescent="0.3">
      <c r="A155" s="26"/>
      <c r="B155" s="27"/>
      <c r="C155" s="28"/>
      <c r="D155" s="36"/>
      <c r="E155" s="19"/>
      <c r="F155" s="20"/>
      <c r="G155" s="21" t="str">
        <f>IF(OR(A155="",B155="",AND(C155="",E155=""),AND(C155&lt;Rangos!$B$1,E155="")),"",IF(C155&gt;=Rangos!$B$1,10*B155*C155,10*B155*E155))</f>
        <v/>
      </c>
      <c r="H155" s="20" t="str">
        <f>IF(AND(LECO!$D155="",LECO!$F155=""),"",IF(LECO!$F155="",LECO!$D155,LECO!$F155))</f>
        <v/>
      </c>
      <c r="I155" s="33"/>
      <c r="J155" s="28"/>
      <c r="K155" s="36"/>
      <c r="L155" s="19"/>
      <c r="M155" s="20"/>
      <c r="N155" s="19" t="str">
        <f>IF(OR(A155="",B155="",AND(J155="",L155=""),AND(J155&lt;Rangos!$B$2,L155="")),"",IF(J155&gt;=Rangos!$B$2,10*B155*J155,10*B155*L155))</f>
        <v/>
      </c>
      <c r="O155" s="20" t="str">
        <f>IF(AND(LECO!$K155="",LECO!$M155=""),"",IF(LECO!$M155="",LECO!$K155,LECO!$M155))</f>
        <v/>
      </c>
      <c r="P155" s="33"/>
      <c r="Q155" s="19" t="str">
        <f t="shared" si="2"/>
        <v/>
      </c>
      <c r="R155" s="22" t="str">
        <f>IF(OR(LECO!$H155="",LECO!$O155=""),"",MAX(LECO!$H155,LECO!$O155))</f>
        <v/>
      </c>
    </row>
    <row r="156" spans="1:18" x14ac:dyDescent="0.3">
      <c r="A156" s="23"/>
      <c r="B156" s="24"/>
      <c r="C156" s="25"/>
      <c r="D156" s="35"/>
      <c r="E156" s="15"/>
      <c r="F156" s="16"/>
      <c r="G156" s="17" t="str">
        <f>IF(OR(A156="",B156="",AND(C156="",E156=""),AND(C156&lt;Rangos!$B$1,E156="")),"",IF(C156&gt;=Rangos!$B$1,10*B156*C156,10*B156*E156))</f>
        <v/>
      </c>
      <c r="H156" s="16" t="str">
        <f>IF(AND(LECO!$D156="",LECO!$F156=""),"",IF(LECO!$F156="",LECO!$D156,LECO!$F156))</f>
        <v/>
      </c>
      <c r="I156" s="32"/>
      <c r="J156" s="25"/>
      <c r="K156" s="35"/>
      <c r="L156" s="15"/>
      <c r="M156" s="16"/>
      <c r="N156" s="15" t="str">
        <f>IF(OR(A156="",B156="",AND(J156="",L156=""),AND(J156&lt;Rangos!$B$2,L156="")),"",IF(J156&gt;=Rangos!$B$2,10*B156*J156,10*B156*L156))</f>
        <v/>
      </c>
      <c r="O156" s="16" t="str">
        <f>IF(AND(LECO!$K156="",LECO!$M156=""),"",IF(LECO!$M156="",LECO!$K156,LECO!$M156))</f>
        <v/>
      </c>
      <c r="P156" s="32"/>
      <c r="Q156" s="15" t="str">
        <f t="shared" si="2"/>
        <v/>
      </c>
      <c r="R156" s="18" t="str">
        <f>IF(OR(LECO!$H156="",LECO!$O156=""),"",MAX(LECO!$H156,LECO!$O156))</f>
        <v/>
      </c>
    </row>
    <row r="157" spans="1:18" x14ac:dyDescent="0.3">
      <c r="A157" s="26"/>
      <c r="B157" s="27"/>
      <c r="C157" s="28"/>
      <c r="D157" s="36"/>
      <c r="E157" s="19"/>
      <c r="F157" s="20"/>
      <c r="G157" s="21" t="str">
        <f>IF(OR(A157="",B157="",AND(C157="",E157=""),AND(C157&lt;Rangos!$B$1,E157="")),"",IF(C157&gt;=Rangos!$B$1,10*B157*C157,10*B157*E157))</f>
        <v/>
      </c>
      <c r="H157" s="20" t="str">
        <f>IF(AND(LECO!$D157="",LECO!$F157=""),"",IF(LECO!$F157="",LECO!$D157,LECO!$F157))</f>
        <v/>
      </c>
      <c r="I157" s="33"/>
      <c r="J157" s="28"/>
      <c r="K157" s="36"/>
      <c r="L157" s="19"/>
      <c r="M157" s="20"/>
      <c r="N157" s="19" t="str">
        <f>IF(OR(A157="",B157="",AND(J157="",L157=""),AND(J157&lt;Rangos!$B$2,L157="")),"",IF(J157&gt;=Rangos!$B$2,10*B157*J157,10*B157*L157))</f>
        <v/>
      </c>
      <c r="O157" s="20" t="str">
        <f>IF(AND(LECO!$K157="",LECO!$M157=""),"",IF(LECO!$M157="",LECO!$K157,LECO!$M157))</f>
        <v/>
      </c>
      <c r="P157" s="33"/>
      <c r="Q157" s="19" t="str">
        <f t="shared" si="2"/>
        <v/>
      </c>
      <c r="R157" s="22" t="str">
        <f>IF(OR(LECO!$H157="",LECO!$O157=""),"",MAX(LECO!$H157,LECO!$O157))</f>
        <v/>
      </c>
    </row>
    <row r="158" spans="1:18" x14ac:dyDescent="0.3">
      <c r="A158" s="23"/>
      <c r="B158" s="24"/>
      <c r="C158" s="25"/>
      <c r="D158" s="35"/>
      <c r="E158" s="15"/>
      <c r="F158" s="16"/>
      <c r="G158" s="17" t="str">
        <f>IF(OR(A158="",B158="",AND(C158="",E158=""),AND(C158&lt;Rangos!$B$1,E158="")),"",IF(C158&gt;=Rangos!$B$1,10*B158*C158,10*B158*E158))</f>
        <v/>
      </c>
      <c r="H158" s="16" t="str">
        <f>IF(AND(LECO!$D158="",LECO!$F158=""),"",IF(LECO!$F158="",LECO!$D158,LECO!$F158))</f>
        <v/>
      </c>
      <c r="I158" s="32"/>
      <c r="J158" s="25"/>
      <c r="K158" s="35"/>
      <c r="L158" s="15"/>
      <c r="M158" s="16"/>
      <c r="N158" s="15" t="str">
        <f>IF(OR(A158="",B158="",AND(J158="",L158=""),AND(J158&lt;Rangos!$B$2,L158="")),"",IF(J158&gt;=Rangos!$B$2,10*B158*J158,10*B158*L158))</f>
        <v/>
      </c>
      <c r="O158" s="16" t="str">
        <f>IF(AND(LECO!$K158="",LECO!$M158=""),"",IF(LECO!$M158="",LECO!$K158,LECO!$M158))</f>
        <v/>
      </c>
      <c r="P158" s="32"/>
      <c r="Q158" s="15" t="str">
        <f t="shared" si="2"/>
        <v/>
      </c>
      <c r="R158" s="18" t="str">
        <f>IF(OR(LECO!$H158="",LECO!$O158=""),"",MAX(LECO!$H158,LECO!$O158))</f>
        <v/>
      </c>
    </row>
    <row r="159" spans="1:18" x14ac:dyDescent="0.3">
      <c r="A159" s="26"/>
      <c r="B159" s="27"/>
      <c r="C159" s="28"/>
      <c r="D159" s="36"/>
      <c r="E159" s="19"/>
      <c r="F159" s="20"/>
      <c r="G159" s="21" t="str">
        <f>IF(OR(A159="",B159="",AND(C159="",E159=""),AND(C159&lt;Rangos!$B$1,E159="")),"",IF(C159&gt;=Rangos!$B$1,10*B159*C159,10*B159*E159))</f>
        <v/>
      </c>
      <c r="H159" s="20" t="str">
        <f>IF(AND(LECO!$D159="",LECO!$F159=""),"",IF(LECO!$F159="",LECO!$D159,LECO!$F159))</f>
        <v/>
      </c>
      <c r="I159" s="33"/>
      <c r="J159" s="28"/>
      <c r="K159" s="36"/>
      <c r="L159" s="19"/>
      <c r="M159" s="20"/>
      <c r="N159" s="19" t="str">
        <f>IF(OR(A159="",B159="",AND(J159="",L159=""),AND(J159&lt;Rangos!$B$2,L159="")),"",IF(J159&gt;=Rangos!$B$2,10*B159*J159,10*B159*L159))</f>
        <v/>
      </c>
      <c r="O159" s="20" t="str">
        <f>IF(AND(LECO!$K159="",LECO!$M159=""),"",IF(LECO!$M159="",LECO!$K159,LECO!$M159))</f>
        <v/>
      </c>
      <c r="P159" s="33"/>
      <c r="Q159" s="19" t="str">
        <f t="shared" si="2"/>
        <v/>
      </c>
      <c r="R159" s="22" t="str">
        <f>IF(OR(LECO!$H159="",LECO!$O159=""),"",MAX(LECO!$H159,LECO!$O159))</f>
        <v/>
      </c>
    </row>
    <row r="160" spans="1:18" x14ac:dyDescent="0.3">
      <c r="A160" s="23"/>
      <c r="B160" s="24"/>
      <c r="C160" s="25"/>
      <c r="D160" s="35"/>
      <c r="E160" s="15"/>
      <c r="F160" s="16"/>
      <c r="G160" s="17" t="str">
        <f>IF(OR(A160="",B160="",AND(C160="",E160=""),AND(C160&lt;Rangos!$B$1,E160="")),"",IF(C160&gt;=Rangos!$B$1,10*B160*C160,10*B160*E160))</f>
        <v/>
      </c>
      <c r="H160" s="16" t="str">
        <f>IF(AND(LECO!$D160="",LECO!$F160=""),"",IF(LECO!$F160="",LECO!$D160,LECO!$F160))</f>
        <v/>
      </c>
      <c r="I160" s="32"/>
      <c r="J160" s="25"/>
      <c r="K160" s="35"/>
      <c r="L160" s="15"/>
      <c r="M160" s="16"/>
      <c r="N160" s="15" t="str">
        <f>IF(OR(A160="",B160="",AND(J160="",L160=""),AND(J160&lt;Rangos!$B$2,L160="")),"",IF(J160&gt;=Rangos!$B$2,10*B160*J160,10*B160*L160))</f>
        <v/>
      </c>
      <c r="O160" s="16" t="str">
        <f>IF(AND(LECO!$K160="",LECO!$M160=""),"",IF(LECO!$M160="",LECO!$K160,LECO!$M160))</f>
        <v/>
      </c>
      <c r="P160" s="32"/>
      <c r="Q160" s="15" t="str">
        <f t="shared" si="2"/>
        <v/>
      </c>
      <c r="R160" s="18" t="str">
        <f>IF(OR(LECO!$H160="",LECO!$O160=""),"",MAX(LECO!$H160,LECO!$O160))</f>
        <v/>
      </c>
    </row>
    <row r="161" spans="1:18" x14ac:dyDescent="0.3">
      <c r="A161" s="26"/>
      <c r="B161" s="27"/>
      <c r="C161" s="28"/>
      <c r="D161" s="36"/>
      <c r="E161" s="19"/>
      <c r="F161" s="20"/>
      <c r="G161" s="21" t="str">
        <f>IF(OR(A161="",B161="",AND(C161="",E161=""),AND(C161&lt;Rangos!$B$1,E161="")),"",IF(C161&gt;=Rangos!$B$1,10*B161*C161,10*B161*E161))</f>
        <v/>
      </c>
      <c r="H161" s="20" t="str">
        <f>IF(AND(LECO!$D161="",LECO!$F161=""),"",IF(LECO!$F161="",LECO!$D161,LECO!$F161))</f>
        <v/>
      </c>
      <c r="I161" s="33"/>
      <c r="J161" s="28"/>
      <c r="K161" s="36"/>
      <c r="L161" s="19"/>
      <c r="M161" s="20"/>
      <c r="N161" s="19" t="str">
        <f>IF(OR(A161="",B161="",AND(J161="",L161=""),AND(J161&lt;Rangos!$B$2,L161="")),"",IF(J161&gt;=Rangos!$B$2,10*B161*J161,10*B161*L161))</f>
        <v/>
      </c>
      <c r="O161" s="20" t="str">
        <f>IF(AND(LECO!$K161="",LECO!$M161=""),"",IF(LECO!$M161="",LECO!$K161,LECO!$M161))</f>
        <v/>
      </c>
      <c r="P161" s="33"/>
      <c r="Q161" s="19" t="str">
        <f t="shared" si="2"/>
        <v/>
      </c>
      <c r="R161" s="22" t="str">
        <f>IF(OR(LECO!$H161="",LECO!$O161=""),"",MAX(LECO!$H161,LECO!$O161))</f>
        <v/>
      </c>
    </row>
    <row r="162" spans="1:18" x14ac:dyDescent="0.3">
      <c r="A162" s="23"/>
      <c r="B162" s="24"/>
      <c r="C162" s="25"/>
      <c r="D162" s="35"/>
      <c r="E162" s="15"/>
      <c r="F162" s="16"/>
      <c r="G162" s="17" t="str">
        <f>IF(OR(A162="",B162="",AND(C162="",E162=""),AND(C162&lt;Rangos!$B$1,E162="")),"",IF(C162&gt;=Rangos!$B$1,10*B162*C162,10*B162*E162))</f>
        <v/>
      </c>
      <c r="H162" s="16" t="str">
        <f>IF(AND(LECO!$D162="",LECO!$F162=""),"",IF(LECO!$F162="",LECO!$D162,LECO!$F162))</f>
        <v/>
      </c>
      <c r="I162" s="32"/>
      <c r="J162" s="25"/>
      <c r="K162" s="35"/>
      <c r="L162" s="15"/>
      <c r="M162" s="16"/>
      <c r="N162" s="15" t="str">
        <f>IF(OR(A162="",B162="",AND(J162="",L162=""),AND(J162&lt;Rangos!$B$2,L162="")),"",IF(J162&gt;=Rangos!$B$2,10*B162*J162,10*B162*L162))</f>
        <v/>
      </c>
      <c r="O162" s="16" t="str">
        <f>IF(AND(LECO!$K162="",LECO!$M162=""),"",IF(LECO!$M162="",LECO!$K162,LECO!$M162))</f>
        <v/>
      </c>
      <c r="P162" s="32"/>
      <c r="Q162" s="15" t="str">
        <f t="shared" si="2"/>
        <v/>
      </c>
      <c r="R162" s="18" t="str">
        <f>IF(OR(LECO!$H162="",LECO!$O162=""),"",MAX(LECO!$H162,LECO!$O162))</f>
        <v/>
      </c>
    </row>
    <row r="163" spans="1:18" x14ac:dyDescent="0.3">
      <c r="A163" s="26"/>
      <c r="B163" s="27"/>
      <c r="C163" s="28"/>
      <c r="D163" s="36"/>
      <c r="E163" s="19"/>
      <c r="F163" s="20"/>
      <c r="G163" s="21" t="str">
        <f>IF(OR(A163="",B163="",AND(C163="",E163=""),AND(C163&lt;Rangos!$B$1,E163="")),"",IF(C163&gt;=Rangos!$B$1,10*B163*C163,10*B163*E163))</f>
        <v/>
      </c>
      <c r="H163" s="20" t="str">
        <f>IF(AND(LECO!$D163="",LECO!$F163=""),"",IF(LECO!$F163="",LECO!$D163,LECO!$F163))</f>
        <v/>
      </c>
      <c r="I163" s="33"/>
      <c r="J163" s="28"/>
      <c r="K163" s="36"/>
      <c r="L163" s="19"/>
      <c r="M163" s="20"/>
      <c r="N163" s="19" t="str">
        <f>IF(OR(A163="",B163="",AND(J163="",L163=""),AND(J163&lt;Rangos!$B$2,L163="")),"",IF(J163&gt;=Rangos!$B$2,10*B163*J163,10*B163*L163))</f>
        <v/>
      </c>
      <c r="O163" s="20" t="str">
        <f>IF(AND(LECO!$K163="",LECO!$M163=""),"",IF(LECO!$M163="",LECO!$K163,LECO!$M163))</f>
        <v/>
      </c>
      <c r="P163" s="33"/>
      <c r="Q163" s="19" t="str">
        <f t="shared" si="2"/>
        <v/>
      </c>
      <c r="R163" s="22" t="str">
        <f>IF(OR(LECO!$H163="",LECO!$O163=""),"",MAX(LECO!$H163,LECO!$O163))</f>
        <v/>
      </c>
    </row>
    <row r="164" spans="1:18" x14ac:dyDescent="0.3">
      <c r="A164" s="23"/>
      <c r="B164" s="24"/>
      <c r="C164" s="25"/>
      <c r="D164" s="35"/>
      <c r="E164" s="15"/>
      <c r="F164" s="16"/>
      <c r="G164" s="17" t="str">
        <f>IF(OR(A164="",B164="",AND(C164="",E164=""),AND(C164&lt;Rangos!$B$1,E164="")),"",IF(C164&gt;=Rangos!$B$1,10*B164*C164,10*B164*E164))</f>
        <v/>
      </c>
      <c r="H164" s="16" t="str">
        <f>IF(AND(LECO!$D164="",LECO!$F164=""),"",IF(LECO!$F164="",LECO!$D164,LECO!$F164))</f>
        <v/>
      </c>
      <c r="I164" s="32"/>
      <c r="J164" s="25"/>
      <c r="K164" s="35"/>
      <c r="L164" s="15"/>
      <c r="M164" s="16"/>
      <c r="N164" s="15" t="str">
        <f>IF(OR(A164="",B164="",AND(J164="",L164=""),AND(J164&lt;Rangos!$B$2,L164="")),"",IF(J164&gt;=Rangos!$B$2,10*B164*J164,10*B164*L164))</f>
        <v/>
      </c>
      <c r="O164" s="16" t="str">
        <f>IF(AND(LECO!$K164="",LECO!$M164=""),"",IF(LECO!$M164="",LECO!$K164,LECO!$M164))</f>
        <v/>
      </c>
      <c r="P164" s="32"/>
      <c r="Q164" s="15" t="str">
        <f t="shared" si="2"/>
        <v/>
      </c>
      <c r="R164" s="18" t="str">
        <f>IF(OR(LECO!$H164="",LECO!$O164=""),"",MAX(LECO!$H164,LECO!$O164))</f>
        <v/>
      </c>
    </row>
    <row r="165" spans="1:18" x14ac:dyDescent="0.3">
      <c r="A165" s="26"/>
      <c r="B165" s="27"/>
      <c r="C165" s="28"/>
      <c r="D165" s="36"/>
      <c r="E165" s="19"/>
      <c r="F165" s="20"/>
      <c r="G165" s="21" t="str">
        <f>IF(OR(A165="",B165="",AND(C165="",E165=""),AND(C165&lt;Rangos!$B$1,E165="")),"",IF(C165&gt;=Rangos!$B$1,10*B165*C165,10*B165*E165))</f>
        <v/>
      </c>
      <c r="H165" s="20" t="str">
        <f>IF(AND(LECO!$D165="",LECO!$F165=""),"",IF(LECO!$F165="",LECO!$D165,LECO!$F165))</f>
        <v/>
      </c>
      <c r="I165" s="33"/>
      <c r="J165" s="28"/>
      <c r="K165" s="36"/>
      <c r="L165" s="19"/>
      <c r="M165" s="20"/>
      <c r="N165" s="19" t="str">
        <f>IF(OR(A165="",B165="",AND(J165="",L165=""),AND(J165&lt;Rangos!$B$2,L165="")),"",IF(J165&gt;=Rangos!$B$2,10*B165*J165,10*B165*L165))</f>
        <v/>
      </c>
      <c r="O165" s="20" t="str">
        <f>IF(AND(LECO!$K165="",LECO!$M165=""),"",IF(LECO!$M165="",LECO!$K165,LECO!$M165))</f>
        <v/>
      </c>
      <c r="P165" s="33"/>
      <c r="Q165" s="19" t="str">
        <f t="shared" si="2"/>
        <v/>
      </c>
      <c r="R165" s="22" t="str">
        <f>IF(OR(LECO!$H165="",LECO!$O165=""),"",MAX(LECO!$H165,LECO!$O165))</f>
        <v/>
      </c>
    </row>
    <row r="166" spans="1:18" x14ac:dyDescent="0.3">
      <c r="A166" s="23"/>
      <c r="B166" s="24"/>
      <c r="C166" s="25"/>
      <c r="D166" s="35"/>
      <c r="E166" s="15"/>
      <c r="F166" s="16"/>
      <c r="G166" s="17" t="str">
        <f>IF(OR(A166="",B166="",AND(C166="",E166=""),AND(C166&lt;Rangos!$B$1,E166="")),"",IF(C166&gt;=Rangos!$B$1,10*B166*C166,10*B166*E166))</f>
        <v/>
      </c>
      <c r="H166" s="16" t="str">
        <f>IF(AND(LECO!$D166="",LECO!$F166=""),"",IF(LECO!$F166="",LECO!$D166,LECO!$F166))</f>
        <v/>
      </c>
      <c r="I166" s="32"/>
      <c r="J166" s="25"/>
      <c r="K166" s="35"/>
      <c r="L166" s="15"/>
      <c r="M166" s="16"/>
      <c r="N166" s="15" t="str">
        <f>IF(OR(A166="",B166="",AND(J166="",L166=""),AND(J166&lt;Rangos!$B$2,L166="")),"",IF(J166&gt;=Rangos!$B$2,10*B166*J166,10*B166*L166))</f>
        <v/>
      </c>
      <c r="O166" s="16" t="str">
        <f>IF(AND(LECO!$K166="",LECO!$M166=""),"",IF(LECO!$M166="",LECO!$K166,LECO!$M166))</f>
        <v/>
      </c>
      <c r="P166" s="32"/>
      <c r="Q166" s="15" t="str">
        <f t="shared" si="2"/>
        <v/>
      </c>
      <c r="R166" s="18" t="str">
        <f>IF(OR(LECO!$H166="",LECO!$O166=""),"",MAX(LECO!$H166,LECO!$O166))</f>
        <v/>
      </c>
    </row>
    <row r="167" spans="1:18" x14ac:dyDescent="0.3">
      <c r="A167" s="26"/>
      <c r="B167" s="27"/>
      <c r="C167" s="28"/>
      <c r="D167" s="36"/>
      <c r="E167" s="19"/>
      <c r="F167" s="20"/>
      <c r="G167" s="21" t="str">
        <f>IF(OR(A167="",B167="",AND(C167="",E167=""),AND(C167&lt;Rangos!$B$1,E167="")),"",IF(C167&gt;=Rangos!$B$1,10*B167*C167,10*B167*E167))</f>
        <v/>
      </c>
      <c r="H167" s="20" t="str">
        <f>IF(AND(LECO!$D167="",LECO!$F167=""),"",IF(LECO!$F167="",LECO!$D167,LECO!$F167))</f>
        <v/>
      </c>
      <c r="I167" s="33"/>
      <c r="J167" s="28"/>
      <c r="K167" s="36"/>
      <c r="L167" s="19"/>
      <c r="M167" s="20"/>
      <c r="N167" s="19" t="str">
        <f>IF(OR(A167="",B167="",AND(J167="",L167=""),AND(J167&lt;Rangos!$B$2,L167="")),"",IF(J167&gt;=Rangos!$B$2,10*B167*J167,10*B167*L167))</f>
        <v/>
      </c>
      <c r="O167" s="20" t="str">
        <f>IF(AND(LECO!$K167="",LECO!$M167=""),"",IF(LECO!$M167="",LECO!$K167,LECO!$M167))</f>
        <v/>
      </c>
      <c r="P167" s="33"/>
      <c r="Q167" s="19" t="str">
        <f t="shared" si="2"/>
        <v/>
      </c>
      <c r="R167" s="22" t="str">
        <f>IF(OR(LECO!$H167="",LECO!$O167=""),"",MAX(LECO!$H167,LECO!$O167))</f>
        <v/>
      </c>
    </row>
    <row r="168" spans="1:18" x14ac:dyDescent="0.3">
      <c r="A168" s="23"/>
      <c r="B168" s="24"/>
      <c r="C168" s="25"/>
      <c r="D168" s="35"/>
      <c r="E168" s="15"/>
      <c r="F168" s="16"/>
      <c r="G168" s="17" t="str">
        <f>IF(OR(A168="",B168="",AND(C168="",E168=""),AND(C168&lt;Rangos!$B$1,E168="")),"",IF(C168&gt;=Rangos!$B$1,10*B168*C168,10*B168*E168))</f>
        <v/>
      </c>
      <c r="H168" s="16" t="str">
        <f>IF(AND(LECO!$D168="",LECO!$F168=""),"",IF(LECO!$F168="",LECO!$D168,LECO!$F168))</f>
        <v/>
      </c>
      <c r="I168" s="32"/>
      <c r="J168" s="25"/>
      <c r="K168" s="35"/>
      <c r="L168" s="15"/>
      <c r="M168" s="16"/>
      <c r="N168" s="15" t="str">
        <f>IF(OR(A168="",B168="",AND(J168="",L168=""),AND(J168&lt;Rangos!$B$2,L168="")),"",IF(J168&gt;=Rangos!$B$2,10*B168*J168,10*B168*L168))</f>
        <v/>
      </c>
      <c r="O168" s="16" t="str">
        <f>IF(AND(LECO!$K168="",LECO!$M168=""),"",IF(LECO!$M168="",LECO!$K168,LECO!$M168))</f>
        <v/>
      </c>
      <c r="P168" s="32"/>
      <c r="Q168" s="15" t="str">
        <f t="shared" si="2"/>
        <v/>
      </c>
      <c r="R168" s="18" t="str">
        <f>IF(OR(LECO!$H168="",LECO!$O168=""),"",MAX(LECO!$H168,LECO!$O168))</f>
        <v/>
      </c>
    </row>
    <row r="169" spans="1:18" x14ac:dyDescent="0.3">
      <c r="A169" s="26"/>
      <c r="B169" s="27"/>
      <c r="C169" s="28"/>
      <c r="D169" s="36"/>
      <c r="E169" s="19"/>
      <c r="F169" s="20"/>
      <c r="G169" s="21" t="str">
        <f>IF(OR(A169="",B169="",AND(C169="",E169=""),AND(C169&lt;Rangos!$B$1,E169="")),"",IF(C169&gt;=Rangos!$B$1,10*B169*C169,10*B169*E169))</f>
        <v/>
      </c>
      <c r="H169" s="20" t="str">
        <f>IF(AND(LECO!$D169="",LECO!$F169=""),"",IF(LECO!$F169="",LECO!$D169,LECO!$F169))</f>
        <v/>
      </c>
      <c r="I169" s="33"/>
      <c r="J169" s="28"/>
      <c r="K169" s="36"/>
      <c r="L169" s="19"/>
      <c r="M169" s="20"/>
      <c r="N169" s="19" t="str">
        <f>IF(OR(A169="",B169="",AND(J169="",L169=""),AND(J169&lt;Rangos!$B$2,L169="")),"",IF(J169&gt;=Rangos!$B$2,10*B169*J169,10*B169*L169))</f>
        <v/>
      </c>
      <c r="O169" s="20" t="str">
        <f>IF(AND(LECO!$K169="",LECO!$M169=""),"",IF(LECO!$M169="",LECO!$K169,LECO!$M169))</f>
        <v/>
      </c>
      <c r="P169" s="33"/>
      <c r="Q169" s="19" t="str">
        <f t="shared" si="2"/>
        <v/>
      </c>
      <c r="R169" s="22" t="str">
        <f>IF(OR(LECO!$H169="",LECO!$O169=""),"",MAX(LECO!$H169,LECO!$O169))</f>
        <v/>
      </c>
    </row>
    <row r="170" spans="1:18" x14ac:dyDescent="0.3">
      <c r="A170" s="23"/>
      <c r="B170" s="24"/>
      <c r="C170" s="25"/>
      <c r="D170" s="35"/>
      <c r="E170" s="15"/>
      <c r="F170" s="16"/>
      <c r="G170" s="17" t="str">
        <f>IF(OR(A170="",B170="",AND(C170="",E170=""),AND(C170&lt;Rangos!$B$1,E170="")),"",IF(C170&gt;=Rangos!$B$1,10*B170*C170,10*B170*E170))</f>
        <v/>
      </c>
      <c r="H170" s="16" t="str">
        <f>IF(AND(LECO!$D170="",LECO!$F170=""),"",IF(LECO!$F170="",LECO!$D170,LECO!$F170))</f>
        <v/>
      </c>
      <c r="I170" s="32"/>
      <c r="J170" s="25"/>
      <c r="K170" s="35"/>
      <c r="L170" s="15"/>
      <c r="M170" s="16"/>
      <c r="N170" s="15" t="str">
        <f>IF(OR(A170="",B170="",AND(J170="",L170=""),AND(J170&lt;Rangos!$B$2,L170="")),"",IF(J170&gt;=Rangos!$B$2,10*B170*J170,10*B170*L170))</f>
        <v/>
      </c>
      <c r="O170" s="16" t="str">
        <f>IF(AND(LECO!$K170="",LECO!$M170=""),"",IF(LECO!$M170="",LECO!$K170,LECO!$M170))</f>
        <v/>
      </c>
      <c r="P170" s="32"/>
      <c r="Q170" s="15" t="str">
        <f t="shared" si="2"/>
        <v/>
      </c>
      <c r="R170" s="18" t="str">
        <f>IF(OR(LECO!$H170="",LECO!$O170=""),"",MAX(LECO!$H170,LECO!$O170))</f>
        <v/>
      </c>
    </row>
    <row r="171" spans="1:18" x14ac:dyDescent="0.3">
      <c r="A171" s="26"/>
      <c r="B171" s="27"/>
      <c r="C171" s="28"/>
      <c r="D171" s="36"/>
      <c r="E171" s="19"/>
      <c r="F171" s="20"/>
      <c r="G171" s="21" t="str">
        <f>IF(OR(A171="",B171="",AND(C171="",E171=""),AND(C171&lt;Rangos!$B$1,E171="")),"",IF(C171&gt;=Rangos!$B$1,10*B171*C171,10*B171*E171))</f>
        <v/>
      </c>
      <c r="H171" s="20" t="str">
        <f>IF(AND(LECO!$D171="",LECO!$F171=""),"",IF(LECO!$F171="",LECO!$D171,LECO!$F171))</f>
        <v/>
      </c>
      <c r="I171" s="33"/>
      <c r="J171" s="28"/>
      <c r="K171" s="36"/>
      <c r="L171" s="19"/>
      <c r="M171" s="20"/>
      <c r="N171" s="19" t="str">
        <f>IF(OR(A171="",B171="",AND(J171="",L171=""),AND(J171&lt;Rangos!$B$2,L171="")),"",IF(J171&gt;=Rangos!$B$2,10*B171*J171,10*B171*L171))</f>
        <v/>
      </c>
      <c r="O171" s="20" t="str">
        <f>IF(AND(LECO!$K171="",LECO!$M171=""),"",IF(LECO!$M171="",LECO!$K171,LECO!$M171))</f>
        <v/>
      </c>
      <c r="P171" s="33"/>
      <c r="Q171" s="19" t="str">
        <f t="shared" si="2"/>
        <v/>
      </c>
      <c r="R171" s="22" t="str">
        <f>IF(OR(LECO!$H171="",LECO!$O171=""),"",MAX(LECO!$H171,LECO!$O171))</f>
        <v/>
      </c>
    </row>
    <row r="172" spans="1:18" x14ac:dyDescent="0.3">
      <c r="A172" s="23"/>
      <c r="B172" s="24"/>
      <c r="C172" s="25"/>
      <c r="D172" s="35"/>
      <c r="E172" s="15"/>
      <c r="F172" s="16"/>
      <c r="G172" s="17" t="str">
        <f>IF(OR(A172="",B172="",AND(C172="",E172=""),AND(C172&lt;Rangos!$B$1,E172="")),"",IF(C172&gt;=Rangos!$B$1,10*B172*C172,10*B172*E172))</f>
        <v/>
      </c>
      <c r="H172" s="16" t="str">
        <f>IF(AND(LECO!$D172="",LECO!$F172=""),"",IF(LECO!$F172="",LECO!$D172,LECO!$F172))</f>
        <v/>
      </c>
      <c r="I172" s="32"/>
      <c r="J172" s="25"/>
      <c r="K172" s="35"/>
      <c r="L172" s="15"/>
      <c r="M172" s="16"/>
      <c r="N172" s="15" t="str">
        <f>IF(OR(A172="",B172="",AND(J172="",L172=""),AND(J172&lt;Rangos!$B$2,L172="")),"",IF(J172&gt;=Rangos!$B$2,10*B172*J172,10*B172*L172))</f>
        <v/>
      </c>
      <c r="O172" s="16" t="str">
        <f>IF(AND(LECO!$K172="",LECO!$M172=""),"",IF(LECO!$M172="",LECO!$K172,LECO!$M172))</f>
        <v/>
      </c>
      <c r="P172" s="32"/>
      <c r="Q172" s="15" t="str">
        <f t="shared" si="2"/>
        <v/>
      </c>
      <c r="R172" s="18" t="str">
        <f>IF(OR(LECO!$H172="",LECO!$O172=""),"",MAX(LECO!$H172,LECO!$O172))</f>
        <v/>
      </c>
    </row>
    <row r="173" spans="1:18" x14ac:dyDescent="0.3">
      <c r="A173" s="26"/>
      <c r="B173" s="27"/>
      <c r="C173" s="28"/>
      <c r="D173" s="36"/>
      <c r="E173" s="19"/>
      <c r="F173" s="20"/>
      <c r="G173" s="21" t="str">
        <f>IF(OR(A173="",B173="",AND(C173="",E173=""),AND(C173&lt;Rangos!$B$1,E173="")),"",IF(C173&gt;=Rangos!$B$1,10*B173*C173,10*B173*E173))</f>
        <v/>
      </c>
      <c r="H173" s="20" t="str">
        <f>IF(AND(LECO!$D173="",LECO!$F173=""),"",IF(LECO!$F173="",LECO!$D173,LECO!$F173))</f>
        <v/>
      </c>
      <c r="I173" s="33"/>
      <c r="J173" s="28"/>
      <c r="K173" s="36"/>
      <c r="L173" s="19"/>
      <c r="M173" s="20"/>
      <c r="N173" s="19" t="str">
        <f>IF(OR(A173="",B173="",AND(J173="",L173=""),AND(J173&lt;Rangos!$B$2,L173="")),"",IF(J173&gt;=Rangos!$B$2,10*B173*J173,10*B173*L173))</f>
        <v/>
      </c>
      <c r="O173" s="20" t="str">
        <f>IF(AND(LECO!$K173="",LECO!$M173=""),"",IF(LECO!$M173="",LECO!$K173,LECO!$M173))</f>
        <v/>
      </c>
      <c r="P173" s="33"/>
      <c r="Q173" s="19" t="str">
        <f t="shared" si="2"/>
        <v/>
      </c>
      <c r="R173" s="22" t="str">
        <f>IF(OR(LECO!$H173="",LECO!$O173=""),"",MAX(LECO!$H173,LECO!$O173))</f>
        <v/>
      </c>
    </row>
    <row r="174" spans="1:18" x14ac:dyDescent="0.3">
      <c r="A174" s="23"/>
      <c r="B174" s="24"/>
      <c r="C174" s="25"/>
      <c r="D174" s="35"/>
      <c r="E174" s="15"/>
      <c r="F174" s="16"/>
      <c r="G174" s="17" t="str">
        <f>IF(OR(A174="",B174="",AND(C174="",E174=""),AND(C174&lt;Rangos!$B$1,E174="")),"",IF(C174&gt;=Rangos!$B$1,10*B174*C174,10*B174*E174))</f>
        <v/>
      </c>
      <c r="H174" s="16" t="str">
        <f>IF(AND(LECO!$D174="",LECO!$F174=""),"",IF(LECO!$F174="",LECO!$D174,LECO!$F174))</f>
        <v/>
      </c>
      <c r="I174" s="32"/>
      <c r="J174" s="25"/>
      <c r="K174" s="35"/>
      <c r="L174" s="15"/>
      <c r="M174" s="16"/>
      <c r="N174" s="15" t="str">
        <f>IF(OR(A174="",B174="",AND(J174="",L174=""),AND(J174&lt;Rangos!$B$2,L174="")),"",IF(J174&gt;=Rangos!$B$2,10*B174*J174,10*B174*L174))</f>
        <v/>
      </c>
      <c r="O174" s="16" t="str">
        <f>IF(AND(LECO!$K174="",LECO!$M174=""),"",IF(LECO!$M174="",LECO!$K174,LECO!$M174))</f>
        <v/>
      </c>
      <c r="P174" s="32"/>
      <c r="Q174" s="15" t="str">
        <f t="shared" si="2"/>
        <v/>
      </c>
      <c r="R174" s="18" t="str">
        <f>IF(OR(LECO!$H174="",LECO!$O174=""),"",MAX(LECO!$H174,LECO!$O174))</f>
        <v/>
      </c>
    </row>
    <row r="175" spans="1:18" x14ac:dyDescent="0.3">
      <c r="A175" s="26"/>
      <c r="B175" s="27"/>
      <c r="C175" s="28"/>
      <c r="D175" s="36"/>
      <c r="E175" s="19"/>
      <c r="F175" s="20"/>
      <c r="G175" s="21" t="str">
        <f>IF(OR(A175="",B175="",AND(C175="",E175=""),AND(C175&lt;Rangos!$B$1,E175="")),"",IF(C175&gt;=Rangos!$B$1,10*B175*C175,10*B175*E175))</f>
        <v/>
      </c>
      <c r="H175" s="20" t="str">
        <f>IF(AND(LECO!$D175="",LECO!$F175=""),"",IF(LECO!$F175="",LECO!$D175,LECO!$F175))</f>
        <v/>
      </c>
      <c r="I175" s="33"/>
      <c r="J175" s="28"/>
      <c r="K175" s="36"/>
      <c r="L175" s="19"/>
      <c r="M175" s="20"/>
      <c r="N175" s="19" t="str">
        <f>IF(OR(A175="",B175="",AND(J175="",L175=""),AND(J175&lt;Rangos!$B$2,L175="")),"",IF(J175&gt;=Rangos!$B$2,10*B175*J175,10*B175*L175))</f>
        <v/>
      </c>
      <c r="O175" s="20" t="str">
        <f>IF(AND(LECO!$K175="",LECO!$M175=""),"",IF(LECO!$M175="",LECO!$K175,LECO!$M175))</f>
        <v/>
      </c>
      <c r="P175" s="33"/>
      <c r="Q175" s="19" t="str">
        <f t="shared" si="2"/>
        <v/>
      </c>
      <c r="R175" s="22" t="str">
        <f>IF(OR(LECO!$H175="",LECO!$O175=""),"",MAX(LECO!$H175,LECO!$O175))</f>
        <v/>
      </c>
    </row>
    <row r="176" spans="1:18" x14ac:dyDescent="0.3">
      <c r="A176" s="23"/>
      <c r="B176" s="24"/>
      <c r="C176" s="25"/>
      <c r="D176" s="35"/>
      <c r="E176" s="15"/>
      <c r="F176" s="16"/>
      <c r="G176" s="17" t="str">
        <f>IF(OR(A176="",B176="",AND(C176="",E176=""),AND(C176&lt;Rangos!$B$1,E176="")),"",IF(C176&gt;=Rangos!$B$1,10*B176*C176,10*B176*E176))</f>
        <v/>
      </c>
      <c r="H176" s="16" t="str">
        <f>IF(AND(LECO!$D176="",LECO!$F176=""),"",IF(LECO!$F176="",LECO!$D176,LECO!$F176))</f>
        <v/>
      </c>
      <c r="I176" s="32"/>
      <c r="J176" s="25"/>
      <c r="K176" s="35"/>
      <c r="L176" s="15"/>
      <c r="M176" s="16"/>
      <c r="N176" s="15" t="str">
        <f>IF(OR(A176="",B176="",AND(J176="",L176=""),AND(J176&lt;Rangos!$B$2,L176="")),"",IF(J176&gt;=Rangos!$B$2,10*B176*J176,10*B176*L176))</f>
        <v/>
      </c>
      <c r="O176" s="16" t="str">
        <f>IF(AND(LECO!$K176="",LECO!$M176=""),"",IF(LECO!$M176="",LECO!$K176,LECO!$M176))</f>
        <v/>
      </c>
      <c r="P176" s="32"/>
      <c r="Q176" s="15" t="str">
        <f t="shared" si="2"/>
        <v/>
      </c>
      <c r="R176" s="18" t="str">
        <f>IF(OR(LECO!$H176="",LECO!$O176=""),"",MAX(LECO!$H176,LECO!$O176))</f>
        <v/>
      </c>
    </row>
    <row r="177" spans="1:18" x14ac:dyDescent="0.3">
      <c r="A177" s="26"/>
      <c r="B177" s="27"/>
      <c r="C177" s="28"/>
      <c r="D177" s="36"/>
      <c r="E177" s="19"/>
      <c r="F177" s="20"/>
      <c r="G177" s="21" t="str">
        <f>IF(OR(A177="",B177="",AND(C177="",E177=""),AND(C177&lt;Rangos!$B$1,E177="")),"",IF(C177&gt;=Rangos!$B$1,10*B177*C177,10*B177*E177))</f>
        <v/>
      </c>
      <c r="H177" s="20" t="str">
        <f>IF(AND(LECO!$D177="",LECO!$F177=""),"",IF(LECO!$F177="",LECO!$D177,LECO!$F177))</f>
        <v/>
      </c>
      <c r="I177" s="33"/>
      <c r="J177" s="28"/>
      <c r="K177" s="36"/>
      <c r="L177" s="19"/>
      <c r="M177" s="20"/>
      <c r="N177" s="19" t="str">
        <f>IF(OR(A177="",B177="",AND(J177="",L177=""),AND(J177&lt;Rangos!$B$2,L177="")),"",IF(J177&gt;=Rangos!$B$2,10*B177*J177,10*B177*L177))</f>
        <v/>
      </c>
      <c r="O177" s="20" t="str">
        <f>IF(AND(LECO!$K177="",LECO!$M177=""),"",IF(LECO!$M177="",LECO!$K177,LECO!$M177))</f>
        <v/>
      </c>
      <c r="P177" s="33"/>
      <c r="Q177" s="19" t="str">
        <f t="shared" si="2"/>
        <v/>
      </c>
      <c r="R177" s="22" t="str">
        <f>IF(OR(LECO!$H177="",LECO!$O177=""),"",MAX(LECO!$H177,LECO!$O177))</f>
        <v/>
      </c>
    </row>
    <row r="178" spans="1:18" x14ac:dyDescent="0.3">
      <c r="A178" s="23"/>
      <c r="B178" s="24"/>
      <c r="C178" s="25"/>
      <c r="D178" s="35"/>
      <c r="E178" s="15"/>
      <c r="F178" s="16"/>
      <c r="G178" s="17" t="str">
        <f>IF(OR(A178="",B178="",AND(C178="",E178=""),AND(C178&lt;Rangos!$B$1,E178="")),"",IF(C178&gt;=Rangos!$B$1,10*B178*C178,10*B178*E178))</f>
        <v/>
      </c>
      <c r="H178" s="16" t="str">
        <f>IF(AND(LECO!$D178="",LECO!$F178=""),"",IF(LECO!$F178="",LECO!$D178,LECO!$F178))</f>
        <v/>
      </c>
      <c r="I178" s="32"/>
      <c r="J178" s="25"/>
      <c r="K178" s="35"/>
      <c r="L178" s="15"/>
      <c r="M178" s="16"/>
      <c r="N178" s="15" t="str">
        <f>IF(OR(A178="",B178="",AND(J178="",L178=""),AND(J178&lt;Rangos!$B$2,L178="")),"",IF(J178&gt;=Rangos!$B$2,10*B178*J178,10*B178*L178))</f>
        <v/>
      </c>
      <c r="O178" s="16" t="str">
        <f>IF(AND(LECO!$K178="",LECO!$M178=""),"",IF(LECO!$M178="",LECO!$K178,LECO!$M178))</f>
        <v/>
      </c>
      <c r="P178" s="32"/>
      <c r="Q178" s="15" t="str">
        <f t="shared" si="2"/>
        <v/>
      </c>
      <c r="R178" s="18" t="str">
        <f>IF(OR(LECO!$H178="",LECO!$O178=""),"",MAX(LECO!$H178,LECO!$O178))</f>
        <v/>
      </c>
    </row>
    <row r="179" spans="1:18" x14ac:dyDescent="0.3">
      <c r="A179" s="26"/>
      <c r="B179" s="27"/>
      <c r="C179" s="28"/>
      <c r="D179" s="36"/>
      <c r="E179" s="19"/>
      <c r="F179" s="20"/>
      <c r="G179" s="21" t="str">
        <f>IF(OR(A179="",B179="",AND(C179="",E179=""),AND(C179&lt;Rangos!$B$1,E179="")),"",IF(C179&gt;=Rangos!$B$1,10*B179*C179,10*B179*E179))</f>
        <v/>
      </c>
      <c r="H179" s="20" t="str">
        <f>IF(AND(LECO!$D179="",LECO!$F179=""),"",IF(LECO!$F179="",LECO!$D179,LECO!$F179))</f>
        <v/>
      </c>
      <c r="I179" s="33"/>
      <c r="J179" s="28"/>
      <c r="K179" s="36"/>
      <c r="L179" s="19"/>
      <c r="M179" s="20"/>
      <c r="N179" s="19" t="str">
        <f>IF(OR(A179="",B179="",AND(J179="",L179=""),AND(J179&lt;Rangos!$B$2,L179="")),"",IF(J179&gt;=Rangos!$B$2,10*B179*J179,10*B179*L179))</f>
        <v/>
      </c>
      <c r="O179" s="20" t="str">
        <f>IF(AND(LECO!$K179="",LECO!$M179=""),"",IF(LECO!$M179="",LECO!$K179,LECO!$M179))</f>
        <v/>
      </c>
      <c r="P179" s="33"/>
      <c r="Q179" s="19" t="str">
        <f t="shared" si="2"/>
        <v/>
      </c>
      <c r="R179" s="22" t="str">
        <f>IF(OR(LECO!$H179="",LECO!$O179=""),"",MAX(LECO!$H179,LECO!$O179))</f>
        <v/>
      </c>
    </row>
    <row r="180" spans="1:18" x14ac:dyDescent="0.3">
      <c r="A180" s="23"/>
      <c r="B180" s="24"/>
      <c r="C180" s="25"/>
      <c r="D180" s="35"/>
      <c r="E180" s="15"/>
      <c r="F180" s="16"/>
      <c r="G180" s="17" t="str">
        <f>IF(OR(A180="",B180="",AND(C180="",E180=""),AND(C180&lt;Rangos!$B$1,E180="")),"",IF(C180&gt;=Rangos!$B$1,10*B180*C180,10*B180*E180))</f>
        <v/>
      </c>
      <c r="H180" s="16" t="str">
        <f>IF(AND(LECO!$D180="",LECO!$F180=""),"",IF(LECO!$F180="",LECO!$D180,LECO!$F180))</f>
        <v/>
      </c>
      <c r="I180" s="32"/>
      <c r="J180" s="25"/>
      <c r="K180" s="35"/>
      <c r="L180" s="15"/>
      <c r="M180" s="16"/>
      <c r="N180" s="15" t="str">
        <f>IF(OR(A180="",B180="",AND(J180="",L180=""),AND(J180&lt;Rangos!$B$2,L180="")),"",IF(J180&gt;=Rangos!$B$2,10*B180*J180,10*B180*L180))</f>
        <v/>
      </c>
      <c r="O180" s="16" t="str">
        <f>IF(AND(LECO!$K180="",LECO!$M180=""),"",IF(LECO!$M180="",LECO!$K180,LECO!$M180))</f>
        <v/>
      </c>
      <c r="P180" s="32"/>
      <c r="Q180" s="15" t="str">
        <f t="shared" si="2"/>
        <v/>
      </c>
      <c r="R180" s="18" t="str">
        <f>IF(OR(LECO!$H180="",LECO!$O180=""),"",MAX(LECO!$H180,LECO!$O180))</f>
        <v/>
      </c>
    </row>
    <row r="181" spans="1:18" x14ac:dyDescent="0.3">
      <c r="A181" s="26"/>
      <c r="B181" s="27"/>
      <c r="C181" s="28"/>
      <c r="D181" s="36"/>
      <c r="E181" s="19"/>
      <c r="F181" s="20"/>
      <c r="G181" s="21" t="str">
        <f>IF(OR(A181="",B181="",AND(C181="",E181=""),AND(C181&lt;Rangos!$B$1,E181="")),"",IF(C181&gt;=Rangos!$B$1,10*B181*C181,10*B181*E181))</f>
        <v/>
      </c>
      <c r="H181" s="20" t="str">
        <f>IF(AND(LECO!$D181="",LECO!$F181=""),"",IF(LECO!$F181="",LECO!$D181,LECO!$F181))</f>
        <v/>
      </c>
      <c r="I181" s="33"/>
      <c r="J181" s="28"/>
      <c r="K181" s="36"/>
      <c r="L181" s="19"/>
      <c r="M181" s="20"/>
      <c r="N181" s="19" t="str">
        <f>IF(OR(A181="",B181="",AND(J181="",L181=""),AND(J181&lt;Rangos!$B$2,L181="")),"",IF(J181&gt;=Rangos!$B$2,10*B181*J181,10*B181*L181))</f>
        <v/>
      </c>
      <c r="O181" s="20" t="str">
        <f>IF(AND(LECO!$K181="",LECO!$M181=""),"",IF(LECO!$M181="",LECO!$K181,LECO!$M181))</f>
        <v/>
      </c>
      <c r="P181" s="33"/>
      <c r="Q181" s="19" t="str">
        <f t="shared" si="2"/>
        <v/>
      </c>
      <c r="R181" s="22" t="str">
        <f>IF(OR(LECO!$H181="",LECO!$O181=""),"",MAX(LECO!$H181,LECO!$O181))</f>
        <v/>
      </c>
    </row>
    <row r="182" spans="1:18" x14ac:dyDescent="0.3">
      <c r="A182" s="23"/>
      <c r="B182" s="24"/>
      <c r="C182" s="25"/>
      <c r="D182" s="35"/>
      <c r="E182" s="15"/>
      <c r="F182" s="16"/>
      <c r="G182" s="17" t="str">
        <f>IF(OR(A182="",B182="",AND(C182="",E182=""),AND(C182&lt;Rangos!$B$1,E182="")),"",IF(C182&gt;=Rangos!$B$1,10*B182*C182,10*B182*E182))</f>
        <v/>
      </c>
      <c r="H182" s="16" t="str">
        <f>IF(AND(LECO!$D182="",LECO!$F182=""),"",IF(LECO!$F182="",LECO!$D182,LECO!$F182))</f>
        <v/>
      </c>
      <c r="I182" s="32"/>
      <c r="J182" s="25"/>
      <c r="K182" s="35"/>
      <c r="L182" s="15"/>
      <c r="M182" s="16"/>
      <c r="N182" s="15" t="str">
        <f>IF(OR(A182="",B182="",AND(J182="",L182=""),AND(J182&lt;Rangos!$B$2,L182="")),"",IF(J182&gt;=Rangos!$B$2,10*B182*J182,10*B182*L182))</f>
        <v/>
      </c>
      <c r="O182" s="16" t="str">
        <f>IF(AND(LECO!$K182="",LECO!$M182=""),"",IF(LECO!$M182="",LECO!$K182,LECO!$M182))</f>
        <v/>
      </c>
      <c r="P182" s="32"/>
      <c r="Q182" s="15" t="str">
        <f t="shared" si="2"/>
        <v/>
      </c>
      <c r="R182" s="18" t="str">
        <f>IF(OR(LECO!$H182="",LECO!$O182=""),"",MAX(LECO!$H182,LECO!$O182))</f>
        <v/>
      </c>
    </row>
    <row r="183" spans="1:18" x14ac:dyDescent="0.3">
      <c r="A183" s="26"/>
      <c r="B183" s="27"/>
      <c r="C183" s="28"/>
      <c r="D183" s="36"/>
      <c r="E183" s="19"/>
      <c r="F183" s="20"/>
      <c r="G183" s="21" t="str">
        <f>IF(OR(A183="",B183="",AND(C183="",E183=""),AND(C183&lt;Rangos!$B$1,E183="")),"",IF(C183&gt;=Rangos!$B$1,10*B183*C183,10*B183*E183))</f>
        <v/>
      </c>
      <c r="H183" s="20" t="str">
        <f>IF(AND(LECO!$D183="",LECO!$F183=""),"",IF(LECO!$F183="",LECO!$D183,LECO!$F183))</f>
        <v/>
      </c>
      <c r="I183" s="33"/>
      <c r="J183" s="28"/>
      <c r="K183" s="36"/>
      <c r="L183" s="19"/>
      <c r="M183" s="20"/>
      <c r="N183" s="19" t="str">
        <f>IF(OR(A183="",B183="",AND(J183="",L183=""),AND(J183&lt;Rangos!$B$2,L183="")),"",IF(J183&gt;=Rangos!$B$2,10*B183*J183,10*B183*L183))</f>
        <v/>
      </c>
      <c r="O183" s="20" t="str">
        <f>IF(AND(LECO!$K183="",LECO!$M183=""),"",IF(LECO!$M183="",LECO!$K183,LECO!$M183))</f>
        <v/>
      </c>
      <c r="P183" s="33"/>
      <c r="Q183" s="19" t="str">
        <f t="shared" si="2"/>
        <v/>
      </c>
      <c r="R183" s="22" t="str">
        <f>IF(OR(LECO!$H183="",LECO!$O183=""),"",MAX(LECO!$H183,LECO!$O183))</f>
        <v/>
      </c>
    </row>
    <row r="184" spans="1:18" x14ac:dyDescent="0.3">
      <c r="A184" s="23"/>
      <c r="B184" s="24"/>
      <c r="C184" s="25"/>
      <c r="D184" s="35"/>
      <c r="E184" s="15"/>
      <c r="F184" s="16"/>
      <c r="G184" s="17" t="str">
        <f>IF(OR(A184="",B184="",AND(C184="",E184=""),AND(C184&lt;Rangos!$B$1,E184="")),"",IF(C184&gt;=Rangos!$B$1,10*B184*C184,10*B184*E184))</f>
        <v/>
      </c>
      <c r="H184" s="16" t="str">
        <f>IF(AND(LECO!$D184="",LECO!$F184=""),"",IF(LECO!$F184="",LECO!$D184,LECO!$F184))</f>
        <v/>
      </c>
      <c r="I184" s="32"/>
      <c r="J184" s="25"/>
      <c r="K184" s="35"/>
      <c r="L184" s="15"/>
      <c r="M184" s="16"/>
      <c r="N184" s="15" t="str">
        <f>IF(OR(A184="",B184="",AND(J184="",L184=""),AND(J184&lt;Rangos!$B$2,L184="")),"",IF(J184&gt;=Rangos!$B$2,10*B184*J184,10*B184*L184))</f>
        <v/>
      </c>
      <c r="O184" s="16" t="str">
        <f>IF(AND(LECO!$K184="",LECO!$M184=""),"",IF(LECO!$M184="",LECO!$K184,LECO!$M184))</f>
        <v/>
      </c>
      <c r="P184" s="32"/>
      <c r="Q184" s="15" t="str">
        <f t="shared" si="2"/>
        <v/>
      </c>
      <c r="R184" s="18" t="str">
        <f>IF(OR(LECO!$H184="",LECO!$O184=""),"",MAX(LECO!$H184,LECO!$O184))</f>
        <v/>
      </c>
    </row>
    <row r="185" spans="1:18" x14ac:dyDescent="0.3">
      <c r="A185" s="26"/>
      <c r="B185" s="27"/>
      <c r="C185" s="28"/>
      <c r="D185" s="36"/>
      <c r="E185" s="19"/>
      <c r="F185" s="20"/>
      <c r="G185" s="21" t="str">
        <f>IF(OR(A185="",B185="",AND(C185="",E185=""),AND(C185&lt;Rangos!$B$1,E185="")),"",IF(C185&gt;=Rangos!$B$1,10*B185*C185,10*B185*E185))</f>
        <v/>
      </c>
      <c r="H185" s="20" t="str">
        <f>IF(AND(LECO!$D185="",LECO!$F185=""),"",IF(LECO!$F185="",LECO!$D185,LECO!$F185))</f>
        <v/>
      </c>
      <c r="I185" s="33"/>
      <c r="J185" s="28"/>
      <c r="K185" s="36"/>
      <c r="L185" s="19"/>
      <c r="M185" s="20"/>
      <c r="N185" s="19" t="str">
        <f>IF(OR(A185="",B185="",AND(J185="",L185=""),AND(J185&lt;Rangos!$B$2,L185="")),"",IF(J185&gt;=Rangos!$B$2,10*B185*J185,10*B185*L185))</f>
        <v/>
      </c>
      <c r="O185" s="20" t="str">
        <f>IF(AND(LECO!$K185="",LECO!$M185=""),"",IF(LECO!$M185="",LECO!$K185,LECO!$M185))</f>
        <v/>
      </c>
      <c r="P185" s="33"/>
      <c r="Q185" s="19" t="str">
        <f t="shared" si="2"/>
        <v/>
      </c>
      <c r="R185" s="22" t="str">
        <f>IF(OR(LECO!$H185="",LECO!$O185=""),"",MAX(LECO!$H185,LECO!$O185))</f>
        <v/>
      </c>
    </row>
    <row r="186" spans="1:18" x14ac:dyDescent="0.3">
      <c r="A186" s="23"/>
      <c r="B186" s="24"/>
      <c r="C186" s="25"/>
      <c r="D186" s="35"/>
      <c r="E186" s="15"/>
      <c r="F186" s="16"/>
      <c r="G186" s="17" t="str">
        <f>IF(OR(A186="",B186="",AND(C186="",E186=""),AND(C186&lt;Rangos!$B$1,E186="")),"",IF(C186&gt;=Rangos!$B$1,10*B186*C186,10*B186*E186))</f>
        <v/>
      </c>
      <c r="H186" s="16" t="str">
        <f>IF(AND(LECO!$D186="",LECO!$F186=""),"",IF(LECO!$F186="",LECO!$D186,LECO!$F186))</f>
        <v/>
      </c>
      <c r="I186" s="32"/>
      <c r="J186" s="25"/>
      <c r="K186" s="35"/>
      <c r="L186" s="15"/>
      <c r="M186" s="16"/>
      <c r="N186" s="15" t="str">
        <f>IF(OR(A186="",B186="",AND(J186="",L186=""),AND(J186&lt;Rangos!$B$2,L186="")),"",IF(J186&gt;=Rangos!$B$2,10*B186*J186,10*B186*L186))</f>
        <v/>
      </c>
      <c r="O186" s="16" t="str">
        <f>IF(AND(LECO!$K186="",LECO!$M186=""),"",IF(LECO!$M186="",LECO!$K186,LECO!$M186))</f>
        <v/>
      </c>
      <c r="P186" s="32"/>
      <c r="Q186" s="15" t="str">
        <f t="shared" si="2"/>
        <v/>
      </c>
      <c r="R186" s="18" t="str">
        <f>IF(OR(LECO!$H186="",LECO!$O186=""),"",MAX(LECO!$H186,LECO!$O186))</f>
        <v/>
      </c>
    </row>
    <row r="187" spans="1:18" x14ac:dyDescent="0.3">
      <c r="A187" s="26"/>
      <c r="B187" s="27"/>
      <c r="C187" s="28"/>
      <c r="D187" s="36"/>
      <c r="E187" s="19"/>
      <c r="F187" s="20"/>
      <c r="G187" s="21" t="str">
        <f>IF(OR(A187="",B187="",AND(C187="",E187=""),AND(C187&lt;Rangos!$B$1,E187="")),"",IF(C187&gt;=Rangos!$B$1,10*B187*C187,10*B187*E187))</f>
        <v/>
      </c>
      <c r="H187" s="20" t="str">
        <f>IF(AND(LECO!$D187="",LECO!$F187=""),"",IF(LECO!$F187="",LECO!$D187,LECO!$F187))</f>
        <v/>
      </c>
      <c r="I187" s="33"/>
      <c r="J187" s="28"/>
      <c r="K187" s="36"/>
      <c r="L187" s="19"/>
      <c r="M187" s="20"/>
      <c r="N187" s="19" t="str">
        <f>IF(OR(A187="",B187="",AND(J187="",L187=""),AND(J187&lt;Rangos!$B$2,L187="")),"",IF(J187&gt;=Rangos!$B$2,10*B187*J187,10*B187*L187))</f>
        <v/>
      </c>
      <c r="O187" s="20" t="str">
        <f>IF(AND(LECO!$K187="",LECO!$M187=""),"",IF(LECO!$M187="",LECO!$K187,LECO!$M187))</f>
        <v/>
      </c>
      <c r="P187" s="33"/>
      <c r="Q187" s="19" t="str">
        <f t="shared" si="2"/>
        <v/>
      </c>
      <c r="R187" s="22" t="str">
        <f>IF(OR(LECO!$H187="",LECO!$O187=""),"",MAX(LECO!$H187,LECO!$O187))</f>
        <v/>
      </c>
    </row>
    <row r="188" spans="1:18" x14ac:dyDescent="0.3">
      <c r="A188" s="23"/>
      <c r="B188" s="24"/>
      <c r="C188" s="25"/>
      <c r="D188" s="35"/>
      <c r="E188" s="15"/>
      <c r="F188" s="16"/>
      <c r="G188" s="17" t="str">
        <f>IF(OR(A188="",B188="",AND(C188="",E188=""),AND(C188&lt;Rangos!$B$1,E188="")),"",IF(C188&gt;=Rangos!$B$1,10*B188*C188,10*B188*E188))</f>
        <v/>
      </c>
      <c r="H188" s="16" t="str">
        <f>IF(AND(LECO!$D188="",LECO!$F188=""),"",IF(LECO!$F188="",LECO!$D188,LECO!$F188))</f>
        <v/>
      </c>
      <c r="I188" s="32"/>
      <c r="J188" s="25"/>
      <c r="K188" s="35"/>
      <c r="L188" s="15"/>
      <c r="M188" s="16"/>
      <c r="N188" s="15" t="str">
        <f>IF(OR(A188="",B188="",AND(J188="",L188=""),AND(J188&lt;Rangos!$B$2,L188="")),"",IF(J188&gt;=Rangos!$B$2,10*B188*J188,10*B188*L188))</f>
        <v/>
      </c>
      <c r="O188" s="16" t="str">
        <f>IF(AND(LECO!$K188="",LECO!$M188=""),"",IF(LECO!$M188="",LECO!$K188,LECO!$M188))</f>
        <v/>
      </c>
      <c r="P188" s="32"/>
      <c r="Q188" s="15" t="str">
        <f t="shared" si="2"/>
        <v/>
      </c>
      <c r="R188" s="18" t="str">
        <f>IF(OR(LECO!$H188="",LECO!$O188=""),"",MAX(LECO!$H188,LECO!$O188))</f>
        <v/>
      </c>
    </row>
    <row r="189" spans="1:18" x14ac:dyDescent="0.3">
      <c r="A189" s="26"/>
      <c r="B189" s="27"/>
      <c r="C189" s="28"/>
      <c r="D189" s="36"/>
      <c r="E189" s="19"/>
      <c r="F189" s="20"/>
      <c r="G189" s="21" t="str">
        <f>IF(OR(A189="",B189="",AND(C189="",E189=""),AND(C189&lt;Rangos!$B$1,E189="")),"",IF(C189&gt;=Rangos!$B$1,10*B189*C189,10*B189*E189))</f>
        <v/>
      </c>
      <c r="H189" s="20" t="str">
        <f>IF(AND(LECO!$D189="",LECO!$F189=""),"",IF(LECO!$F189="",LECO!$D189,LECO!$F189))</f>
        <v/>
      </c>
      <c r="I189" s="33"/>
      <c r="J189" s="28"/>
      <c r="K189" s="36"/>
      <c r="L189" s="19"/>
      <c r="M189" s="20"/>
      <c r="N189" s="19" t="str">
        <f>IF(OR(A189="",B189="",AND(J189="",L189=""),AND(J189&lt;Rangos!$B$2,L189="")),"",IF(J189&gt;=Rangos!$B$2,10*B189*J189,10*B189*L189))</f>
        <v/>
      </c>
      <c r="O189" s="20" t="str">
        <f>IF(AND(LECO!$K189="",LECO!$M189=""),"",IF(LECO!$M189="",LECO!$K189,LECO!$M189))</f>
        <v/>
      </c>
      <c r="P189" s="33"/>
      <c r="Q189" s="19" t="str">
        <f t="shared" si="2"/>
        <v/>
      </c>
      <c r="R189" s="22" t="str">
        <f>IF(OR(LECO!$H189="",LECO!$O189=""),"",MAX(LECO!$H189,LECO!$O189))</f>
        <v/>
      </c>
    </row>
    <row r="190" spans="1:18" x14ac:dyDescent="0.3">
      <c r="A190" s="23"/>
      <c r="B190" s="24"/>
      <c r="C190" s="25"/>
      <c r="D190" s="35"/>
      <c r="E190" s="15"/>
      <c r="F190" s="16"/>
      <c r="G190" s="17" t="str">
        <f>IF(OR(A190="",B190="",AND(C190="",E190=""),AND(C190&lt;Rangos!$B$1,E190="")),"",IF(C190&gt;=Rangos!$B$1,10*B190*C190,10*B190*E190))</f>
        <v/>
      </c>
      <c r="H190" s="16" t="str">
        <f>IF(AND(LECO!$D190="",LECO!$F190=""),"",IF(LECO!$F190="",LECO!$D190,LECO!$F190))</f>
        <v/>
      </c>
      <c r="I190" s="32"/>
      <c r="J190" s="25"/>
      <c r="K190" s="35"/>
      <c r="L190" s="15"/>
      <c r="M190" s="16"/>
      <c r="N190" s="15" t="str">
        <f>IF(OR(A190="",B190="",AND(J190="",L190=""),AND(J190&lt;Rangos!$B$2,L190="")),"",IF(J190&gt;=Rangos!$B$2,10*B190*J190,10*B190*L190))</f>
        <v/>
      </c>
      <c r="O190" s="16" t="str">
        <f>IF(AND(LECO!$K190="",LECO!$M190=""),"",IF(LECO!$M190="",LECO!$K190,LECO!$M190))</f>
        <v/>
      </c>
      <c r="P190" s="32"/>
      <c r="Q190" s="15" t="str">
        <f t="shared" si="2"/>
        <v/>
      </c>
      <c r="R190" s="18" t="str">
        <f>IF(OR(LECO!$H190="",LECO!$O190=""),"",MAX(LECO!$H190,LECO!$O190))</f>
        <v/>
      </c>
    </row>
    <row r="191" spans="1:18" x14ac:dyDescent="0.3">
      <c r="A191" s="26"/>
      <c r="B191" s="27"/>
      <c r="C191" s="28"/>
      <c r="D191" s="36"/>
      <c r="E191" s="19"/>
      <c r="F191" s="20"/>
      <c r="G191" s="21" t="str">
        <f>IF(OR(A191="",B191="",AND(C191="",E191=""),AND(C191&lt;Rangos!$B$1,E191="")),"",IF(C191&gt;=Rangos!$B$1,10*B191*C191,10*B191*E191))</f>
        <v/>
      </c>
      <c r="H191" s="20" t="str">
        <f>IF(AND(LECO!$D191="",LECO!$F191=""),"",IF(LECO!$F191="",LECO!$D191,LECO!$F191))</f>
        <v/>
      </c>
      <c r="I191" s="33"/>
      <c r="J191" s="28"/>
      <c r="K191" s="36"/>
      <c r="L191" s="19"/>
      <c r="M191" s="20"/>
      <c r="N191" s="19" t="str">
        <f>IF(OR(A191="",B191="",AND(J191="",L191=""),AND(J191&lt;Rangos!$B$2,L191="")),"",IF(J191&gt;=Rangos!$B$2,10*B191*J191,10*B191*L191))</f>
        <v/>
      </c>
      <c r="O191" s="20" t="str">
        <f>IF(AND(LECO!$K191="",LECO!$M191=""),"",IF(LECO!$M191="",LECO!$K191,LECO!$M191))</f>
        <v/>
      </c>
      <c r="P191" s="33"/>
      <c r="Q191" s="19" t="str">
        <f t="shared" si="2"/>
        <v/>
      </c>
      <c r="R191" s="22" t="str">
        <f>IF(OR(LECO!$H191="",LECO!$O191=""),"",MAX(LECO!$H191,LECO!$O191))</f>
        <v/>
      </c>
    </row>
    <row r="192" spans="1:18" x14ac:dyDescent="0.3">
      <c r="A192" s="23"/>
      <c r="B192" s="24"/>
      <c r="C192" s="25"/>
      <c r="D192" s="35"/>
      <c r="E192" s="15"/>
      <c r="F192" s="16"/>
      <c r="G192" s="17" t="str">
        <f>IF(OR(A192="",B192="",AND(C192="",E192=""),AND(C192&lt;Rangos!$B$1,E192="")),"",IF(C192&gt;=Rangos!$B$1,10*B192*C192,10*B192*E192))</f>
        <v/>
      </c>
      <c r="H192" s="16" t="str">
        <f>IF(AND(LECO!$D192="",LECO!$F192=""),"",IF(LECO!$F192="",LECO!$D192,LECO!$F192))</f>
        <v/>
      </c>
      <c r="I192" s="32"/>
      <c r="J192" s="25"/>
      <c r="K192" s="35"/>
      <c r="L192" s="15"/>
      <c r="M192" s="16"/>
      <c r="N192" s="15" t="str">
        <f>IF(OR(A192="",B192="",AND(J192="",L192=""),AND(J192&lt;Rangos!$B$2,L192="")),"",IF(J192&gt;=Rangos!$B$2,10*B192*J192,10*B192*L192))</f>
        <v/>
      </c>
      <c r="O192" s="16" t="str">
        <f>IF(AND(LECO!$K192="",LECO!$M192=""),"",IF(LECO!$M192="",LECO!$K192,LECO!$M192))</f>
        <v/>
      </c>
      <c r="P192" s="32"/>
      <c r="Q192" s="15" t="str">
        <f t="shared" si="2"/>
        <v/>
      </c>
      <c r="R192" s="18" t="str">
        <f>IF(OR(LECO!$H192="",LECO!$O192=""),"",MAX(LECO!$H192,LECO!$O192))</f>
        <v/>
      </c>
    </row>
    <row r="193" spans="1:18" x14ac:dyDescent="0.3">
      <c r="A193" s="26"/>
      <c r="B193" s="27"/>
      <c r="C193" s="28"/>
      <c r="D193" s="36"/>
      <c r="E193" s="19"/>
      <c r="F193" s="20"/>
      <c r="G193" s="21" t="str">
        <f>IF(OR(A193="",B193="",AND(C193="",E193=""),AND(C193&lt;Rangos!$B$1,E193="")),"",IF(C193&gt;=Rangos!$B$1,10*B193*C193,10*B193*E193))</f>
        <v/>
      </c>
      <c r="H193" s="20" t="str">
        <f>IF(AND(LECO!$D193="",LECO!$F193=""),"",IF(LECO!$F193="",LECO!$D193,LECO!$F193))</f>
        <v/>
      </c>
      <c r="I193" s="33"/>
      <c r="J193" s="28"/>
      <c r="K193" s="36"/>
      <c r="L193" s="19"/>
      <c r="M193" s="20"/>
      <c r="N193" s="19" t="str">
        <f>IF(OR(A193="",B193="",AND(J193="",L193=""),AND(J193&lt;Rangos!$B$2,L193="")),"",IF(J193&gt;=Rangos!$B$2,10*B193*J193,10*B193*L193))</f>
        <v/>
      </c>
      <c r="O193" s="20" t="str">
        <f>IF(AND(LECO!$K193="",LECO!$M193=""),"",IF(LECO!$M193="",LECO!$K193,LECO!$M193))</f>
        <v/>
      </c>
      <c r="P193" s="33"/>
      <c r="Q193" s="19" t="str">
        <f t="shared" si="2"/>
        <v/>
      </c>
      <c r="R193" s="22" t="str">
        <f>IF(OR(LECO!$H193="",LECO!$O193=""),"",MAX(LECO!$H193,LECO!$O193))</f>
        <v/>
      </c>
    </row>
    <row r="194" spans="1:18" x14ac:dyDescent="0.3">
      <c r="A194" s="23"/>
      <c r="B194" s="24"/>
      <c r="C194" s="25"/>
      <c r="D194" s="35"/>
      <c r="E194" s="15"/>
      <c r="F194" s="16"/>
      <c r="G194" s="17" t="str">
        <f>IF(OR(A194="",B194="",AND(C194="",E194=""),AND(C194&lt;Rangos!$B$1,E194="")),"",IF(C194&gt;=Rangos!$B$1,10*B194*C194,10*B194*E194))</f>
        <v/>
      </c>
      <c r="H194" s="16" t="str">
        <f>IF(AND(LECO!$D194="",LECO!$F194=""),"",IF(LECO!$F194="",LECO!$D194,LECO!$F194))</f>
        <v/>
      </c>
      <c r="I194" s="32"/>
      <c r="J194" s="25"/>
      <c r="K194" s="35"/>
      <c r="L194" s="15"/>
      <c r="M194" s="16"/>
      <c r="N194" s="15" t="str">
        <f>IF(OR(A194="",B194="",AND(J194="",L194=""),AND(J194&lt;Rangos!$B$2,L194="")),"",IF(J194&gt;=Rangos!$B$2,10*B194*J194,10*B194*L194))</f>
        <v/>
      </c>
      <c r="O194" s="16" t="str">
        <f>IF(AND(LECO!$K194="",LECO!$M194=""),"",IF(LECO!$M194="",LECO!$K194,LECO!$M194))</f>
        <v/>
      </c>
      <c r="P194" s="32"/>
      <c r="Q194" s="15" t="str">
        <f t="shared" si="2"/>
        <v/>
      </c>
      <c r="R194" s="18" t="str">
        <f>IF(OR(LECO!$H194="",LECO!$O194=""),"",MAX(LECO!$H194,LECO!$O194))</f>
        <v/>
      </c>
    </row>
    <row r="195" spans="1:18" x14ac:dyDescent="0.3">
      <c r="A195" s="26"/>
      <c r="B195" s="27"/>
      <c r="C195" s="28"/>
      <c r="D195" s="36"/>
      <c r="E195" s="19"/>
      <c r="F195" s="20"/>
      <c r="G195" s="21" t="str">
        <f>IF(OR(A195="",B195="",AND(C195="",E195=""),AND(C195&lt;Rangos!$B$1,E195="")),"",IF(C195&gt;=Rangos!$B$1,10*B195*C195,10*B195*E195))</f>
        <v/>
      </c>
      <c r="H195" s="20" t="str">
        <f>IF(AND(LECO!$D195="",LECO!$F195=""),"",IF(LECO!$F195="",LECO!$D195,LECO!$F195))</f>
        <v/>
      </c>
      <c r="I195" s="33"/>
      <c r="J195" s="28"/>
      <c r="K195" s="36"/>
      <c r="L195" s="19"/>
      <c r="M195" s="20"/>
      <c r="N195" s="19" t="str">
        <f>IF(OR(A195="",B195="",AND(J195="",L195=""),AND(J195&lt;Rangos!$B$2,L195="")),"",IF(J195&gt;=Rangos!$B$2,10*B195*J195,10*B195*L195))</f>
        <v/>
      </c>
      <c r="O195" s="20" t="str">
        <f>IF(AND(LECO!$K195="",LECO!$M195=""),"",IF(LECO!$M195="",LECO!$K195,LECO!$M195))</f>
        <v/>
      </c>
      <c r="P195" s="33"/>
      <c r="Q195" s="19" t="str">
        <f t="shared" si="2"/>
        <v/>
      </c>
      <c r="R195" s="22" t="str">
        <f>IF(OR(LECO!$H195="",LECO!$O195=""),"",MAX(LECO!$H195,LECO!$O195))</f>
        <v/>
      </c>
    </row>
    <row r="196" spans="1:18" x14ac:dyDescent="0.3">
      <c r="A196" s="23"/>
      <c r="B196" s="24"/>
      <c r="C196" s="25"/>
      <c r="D196" s="35"/>
      <c r="E196" s="15"/>
      <c r="F196" s="16"/>
      <c r="G196" s="17" t="str">
        <f>IF(OR(A196="",B196="",AND(C196="",E196=""),AND(C196&lt;Rangos!$B$1,E196="")),"",IF(C196&gt;=Rangos!$B$1,10*B196*C196,10*B196*E196))</f>
        <v/>
      </c>
      <c r="H196" s="16" t="str">
        <f>IF(AND(LECO!$D196="",LECO!$F196=""),"",IF(LECO!$F196="",LECO!$D196,LECO!$F196))</f>
        <v/>
      </c>
      <c r="I196" s="32"/>
      <c r="J196" s="25"/>
      <c r="K196" s="35"/>
      <c r="L196" s="15"/>
      <c r="M196" s="16"/>
      <c r="N196" s="15" t="str">
        <f>IF(OR(A196="",B196="",AND(J196="",L196=""),AND(J196&lt;Rangos!$B$2,L196="")),"",IF(J196&gt;=Rangos!$B$2,10*B196*J196,10*B196*L196))</f>
        <v/>
      </c>
      <c r="O196" s="16" t="str">
        <f>IF(AND(LECO!$K196="",LECO!$M196=""),"",IF(LECO!$M196="",LECO!$K196,LECO!$M196))</f>
        <v/>
      </c>
      <c r="P196" s="32"/>
      <c r="Q196" s="15" t="str">
        <f t="shared" si="2"/>
        <v/>
      </c>
      <c r="R196" s="18" t="str">
        <f>IF(OR(LECO!$H196="",LECO!$O196=""),"",MAX(LECO!$H196,LECO!$O196))</f>
        <v/>
      </c>
    </row>
    <row r="197" spans="1:18" x14ac:dyDescent="0.3">
      <c r="A197" s="26"/>
      <c r="B197" s="27"/>
      <c r="C197" s="28"/>
      <c r="D197" s="36"/>
      <c r="E197" s="19"/>
      <c r="F197" s="20"/>
      <c r="G197" s="21" t="str">
        <f>IF(OR(A197="",B197="",AND(C197="",E197=""),AND(C197&lt;Rangos!$B$1,E197="")),"",IF(C197&gt;=Rangos!$B$1,10*B197*C197,10*B197*E197))</f>
        <v/>
      </c>
      <c r="H197" s="20" t="str">
        <f>IF(AND(LECO!$D197="",LECO!$F197=""),"",IF(LECO!$F197="",LECO!$D197,LECO!$F197))</f>
        <v/>
      </c>
      <c r="I197" s="33"/>
      <c r="J197" s="28"/>
      <c r="K197" s="36"/>
      <c r="L197" s="19"/>
      <c r="M197" s="20"/>
      <c r="N197" s="19" t="str">
        <f>IF(OR(A197="",B197="",AND(J197="",L197=""),AND(J197&lt;Rangos!$B$2,L197="")),"",IF(J197&gt;=Rangos!$B$2,10*B197*J197,10*B197*L197))</f>
        <v/>
      </c>
      <c r="O197" s="20" t="str">
        <f>IF(AND(LECO!$K197="",LECO!$M197=""),"",IF(LECO!$M197="",LECO!$K197,LECO!$M197))</f>
        <v/>
      </c>
      <c r="P197" s="33"/>
      <c r="Q197" s="19" t="str">
        <f t="shared" si="2"/>
        <v/>
      </c>
      <c r="R197" s="22" t="str">
        <f>IF(OR(LECO!$H197="",LECO!$O197=""),"",MAX(LECO!$H197,LECO!$O197))</f>
        <v/>
      </c>
    </row>
    <row r="198" spans="1:18" x14ac:dyDescent="0.3">
      <c r="A198" s="23"/>
      <c r="B198" s="24"/>
      <c r="C198" s="25"/>
      <c r="D198" s="35"/>
      <c r="E198" s="15"/>
      <c r="F198" s="16"/>
      <c r="G198" s="17" t="str">
        <f>IF(OR(A198="",B198="",AND(C198="",E198=""),AND(C198&lt;Rangos!$B$1,E198="")),"",IF(C198&gt;=Rangos!$B$1,10*B198*C198,10*B198*E198))</f>
        <v/>
      </c>
      <c r="H198" s="16" t="str">
        <f>IF(AND(LECO!$D198="",LECO!$F198=""),"",IF(LECO!$F198="",LECO!$D198,LECO!$F198))</f>
        <v/>
      </c>
      <c r="I198" s="32"/>
      <c r="J198" s="25"/>
      <c r="K198" s="35"/>
      <c r="L198" s="15"/>
      <c r="M198" s="16"/>
      <c r="N198" s="15" t="str">
        <f>IF(OR(A198="",B198="",AND(J198="",L198=""),AND(J198&lt;Rangos!$B$2,L198="")),"",IF(J198&gt;=Rangos!$B$2,10*B198*J198,10*B198*L198))</f>
        <v/>
      </c>
      <c r="O198" s="16" t="str">
        <f>IF(AND(LECO!$K198="",LECO!$M198=""),"",IF(LECO!$M198="",LECO!$K198,LECO!$M198))</f>
        <v/>
      </c>
      <c r="P198" s="32"/>
      <c r="Q198" s="15" t="str">
        <f t="shared" ref="Q198:Q251" si="3">IF(OR(G198="",N198=""),"",G198/N198)</f>
        <v/>
      </c>
      <c r="R198" s="18" t="str">
        <f>IF(OR(LECO!$H198="",LECO!$O198=""),"",MAX(LECO!$H198,LECO!$O198))</f>
        <v/>
      </c>
    </row>
    <row r="199" spans="1:18" x14ac:dyDescent="0.3">
      <c r="A199" s="26"/>
      <c r="B199" s="27"/>
      <c r="C199" s="28"/>
      <c r="D199" s="36"/>
      <c r="E199" s="19"/>
      <c r="F199" s="20"/>
      <c r="G199" s="21" t="str">
        <f>IF(OR(A199="",B199="",AND(C199="",E199=""),AND(C199&lt;Rangos!$B$1,E199="")),"",IF(C199&gt;=Rangos!$B$1,10*B199*C199,10*B199*E199))</f>
        <v/>
      </c>
      <c r="H199" s="20" t="str">
        <f>IF(AND(LECO!$D199="",LECO!$F199=""),"",IF(LECO!$F199="",LECO!$D199,LECO!$F199))</f>
        <v/>
      </c>
      <c r="I199" s="33"/>
      <c r="J199" s="28"/>
      <c r="K199" s="36"/>
      <c r="L199" s="19"/>
      <c r="M199" s="20"/>
      <c r="N199" s="19" t="str">
        <f>IF(OR(A199="",B199="",AND(J199="",L199=""),AND(J199&lt;Rangos!$B$2,L199="")),"",IF(J199&gt;=Rangos!$B$2,10*B199*J199,10*B199*L199))</f>
        <v/>
      </c>
      <c r="O199" s="20" t="str">
        <f>IF(AND(LECO!$K199="",LECO!$M199=""),"",IF(LECO!$M199="",LECO!$K199,LECO!$M199))</f>
        <v/>
      </c>
      <c r="P199" s="33"/>
      <c r="Q199" s="19" t="str">
        <f t="shared" si="3"/>
        <v/>
      </c>
      <c r="R199" s="22" t="str">
        <f>IF(OR(LECO!$H199="",LECO!$O199=""),"",MAX(LECO!$H199,LECO!$O199))</f>
        <v/>
      </c>
    </row>
    <row r="200" spans="1:18" x14ac:dyDescent="0.3">
      <c r="A200" s="23"/>
      <c r="B200" s="24"/>
      <c r="C200" s="25"/>
      <c r="D200" s="35"/>
      <c r="E200" s="15"/>
      <c r="F200" s="16"/>
      <c r="G200" s="17" t="str">
        <f>IF(OR(A200="",B200="",AND(C200="",E200=""),AND(C200&lt;Rangos!$B$1,E200="")),"",IF(C200&gt;=Rangos!$B$1,10*B200*C200,10*B200*E200))</f>
        <v/>
      </c>
      <c r="H200" s="16" t="str">
        <f>IF(AND(LECO!$D200="",LECO!$F200=""),"",IF(LECO!$F200="",LECO!$D200,LECO!$F200))</f>
        <v/>
      </c>
      <c r="I200" s="32"/>
      <c r="J200" s="25"/>
      <c r="K200" s="35"/>
      <c r="L200" s="15"/>
      <c r="M200" s="16"/>
      <c r="N200" s="15" t="str">
        <f>IF(OR(A200="",B200="",AND(J200="",L200=""),AND(J200&lt;Rangos!$B$2,L200="")),"",IF(J200&gt;=Rangos!$B$2,10*B200*J200,10*B200*L200))</f>
        <v/>
      </c>
      <c r="O200" s="16" t="str">
        <f>IF(AND(LECO!$K200="",LECO!$M200=""),"",IF(LECO!$M200="",LECO!$K200,LECO!$M200))</f>
        <v/>
      </c>
      <c r="P200" s="32"/>
      <c r="Q200" s="15" t="str">
        <f t="shared" si="3"/>
        <v/>
      </c>
      <c r="R200" s="18" t="str">
        <f>IF(OR(LECO!$H200="",LECO!$O200=""),"",MAX(LECO!$H200,LECO!$O200))</f>
        <v/>
      </c>
    </row>
    <row r="201" spans="1:18" x14ac:dyDescent="0.3">
      <c r="A201" s="26"/>
      <c r="B201" s="27"/>
      <c r="C201" s="28"/>
      <c r="D201" s="36"/>
      <c r="E201" s="19"/>
      <c r="F201" s="20"/>
      <c r="G201" s="21" t="str">
        <f>IF(OR(A201="",B201="",AND(C201="",E201=""),AND(C201&lt;Rangos!$B$1,E201="")),"",IF(C201&gt;=Rangos!$B$1,10*B201*C201,10*B201*E201))</f>
        <v/>
      </c>
      <c r="H201" s="20" t="str">
        <f>IF(AND(LECO!$D201="",LECO!$F201=""),"",IF(LECO!$F201="",LECO!$D201,LECO!$F201))</f>
        <v/>
      </c>
      <c r="I201" s="33"/>
      <c r="J201" s="28"/>
      <c r="K201" s="36"/>
      <c r="L201" s="19"/>
      <c r="M201" s="20"/>
      <c r="N201" s="19" t="str">
        <f>IF(OR(A201="",B201="",AND(J201="",L201=""),AND(J201&lt;Rangos!$B$2,L201="")),"",IF(J201&gt;=Rangos!$B$2,10*B201*J201,10*B201*L201))</f>
        <v/>
      </c>
      <c r="O201" s="20" t="str">
        <f>IF(AND(LECO!$K201="",LECO!$M201=""),"",IF(LECO!$M201="",LECO!$K201,LECO!$M201))</f>
        <v/>
      </c>
      <c r="P201" s="33"/>
      <c r="Q201" s="19" t="str">
        <f t="shared" si="3"/>
        <v/>
      </c>
      <c r="R201" s="22" t="str">
        <f>IF(OR(LECO!$H201="",LECO!$O201=""),"",MAX(LECO!$H201,LECO!$O201))</f>
        <v/>
      </c>
    </row>
    <row r="202" spans="1:18" x14ac:dyDescent="0.3">
      <c r="A202" s="23"/>
      <c r="B202" s="24"/>
      <c r="C202" s="25"/>
      <c r="D202" s="35"/>
      <c r="E202" s="15"/>
      <c r="F202" s="16"/>
      <c r="G202" s="17" t="str">
        <f>IF(OR(A202="",B202="",AND(C202="",E202=""),AND(C202&lt;Rangos!$B$1,E202="")),"",IF(C202&gt;=Rangos!$B$1,10*B202*C202,10*B202*E202))</f>
        <v/>
      </c>
      <c r="H202" s="16" t="str">
        <f>IF(AND(LECO!$D202="",LECO!$F202=""),"",IF(LECO!$F202="",LECO!$D202,LECO!$F202))</f>
        <v/>
      </c>
      <c r="I202" s="32"/>
      <c r="J202" s="25"/>
      <c r="K202" s="35"/>
      <c r="L202" s="15"/>
      <c r="M202" s="16"/>
      <c r="N202" s="15" t="str">
        <f>IF(OR(A202="",B202="",AND(J202="",L202=""),AND(J202&lt;Rangos!$B$2,L202="")),"",IF(J202&gt;=Rangos!$B$2,10*B202*J202,10*B202*L202))</f>
        <v/>
      </c>
      <c r="O202" s="16" t="str">
        <f>IF(AND(LECO!$K202="",LECO!$M202=""),"",IF(LECO!$M202="",LECO!$K202,LECO!$M202))</f>
        <v/>
      </c>
      <c r="P202" s="32"/>
      <c r="Q202" s="15" t="str">
        <f t="shared" si="3"/>
        <v/>
      </c>
      <c r="R202" s="18" t="str">
        <f>IF(OR(LECO!$H202="",LECO!$O202=""),"",MAX(LECO!$H202,LECO!$O202))</f>
        <v/>
      </c>
    </row>
    <row r="203" spans="1:18" x14ac:dyDescent="0.3">
      <c r="A203" s="26"/>
      <c r="B203" s="27"/>
      <c r="C203" s="28"/>
      <c r="D203" s="36"/>
      <c r="E203" s="19"/>
      <c r="F203" s="20"/>
      <c r="G203" s="21" t="str">
        <f>IF(OR(A203="",B203="",AND(C203="",E203=""),AND(C203&lt;Rangos!$B$1,E203="")),"",IF(C203&gt;=Rangos!$B$1,10*B203*C203,10*B203*E203))</f>
        <v/>
      </c>
      <c r="H203" s="20" t="str">
        <f>IF(AND(LECO!$D203="",LECO!$F203=""),"",IF(LECO!$F203="",LECO!$D203,LECO!$F203))</f>
        <v/>
      </c>
      <c r="I203" s="33"/>
      <c r="J203" s="28"/>
      <c r="K203" s="36"/>
      <c r="L203" s="19"/>
      <c r="M203" s="20"/>
      <c r="N203" s="19" t="str">
        <f>IF(OR(A203="",B203="",AND(J203="",L203=""),AND(J203&lt;Rangos!$B$2,L203="")),"",IF(J203&gt;=Rangos!$B$2,10*B203*J203,10*B203*L203))</f>
        <v/>
      </c>
      <c r="O203" s="20" t="str">
        <f>IF(AND(LECO!$K203="",LECO!$M203=""),"",IF(LECO!$M203="",LECO!$K203,LECO!$M203))</f>
        <v/>
      </c>
      <c r="P203" s="33"/>
      <c r="Q203" s="19" t="str">
        <f t="shared" si="3"/>
        <v/>
      </c>
      <c r="R203" s="22" t="str">
        <f>IF(OR(LECO!$H203="",LECO!$O203=""),"",MAX(LECO!$H203,LECO!$O203))</f>
        <v/>
      </c>
    </row>
    <row r="204" spans="1:18" x14ac:dyDescent="0.3">
      <c r="A204" s="23"/>
      <c r="B204" s="24"/>
      <c r="C204" s="25"/>
      <c r="D204" s="35"/>
      <c r="E204" s="15"/>
      <c r="F204" s="16"/>
      <c r="G204" s="17" t="str">
        <f>IF(OR(A204="",B204="",AND(C204="",E204=""),AND(C204&lt;Rangos!$B$1,E204="")),"",IF(C204&gt;=Rangos!$B$1,10*B204*C204,10*B204*E204))</f>
        <v/>
      </c>
      <c r="H204" s="16" t="str">
        <f>IF(AND(LECO!$D204="",LECO!$F204=""),"",IF(LECO!$F204="",LECO!$D204,LECO!$F204))</f>
        <v/>
      </c>
      <c r="I204" s="32"/>
      <c r="J204" s="25"/>
      <c r="K204" s="35"/>
      <c r="L204" s="15"/>
      <c r="M204" s="16"/>
      <c r="N204" s="15" t="str">
        <f>IF(OR(A204="",B204="",AND(J204="",L204=""),AND(J204&lt;Rangos!$B$2,L204="")),"",IF(J204&gt;=Rangos!$B$2,10*B204*J204,10*B204*L204))</f>
        <v/>
      </c>
      <c r="O204" s="16" t="str">
        <f>IF(AND(LECO!$K204="",LECO!$M204=""),"",IF(LECO!$M204="",LECO!$K204,LECO!$M204))</f>
        <v/>
      </c>
      <c r="P204" s="32"/>
      <c r="Q204" s="15" t="str">
        <f t="shared" si="3"/>
        <v/>
      </c>
      <c r="R204" s="18" t="str">
        <f>IF(OR(LECO!$H204="",LECO!$O204=""),"",MAX(LECO!$H204,LECO!$O204))</f>
        <v/>
      </c>
    </row>
    <row r="205" spans="1:18" x14ac:dyDescent="0.3">
      <c r="A205" s="26"/>
      <c r="B205" s="27"/>
      <c r="C205" s="28"/>
      <c r="D205" s="36"/>
      <c r="E205" s="19"/>
      <c r="F205" s="20"/>
      <c r="G205" s="21" t="str">
        <f>IF(OR(A205="",B205="",AND(C205="",E205=""),AND(C205&lt;Rangos!$B$1,E205="")),"",IF(C205&gt;=Rangos!$B$1,10*B205*C205,10*B205*E205))</f>
        <v/>
      </c>
      <c r="H205" s="20" t="str">
        <f>IF(AND(LECO!$D205="",LECO!$F205=""),"",IF(LECO!$F205="",LECO!$D205,LECO!$F205))</f>
        <v/>
      </c>
      <c r="I205" s="33"/>
      <c r="J205" s="28"/>
      <c r="K205" s="36"/>
      <c r="L205" s="19"/>
      <c r="M205" s="20"/>
      <c r="N205" s="19" t="str">
        <f>IF(OR(A205="",B205="",AND(J205="",L205=""),AND(J205&lt;Rangos!$B$2,L205="")),"",IF(J205&gt;=Rangos!$B$2,10*B205*J205,10*B205*L205))</f>
        <v/>
      </c>
      <c r="O205" s="20" t="str">
        <f>IF(AND(LECO!$K205="",LECO!$M205=""),"",IF(LECO!$M205="",LECO!$K205,LECO!$M205))</f>
        <v/>
      </c>
      <c r="P205" s="33"/>
      <c r="Q205" s="19" t="str">
        <f t="shared" si="3"/>
        <v/>
      </c>
      <c r="R205" s="22" t="str">
        <f>IF(OR(LECO!$H205="",LECO!$O205=""),"",MAX(LECO!$H205,LECO!$O205))</f>
        <v/>
      </c>
    </row>
    <row r="206" spans="1:18" x14ac:dyDescent="0.3">
      <c r="A206" s="23"/>
      <c r="B206" s="24"/>
      <c r="C206" s="25"/>
      <c r="D206" s="35"/>
      <c r="E206" s="15"/>
      <c r="F206" s="16"/>
      <c r="G206" s="17" t="str">
        <f>IF(OR(A206="",B206="",AND(C206="",E206=""),AND(C206&lt;Rangos!$B$1,E206="")),"",IF(C206&gt;=Rangos!$B$1,10*B206*C206,10*B206*E206))</f>
        <v/>
      </c>
      <c r="H206" s="16" t="str">
        <f>IF(AND(LECO!$D206="",LECO!$F206=""),"",IF(LECO!$F206="",LECO!$D206,LECO!$F206))</f>
        <v/>
      </c>
      <c r="I206" s="32"/>
      <c r="J206" s="25"/>
      <c r="K206" s="35"/>
      <c r="L206" s="15"/>
      <c r="M206" s="16"/>
      <c r="N206" s="15" t="str">
        <f>IF(OR(A206="",B206="",AND(J206="",L206=""),AND(J206&lt;Rangos!$B$2,L206="")),"",IF(J206&gt;=Rangos!$B$2,10*B206*J206,10*B206*L206))</f>
        <v/>
      </c>
      <c r="O206" s="16" t="str">
        <f>IF(AND(LECO!$K206="",LECO!$M206=""),"",IF(LECO!$M206="",LECO!$K206,LECO!$M206))</f>
        <v/>
      </c>
      <c r="P206" s="32"/>
      <c r="Q206" s="15" t="str">
        <f t="shared" si="3"/>
        <v/>
      </c>
      <c r="R206" s="18" t="str">
        <f>IF(OR(LECO!$H206="",LECO!$O206=""),"",MAX(LECO!$H206,LECO!$O206))</f>
        <v/>
      </c>
    </row>
    <row r="207" spans="1:18" x14ac:dyDescent="0.3">
      <c r="A207" s="26"/>
      <c r="B207" s="27"/>
      <c r="C207" s="28"/>
      <c r="D207" s="36"/>
      <c r="E207" s="19"/>
      <c r="F207" s="20"/>
      <c r="G207" s="21" t="str">
        <f>IF(OR(A207="",B207="",AND(C207="",E207=""),AND(C207&lt;Rangos!$B$1,E207="")),"",IF(C207&gt;=Rangos!$B$1,10*B207*C207,10*B207*E207))</f>
        <v/>
      </c>
      <c r="H207" s="20" t="str">
        <f>IF(AND(LECO!$D207="",LECO!$F207=""),"",IF(LECO!$F207="",LECO!$D207,LECO!$F207))</f>
        <v/>
      </c>
      <c r="I207" s="33"/>
      <c r="J207" s="28"/>
      <c r="K207" s="36"/>
      <c r="L207" s="19"/>
      <c r="M207" s="20"/>
      <c r="N207" s="19" t="str">
        <f>IF(OR(A207="",B207="",AND(J207="",L207=""),AND(J207&lt;Rangos!$B$2,L207="")),"",IF(J207&gt;=Rangos!$B$2,10*B207*J207,10*B207*L207))</f>
        <v/>
      </c>
      <c r="O207" s="20" t="str">
        <f>IF(AND(LECO!$K207="",LECO!$M207=""),"",IF(LECO!$M207="",LECO!$K207,LECO!$M207))</f>
        <v/>
      </c>
      <c r="P207" s="33"/>
      <c r="Q207" s="19" t="str">
        <f t="shared" si="3"/>
        <v/>
      </c>
      <c r="R207" s="22" t="str">
        <f>IF(OR(LECO!$H207="",LECO!$O207=""),"",MAX(LECO!$H207,LECO!$O207))</f>
        <v/>
      </c>
    </row>
    <row r="208" spans="1:18" x14ac:dyDescent="0.3">
      <c r="A208" s="23"/>
      <c r="B208" s="24"/>
      <c r="C208" s="25"/>
      <c r="D208" s="35"/>
      <c r="E208" s="15"/>
      <c r="F208" s="16"/>
      <c r="G208" s="17" t="str">
        <f>IF(OR(A208="",B208="",AND(C208="",E208=""),AND(C208&lt;Rangos!$B$1,E208="")),"",IF(C208&gt;=Rangos!$B$1,10*B208*C208,10*B208*E208))</f>
        <v/>
      </c>
      <c r="H208" s="16" t="str">
        <f>IF(AND(LECO!$D208="",LECO!$F208=""),"",IF(LECO!$F208="",LECO!$D208,LECO!$F208))</f>
        <v/>
      </c>
      <c r="I208" s="32"/>
      <c r="J208" s="25"/>
      <c r="K208" s="35"/>
      <c r="L208" s="15"/>
      <c r="M208" s="16"/>
      <c r="N208" s="15" t="str">
        <f>IF(OR(A208="",B208="",AND(J208="",L208=""),AND(J208&lt;Rangos!$B$2,L208="")),"",IF(J208&gt;=Rangos!$B$2,10*B208*J208,10*B208*L208))</f>
        <v/>
      </c>
      <c r="O208" s="16" t="str">
        <f>IF(AND(LECO!$K208="",LECO!$M208=""),"",IF(LECO!$M208="",LECO!$K208,LECO!$M208))</f>
        <v/>
      </c>
      <c r="P208" s="32"/>
      <c r="Q208" s="15" t="str">
        <f t="shared" si="3"/>
        <v/>
      </c>
      <c r="R208" s="18" t="str">
        <f>IF(OR(LECO!$H208="",LECO!$O208=""),"",MAX(LECO!$H208,LECO!$O208))</f>
        <v/>
      </c>
    </row>
    <row r="209" spans="1:18" x14ac:dyDescent="0.3">
      <c r="A209" s="26"/>
      <c r="B209" s="27"/>
      <c r="C209" s="28"/>
      <c r="D209" s="36"/>
      <c r="E209" s="19"/>
      <c r="F209" s="20"/>
      <c r="G209" s="21" t="str">
        <f>IF(OR(A209="",B209="",AND(C209="",E209=""),AND(C209&lt;Rangos!$B$1,E209="")),"",IF(C209&gt;=Rangos!$B$1,10*B209*C209,10*B209*E209))</f>
        <v/>
      </c>
      <c r="H209" s="20" t="str">
        <f>IF(AND(LECO!$D209="",LECO!$F209=""),"",IF(LECO!$F209="",LECO!$D209,LECO!$F209))</f>
        <v/>
      </c>
      <c r="I209" s="33"/>
      <c r="J209" s="28"/>
      <c r="K209" s="36"/>
      <c r="L209" s="19"/>
      <c r="M209" s="20"/>
      <c r="N209" s="19" t="str">
        <f>IF(OR(A209="",B209="",AND(J209="",L209=""),AND(J209&lt;Rangos!$B$2,L209="")),"",IF(J209&gt;=Rangos!$B$2,10*B209*J209,10*B209*L209))</f>
        <v/>
      </c>
      <c r="O209" s="20" t="str">
        <f>IF(AND(LECO!$K209="",LECO!$M209=""),"",IF(LECO!$M209="",LECO!$K209,LECO!$M209))</f>
        <v/>
      </c>
      <c r="P209" s="33"/>
      <c r="Q209" s="19" t="str">
        <f t="shared" si="3"/>
        <v/>
      </c>
      <c r="R209" s="22" t="str">
        <f>IF(OR(LECO!$H209="",LECO!$O209=""),"",MAX(LECO!$H209,LECO!$O209))</f>
        <v/>
      </c>
    </row>
    <row r="210" spans="1:18" x14ac:dyDescent="0.3">
      <c r="A210" s="23"/>
      <c r="B210" s="24"/>
      <c r="C210" s="25"/>
      <c r="D210" s="35"/>
      <c r="E210" s="15"/>
      <c r="F210" s="16"/>
      <c r="G210" s="17" t="str">
        <f>IF(OR(A210="",B210="",AND(C210="",E210=""),AND(C210&lt;Rangos!$B$1,E210="")),"",IF(C210&gt;=Rangos!$B$1,10*B210*C210,10*B210*E210))</f>
        <v/>
      </c>
      <c r="H210" s="16" t="str">
        <f>IF(AND(LECO!$D210="",LECO!$F210=""),"",IF(LECO!$F210="",LECO!$D210,LECO!$F210))</f>
        <v/>
      </c>
      <c r="I210" s="32"/>
      <c r="J210" s="25"/>
      <c r="K210" s="35"/>
      <c r="L210" s="15"/>
      <c r="M210" s="16"/>
      <c r="N210" s="15" t="str">
        <f>IF(OR(A210="",B210="",AND(J210="",L210=""),AND(J210&lt;Rangos!$B$2,L210="")),"",IF(J210&gt;=Rangos!$B$2,10*B210*J210,10*B210*L210))</f>
        <v/>
      </c>
      <c r="O210" s="16" t="str">
        <f>IF(AND(LECO!$K210="",LECO!$M210=""),"",IF(LECO!$M210="",LECO!$K210,LECO!$M210))</f>
        <v/>
      </c>
      <c r="P210" s="32"/>
      <c r="Q210" s="15" t="str">
        <f t="shared" si="3"/>
        <v/>
      </c>
      <c r="R210" s="18" t="str">
        <f>IF(OR(LECO!$H210="",LECO!$O210=""),"",MAX(LECO!$H210,LECO!$O210))</f>
        <v/>
      </c>
    </row>
    <row r="211" spans="1:18" x14ac:dyDescent="0.3">
      <c r="A211" s="26"/>
      <c r="B211" s="27"/>
      <c r="C211" s="28"/>
      <c r="D211" s="36"/>
      <c r="E211" s="19"/>
      <c r="F211" s="20"/>
      <c r="G211" s="21" t="str">
        <f>IF(OR(A211="",B211="",AND(C211="",E211=""),AND(C211&lt;Rangos!$B$1,E211="")),"",IF(C211&gt;=Rangos!$B$1,10*B211*C211,10*B211*E211))</f>
        <v/>
      </c>
      <c r="H211" s="20" t="str">
        <f>IF(AND(LECO!$D211="",LECO!$F211=""),"",IF(LECO!$F211="",LECO!$D211,LECO!$F211))</f>
        <v/>
      </c>
      <c r="I211" s="33"/>
      <c r="J211" s="28"/>
      <c r="K211" s="36"/>
      <c r="L211" s="19"/>
      <c r="M211" s="20"/>
      <c r="N211" s="19" t="str">
        <f>IF(OR(A211="",B211="",AND(J211="",L211=""),AND(J211&lt;Rangos!$B$2,L211="")),"",IF(J211&gt;=Rangos!$B$2,10*B211*J211,10*B211*L211))</f>
        <v/>
      </c>
      <c r="O211" s="20" t="str">
        <f>IF(AND(LECO!$K211="",LECO!$M211=""),"",IF(LECO!$M211="",LECO!$K211,LECO!$M211))</f>
        <v/>
      </c>
      <c r="P211" s="33"/>
      <c r="Q211" s="19" t="str">
        <f t="shared" si="3"/>
        <v/>
      </c>
      <c r="R211" s="22" t="str">
        <f>IF(OR(LECO!$H211="",LECO!$O211=""),"",MAX(LECO!$H211,LECO!$O211))</f>
        <v/>
      </c>
    </row>
    <row r="212" spans="1:18" x14ac:dyDescent="0.3">
      <c r="A212" s="23"/>
      <c r="B212" s="24"/>
      <c r="C212" s="25"/>
      <c r="D212" s="35"/>
      <c r="E212" s="15"/>
      <c r="F212" s="16"/>
      <c r="G212" s="17" t="str">
        <f>IF(OR(A212="",B212="",AND(C212="",E212=""),AND(C212&lt;Rangos!$B$1,E212="")),"",IF(C212&gt;=Rangos!$B$1,10*B212*C212,10*B212*E212))</f>
        <v/>
      </c>
      <c r="H212" s="16" t="str">
        <f>IF(AND(LECO!$D212="",LECO!$F212=""),"",IF(LECO!$F212="",LECO!$D212,LECO!$F212))</f>
        <v/>
      </c>
      <c r="I212" s="32"/>
      <c r="J212" s="25"/>
      <c r="K212" s="35"/>
      <c r="L212" s="15"/>
      <c r="M212" s="16"/>
      <c r="N212" s="15" t="str">
        <f>IF(OR(A212="",B212="",AND(J212="",L212=""),AND(J212&lt;Rangos!$B$2,L212="")),"",IF(J212&gt;=Rangos!$B$2,10*B212*J212,10*B212*L212))</f>
        <v/>
      </c>
      <c r="O212" s="16" t="str">
        <f>IF(AND(LECO!$K212="",LECO!$M212=""),"",IF(LECO!$M212="",LECO!$K212,LECO!$M212))</f>
        <v/>
      </c>
      <c r="P212" s="32"/>
      <c r="Q212" s="15" t="str">
        <f t="shared" si="3"/>
        <v/>
      </c>
      <c r="R212" s="18" t="str">
        <f>IF(OR(LECO!$H212="",LECO!$O212=""),"",MAX(LECO!$H212,LECO!$O212))</f>
        <v/>
      </c>
    </row>
    <row r="213" spans="1:18" x14ac:dyDescent="0.3">
      <c r="A213" s="26"/>
      <c r="B213" s="27"/>
      <c r="C213" s="28"/>
      <c r="D213" s="36"/>
      <c r="E213" s="19"/>
      <c r="F213" s="20"/>
      <c r="G213" s="21" t="str">
        <f>IF(OR(A213="",B213="",AND(C213="",E213=""),AND(C213&lt;Rangos!$B$1,E213="")),"",IF(C213&gt;=Rangos!$B$1,10*B213*C213,10*B213*E213))</f>
        <v/>
      </c>
      <c r="H213" s="20" t="str">
        <f>IF(AND(LECO!$D213="",LECO!$F213=""),"",IF(LECO!$F213="",LECO!$D213,LECO!$F213))</f>
        <v/>
      </c>
      <c r="I213" s="33"/>
      <c r="J213" s="28"/>
      <c r="K213" s="36"/>
      <c r="L213" s="19"/>
      <c r="M213" s="20"/>
      <c r="N213" s="19" t="str">
        <f>IF(OR(A213="",B213="",AND(J213="",L213=""),AND(J213&lt;Rangos!$B$2,L213="")),"",IF(J213&gt;=Rangos!$B$2,10*B213*J213,10*B213*L213))</f>
        <v/>
      </c>
      <c r="O213" s="20" t="str">
        <f>IF(AND(LECO!$K213="",LECO!$M213=""),"",IF(LECO!$M213="",LECO!$K213,LECO!$M213))</f>
        <v/>
      </c>
      <c r="P213" s="33"/>
      <c r="Q213" s="19" t="str">
        <f t="shared" si="3"/>
        <v/>
      </c>
      <c r="R213" s="22" t="str">
        <f>IF(OR(LECO!$H213="",LECO!$O213=""),"",MAX(LECO!$H213,LECO!$O213))</f>
        <v/>
      </c>
    </row>
    <row r="214" spans="1:18" x14ac:dyDescent="0.3">
      <c r="A214" s="23"/>
      <c r="B214" s="24"/>
      <c r="C214" s="25"/>
      <c r="D214" s="35"/>
      <c r="E214" s="15"/>
      <c r="F214" s="16"/>
      <c r="G214" s="17" t="str">
        <f>IF(OR(A214="",B214="",AND(C214="",E214=""),AND(C214&lt;Rangos!$B$1,E214="")),"",IF(C214&gt;=Rangos!$B$1,10*B214*C214,10*B214*E214))</f>
        <v/>
      </c>
      <c r="H214" s="16" t="str">
        <f>IF(AND(LECO!$D214="",LECO!$F214=""),"",IF(LECO!$F214="",LECO!$D214,LECO!$F214))</f>
        <v/>
      </c>
      <c r="I214" s="32"/>
      <c r="J214" s="25"/>
      <c r="K214" s="35"/>
      <c r="L214" s="15"/>
      <c r="M214" s="16"/>
      <c r="N214" s="15" t="str">
        <f>IF(OR(A214="",B214="",AND(J214="",L214=""),AND(J214&lt;Rangos!$B$2,L214="")),"",IF(J214&gt;=Rangos!$B$2,10*B214*J214,10*B214*L214))</f>
        <v/>
      </c>
      <c r="O214" s="16" t="str">
        <f>IF(AND(LECO!$K214="",LECO!$M214=""),"",IF(LECO!$M214="",LECO!$K214,LECO!$M214))</f>
        <v/>
      </c>
      <c r="P214" s="32"/>
      <c r="Q214" s="15" t="str">
        <f t="shared" si="3"/>
        <v/>
      </c>
      <c r="R214" s="18" t="str">
        <f>IF(OR(LECO!$H214="",LECO!$O214=""),"",MAX(LECO!$H214,LECO!$O214))</f>
        <v/>
      </c>
    </row>
    <row r="215" spans="1:18" x14ac:dyDescent="0.3">
      <c r="A215" s="26"/>
      <c r="B215" s="27"/>
      <c r="C215" s="28"/>
      <c r="D215" s="36"/>
      <c r="E215" s="19"/>
      <c r="F215" s="20"/>
      <c r="G215" s="21" t="str">
        <f>IF(OR(A215="",B215="",AND(C215="",E215=""),AND(C215&lt;Rangos!$B$1,E215="")),"",IF(C215&gt;=Rangos!$B$1,10*B215*C215,10*B215*E215))</f>
        <v/>
      </c>
      <c r="H215" s="20" t="str">
        <f>IF(AND(LECO!$D215="",LECO!$F215=""),"",IF(LECO!$F215="",LECO!$D215,LECO!$F215))</f>
        <v/>
      </c>
      <c r="I215" s="33"/>
      <c r="J215" s="28"/>
      <c r="K215" s="36"/>
      <c r="L215" s="19"/>
      <c r="M215" s="20"/>
      <c r="N215" s="19" t="str">
        <f>IF(OR(A215="",B215="",AND(J215="",L215=""),AND(J215&lt;Rangos!$B$2,L215="")),"",IF(J215&gt;=Rangos!$B$2,10*B215*J215,10*B215*L215))</f>
        <v/>
      </c>
      <c r="O215" s="20" t="str">
        <f>IF(AND(LECO!$K215="",LECO!$M215=""),"",IF(LECO!$M215="",LECO!$K215,LECO!$M215))</f>
        <v/>
      </c>
      <c r="P215" s="33"/>
      <c r="Q215" s="19" t="str">
        <f t="shared" si="3"/>
        <v/>
      </c>
      <c r="R215" s="22" t="str">
        <f>IF(OR(LECO!$H215="",LECO!$O215=""),"",MAX(LECO!$H215,LECO!$O215))</f>
        <v/>
      </c>
    </row>
    <row r="216" spans="1:18" x14ac:dyDescent="0.3">
      <c r="A216" s="23"/>
      <c r="B216" s="24"/>
      <c r="C216" s="25"/>
      <c r="D216" s="35"/>
      <c r="E216" s="15"/>
      <c r="F216" s="16"/>
      <c r="G216" s="17" t="str">
        <f>IF(OR(A216="",B216="",AND(C216="",E216=""),AND(C216&lt;Rangos!$B$1,E216="")),"",IF(C216&gt;=Rangos!$B$1,10*B216*C216,10*B216*E216))</f>
        <v/>
      </c>
      <c r="H216" s="16" t="str">
        <f>IF(AND(LECO!$D216="",LECO!$F216=""),"",IF(LECO!$F216="",LECO!$D216,LECO!$F216))</f>
        <v/>
      </c>
      <c r="I216" s="32"/>
      <c r="J216" s="25"/>
      <c r="K216" s="35"/>
      <c r="L216" s="15"/>
      <c r="M216" s="16"/>
      <c r="N216" s="15" t="str">
        <f>IF(OR(A216="",B216="",AND(J216="",L216=""),AND(J216&lt;Rangos!$B$2,L216="")),"",IF(J216&gt;=Rangos!$B$2,10*B216*J216,10*B216*L216))</f>
        <v/>
      </c>
      <c r="O216" s="16" t="str">
        <f>IF(AND(LECO!$K216="",LECO!$M216=""),"",IF(LECO!$M216="",LECO!$K216,LECO!$M216))</f>
        <v/>
      </c>
      <c r="P216" s="32"/>
      <c r="Q216" s="15" t="str">
        <f t="shared" si="3"/>
        <v/>
      </c>
      <c r="R216" s="18" t="str">
        <f>IF(OR(LECO!$H216="",LECO!$O216=""),"",MAX(LECO!$H216,LECO!$O216))</f>
        <v/>
      </c>
    </row>
    <row r="217" spans="1:18" x14ac:dyDescent="0.3">
      <c r="A217" s="26"/>
      <c r="B217" s="27"/>
      <c r="C217" s="28"/>
      <c r="D217" s="36"/>
      <c r="E217" s="19"/>
      <c r="F217" s="20"/>
      <c r="G217" s="21" t="str">
        <f>IF(OR(A217="",B217="",AND(C217="",E217=""),AND(C217&lt;Rangos!$B$1,E217="")),"",IF(C217&gt;=Rangos!$B$1,10*B217*C217,10*B217*E217))</f>
        <v/>
      </c>
      <c r="H217" s="20" t="str">
        <f>IF(AND(LECO!$D217="",LECO!$F217=""),"",IF(LECO!$F217="",LECO!$D217,LECO!$F217))</f>
        <v/>
      </c>
      <c r="I217" s="33"/>
      <c r="J217" s="28"/>
      <c r="K217" s="36"/>
      <c r="L217" s="19"/>
      <c r="M217" s="20"/>
      <c r="N217" s="19" t="str">
        <f>IF(OR(A217="",B217="",AND(J217="",L217=""),AND(J217&lt;Rangos!$B$2,L217="")),"",IF(J217&gt;=Rangos!$B$2,10*B217*J217,10*B217*L217))</f>
        <v/>
      </c>
      <c r="O217" s="20" t="str">
        <f>IF(AND(LECO!$K217="",LECO!$M217=""),"",IF(LECO!$M217="",LECO!$K217,LECO!$M217))</f>
        <v/>
      </c>
      <c r="P217" s="33"/>
      <c r="Q217" s="19" t="str">
        <f t="shared" si="3"/>
        <v/>
      </c>
      <c r="R217" s="22" t="str">
        <f>IF(OR(LECO!$H217="",LECO!$O217=""),"",MAX(LECO!$H217,LECO!$O217))</f>
        <v/>
      </c>
    </row>
    <row r="218" spans="1:18" x14ac:dyDescent="0.3">
      <c r="A218" s="23"/>
      <c r="B218" s="24"/>
      <c r="C218" s="25"/>
      <c r="D218" s="35"/>
      <c r="E218" s="15"/>
      <c r="F218" s="16"/>
      <c r="G218" s="17" t="str">
        <f>IF(OR(A218="",B218="",AND(C218="",E218=""),AND(C218&lt;Rangos!$B$1,E218="")),"",IF(C218&gt;=Rangos!$B$1,10*B218*C218,10*B218*E218))</f>
        <v/>
      </c>
      <c r="H218" s="16" t="str">
        <f>IF(AND(LECO!$D218="",LECO!$F218=""),"",IF(LECO!$F218="",LECO!$D218,LECO!$F218))</f>
        <v/>
      </c>
      <c r="I218" s="32"/>
      <c r="J218" s="25"/>
      <c r="K218" s="35"/>
      <c r="L218" s="15"/>
      <c r="M218" s="16"/>
      <c r="N218" s="15" t="str">
        <f>IF(OR(A218="",B218="",AND(J218="",L218=""),AND(J218&lt;Rangos!$B$2,L218="")),"",IF(J218&gt;=Rangos!$B$2,10*B218*J218,10*B218*L218))</f>
        <v/>
      </c>
      <c r="O218" s="16" t="str">
        <f>IF(AND(LECO!$K218="",LECO!$M218=""),"",IF(LECO!$M218="",LECO!$K218,LECO!$M218))</f>
        <v/>
      </c>
      <c r="P218" s="32"/>
      <c r="Q218" s="15" t="str">
        <f t="shared" si="3"/>
        <v/>
      </c>
      <c r="R218" s="18" t="str">
        <f>IF(OR(LECO!$H218="",LECO!$O218=""),"",MAX(LECO!$H218,LECO!$O218))</f>
        <v/>
      </c>
    </row>
    <row r="219" spans="1:18" x14ac:dyDescent="0.3">
      <c r="A219" s="26"/>
      <c r="B219" s="27"/>
      <c r="C219" s="28"/>
      <c r="D219" s="36"/>
      <c r="E219" s="19"/>
      <c r="F219" s="20"/>
      <c r="G219" s="21" t="str">
        <f>IF(OR(A219="",B219="",AND(C219="",E219=""),AND(C219&lt;Rangos!$B$1,E219="")),"",IF(C219&gt;=Rangos!$B$1,10*B219*C219,10*B219*E219))</f>
        <v/>
      </c>
      <c r="H219" s="20" t="str">
        <f>IF(AND(LECO!$D219="",LECO!$F219=""),"",IF(LECO!$F219="",LECO!$D219,LECO!$F219))</f>
        <v/>
      </c>
      <c r="I219" s="33"/>
      <c r="J219" s="28"/>
      <c r="K219" s="36"/>
      <c r="L219" s="19"/>
      <c r="M219" s="20"/>
      <c r="N219" s="19" t="str">
        <f>IF(OR(A219="",B219="",AND(J219="",L219=""),AND(J219&lt;Rangos!$B$2,L219="")),"",IF(J219&gt;=Rangos!$B$2,10*B219*J219,10*B219*L219))</f>
        <v/>
      </c>
      <c r="O219" s="20" t="str">
        <f>IF(AND(LECO!$K219="",LECO!$M219=""),"",IF(LECO!$M219="",LECO!$K219,LECO!$M219))</f>
        <v/>
      </c>
      <c r="P219" s="33"/>
      <c r="Q219" s="19" t="str">
        <f t="shared" si="3"/>
        <v/>
      </c>
      <c r="R219" s="22" t="str">
        <f>IF(OR(LECO!$H219="",LECO!$O219=""),"",MAX(LECO!$H219,LECO!$O219))</f>
        <v/>
      </c>
    </row>
    <row r="220" spans="1:18" x14ac:dyDescent="0.3">
      <c r="A220" s="23"/>
      <c r="B220" s="24"/>
      <c r="C220" s="25"/>
      <c r="D220" s="35"/>
      <c r="E220" s="15"/>
      <c r="F220" s="16"/>
      <c r="G220" s="17" t="str">
        <f>IF(OR(A220="",B220="",AND(C220="",E220=""),AND(C220&lt;Rangos!$B$1,E220="")),"",IF(C220&gt;=Rangos!$B$1,10*B220*C220,10*B220*E220))</f>
        <v/>
      </c>
      <c r="H220" s="16" t="str">
        <f>IF(AND(LECO!$D220="",LECO!$F220=""),"",IF(LECO!$F220="",LECO!$D220,LECO!$F220))</f>
        <v/>
      </c>
      <c r="I220" s="32"/>
      <c r="J220" s="25"/>
      <c r="K220" s="35"/>
      <c r="L220" s="15"/>
      <c r="M220" s="16"/>
      <c r="N220" s="15" t="str">
        <f>IF(OR(A220="",B220="",AND(J220="",L220=""),AND(J220&lt;Rangos!$B$2,L220="")),"",IF(J220&gt;=Rangos!$B$2,10*B220*J220,10*B220*L220))</f>
        <v/>
      </c>
      <c r="O220" s="16" t="str">
        <f>IF(AND(LECO!$K220="",LECO!$M220=""),"",IF(LECO!$M220="",LECO!$K220,LECO!$M220))</f>
        <v/>
      </c>
      <c r="P220" s="32"/>
      <c r="Q220" s="15" t="str">
        <f t="shared" si="3"/>
        <v/>
      </c>
      <c r="R220" s="18" t="str">
        <f>IF(OR(LECO!$H220="",LECO!$O220=""),"",MAX(LECO!$H220,LECO!$O220))</f>
        <v/>
      </c>
    </row>
    <row r="221" spans="1:18" x14ac:dyDescent="0.3">
      <c r="A221" s="26"/>
      <c r="B221" s="27"/>
      <c r="C221" s="28"/>
      <c r="D221" s="36"/>
      <c r="E221" s="19"/>
      <c r="F221" s="20"/>
      <c r="G221" s="21" t="str">
        <f>IF(OR(A221="",B221="",AND(C221="",E221=""),AND(C221&lt;Rangos!$B$1,E221="")),"",IF(C221&gt;=Rangos!$B$1,10*B221*C221,10*B221*E221))</f>
        <v/>
      </c>
      <c r="H221" s="20" t="str">
        <f>IF(AND(LECO!$D221="",LECO!$F221=""),"",IF(LECO!$F221="",LECO!$D221,LECO!$F221))</f>
        <v/>
      </c>
      <c r="I221" s="33"/>
      <c r="J221" s="28"/>
      <c r="K221" s="36"/>
      <c r="L221" s="19"/>
      <c r="M221" s="20"/>
      <c r="N221" s="19" t="str">
        <f>IF(OR(A221="",B221="",AND(J221="",L221=""),AND(J221&lt;Rangos!$B$2,L221="")),"",IF(J221&gt;=Rangos!$B$2,10*B221*J221,10*B221*L221))</f>
        <v/>
      </c>
      <c r="O221" s="20" t="str">
        <f>IF(AND(LECO!$K221="",LECO!$M221=""),"",IF(LECO!$M221="",LECO!$K221,LECO!$M221))</f>
        <v/>
      </c>
      <c r="P221" s="33"/>
      <c r="Q221" s="19" t="str">
        <f t="shared" si="3"/>
        <v/>
      </c>
      <c r="R221" s="22" t="str">
        <f>IF(OR(LECO!$H221="",LECO!$O221=""),"",MAX(LECO!$H221,LECO!$O221))</f>
        <v/>
      </c>
    </row>
    <row r="222" spans="1:18" x14ac:dyDescent="0.3">
      <c r="A222" s="23"/>
      <c r="B222" s="24"/>
      <c r="C222" s="25"/>
      <c r="D222" s="35"/>
      <c r="E222" s="15"/>
      <c r="F222" s="16"/>
      <c r="G222" s="17" t="str">
        <f>IF(OR(A222="",B222="",AND(C222="",E222=""),AND(C222&lt;Rangos!$B$1,E222="")),"",IF(C222&gt;=Rangos!$B$1,10*B222*C222,10*B222*E222))</f>
        <v/>
      </c>
      <c r="H222" s="16" t="str">
        <f>IF(AND(LECO!$D222="",LECO!$F222=""),"",IF(LECO!$F222="",LECO!$D222,LECO!$F222))</f>
        <v/>
      </c>
      <c r="I222" s="32"/>
      <c r="J222" s="25"/>
      <c r="K222" s="35"/>
      <c r="L222" s="15"/>
      <c r="M222" s="16"/>
      <c r="N222" s="15" t="str">
        <f>IF(OR(A222="",B222="",AND(J222="",L222=""),AND(J222&lt;Rangos!$B$2,L222="")),"",IF(J222&gt;=Rangos!$B$2,10*B222*J222,10*B222*L222))</f>
        <v/>
      </c>
      <c r="O222" s="16" t="str">
        <f>IF(AND(LECO!$K222="",LECO!$M222=""),"",IF(LECO!$M222="",LECO!$K222,LECO!$M222))</f>
        <v/>
      </c>
      <c r="P222" s="32"/>
      <c r="Q222" s="15" t="str">
        <f t="shared" si="3"/>
        <v/>
      </c>
      <c r="R222" s="18" t="str">
        <f>IF(OR(LECO!$H222="",LECO!$O222=""),"",MAX(LECO!$H222,LECO!$O222))</f>
        <v/>
      </c>
    </row>
    <row r="223" spans="1:18" x14ac:dyDescent="0.3">
      <c r="A223" s="26"/>
      <c r="B223" s="27"/>
      <c r="C223" s="28"/>
      <c r="D223" s="36"/>
      <c r="E223" s="19"/>
      <c r="F223" s="20"/>
      <c r="G223" s="21" t="str">
        <f>IF(OR(A223="",B223="",AND(C223="",E223=""),AND(C223&lt;Rangos!$B$1,E223="")),"",IF(C223&gt;=Rangos!$B$1,10*B223*C223,10*B223*E223))</f>
        <v/>
      </c>
      <c r="H223" s="20" t="str">
        <f>IF(AND(LECO!$D223="",LECO!$F223=""),"",IF(LECO!$F223="",LECO!$D223,LECO!$F223))</f>
        <v/>
      </c>
      <c r="I223" s="33"/>
      <c r="J223" s="28"/>
      <c r="K223" s="36"/>
      <c r="L223" s="19"/>
      <c r="M223" s="20"/>
      <c r="N223" s="19" t="str">
        <f>IF(OR(A223="",B223="",AND(J223="",L223=""),AND(J223&lt;Rangos!$B$2,L223="")),"",IF(J223&gt;=Rangos!$B$2,10*B223*J223,10*B223*L223))</f>
        <v/>
      </c>
      <c r="O223" s="20" t="str">
        <f>IF(AND(LECO!$K223="",LECO!$M223=""),"",IF(LECO!$M223="",LECO!$K223,LECO!$M223))</f>
        <v/>
      </c>
      <c r="P223" s="33"/>
      <c r="Q223" s="19" t="str">
        <f t="shared" si="3"/>
        <v/>
      </c>
      <c r="R223" s="22" t="str">
        <f>IF(OR(LECO!$H223="",LECO!$O223=""),"",MAX(LECO!$H223,LECO!$O223))</f>
        <v/>
      </c>
    </row>
    <row r="224" spans="1:18" x14ac:dyDescent="0.3">
      <c r="A224" s="23"/>
      <c r="B224" s="24"/>
      <c r="C224" s="25"/>
      <c r="D224" s="35"/>
      <c r="E224" s="15"/>
      <c r="F224" s="16"/>
      <c r="G224" s="17" t="str">
        <f>IF(OR(A224="",B224="",AND(C224="",E224=""),AND(C224&lt;Rangos!$B$1,E224="")),"",IF(C224&gt;=Rangos!$B$1,10*B224*C224,10*B224*E224))</f>
        <v/>
      </c>
      <c r="H224" s="16" t="str">
        <f>IF(AND(LECO!$D224="",LECO!$F224=""),"",IF(LECO!$F224="",LECO!$D224,LECO!$F224))</f>
        <v/>
      </c>
      <c r="I224" s="32"/>
      <c r="J224" s="25"/>
      <c r="K224" s="35"/>
      <c r="L224" s="15"/>
      <c r="M224" s="16"/>
      <c r="N224" s="15" t="str">
        <f>IF(OR(A224="",B224="",AND(J224="",L224=""),AND(J224&lt;Rangos!$B$2,L224="")),"",IF(J224&gt;=Rangos!$B$2,10*B224*J224,10*B224*L224))</f>
        <v/>
      </c>
      <c r="O224" s="16" t="str">
        <f>IF(AND(LECO!$K224="",LECO!$M224=""),"",IF(LECO!$M224="",LECO!$K224,LECO!$M224))</f>
        <v/>
      </c>
      <c r="P224" s="32"/>
      <c r="Q224" s="15" t="str">
        <f t="shared" si="3"/>
        <v/>
      </c>
      <c r="R224" s="18" t="str">
        <f>IF(OR(LECO!$H224="",LECO!$O224=""),"",MAX(LECO!$H224,LECO!$O224))</f>
        <v/>
      </c>
    </row>
    <row r="225" spans="1:18" x14ac:dyDescent="0.3">
      <c r="A225" s="26"/>
      <c r="B225" s="27"/>
      <c r="C225" s="28"/>
      <c r="D225" s="36"/>
      <c r="E225" s="19"/>
      <c r="F225" s="20"/>
      <c r="G225" s="21" t="str">
        <f>IF(OR(A225="",B225="",AND(C225="",E225=""),AND(C225&lt;Rangos!$B$1,E225="")),"",IF(C225&gt;=Rangos!$B$1,10*B225*C225,10*B225*E225))</f>
        <v/>
      </c>
      <c r="H225" s="20" t="str">
        <f>IF(AND(LECO!$D225="",LECO!$F225=""),"",IF(LECO!$F225="",LECO!$D225,LECO!$F225))</f>
        <v/>
      </c>
      <c r="I225" s="33"/>
      <c r="J225" s="28"/>
      <c r="K225" s="36"/>
      <c r="L225" s="19"/>
      <c r="M225" s="20"/>
      <c r="N225" s="19" t="str">
        <f>IF(OR(A225="",B225="",AND(J225="",L225=""),AND(J225&lt;Rangos!$B$2,L225="")),"",IF(J225&gt;=Rangos!$B$2,10*B225*J225,10*B225*L225))</f>
        <v/>
      </c>
      <c r="O225" s="20" t="str">
        <f>IF(AND(LECO!$K225="",LECO!$M225=""),"",IF(LECO!$M225="",LECO!$K225,LECO!$M225))</f>
        <v/>
      </c>
      <c r="P225" s="33"/>
      <c r="Q225" s="19" t="str">
        <f t="shared" si="3"/>
        <v/>
      </c>
      <c r="R225" s="22" t="str">
        <f>IF(OR(LECO!$H225="",LECO!$O225=""),"",MAX(LECO!$H225,LECO!$O225))</f>
        <v/>
      </c>
    </row>
    <row r="226" spans="1:18" x14ac:dyDescent="0.3">
      <c r="A226" s="23"/>
      <c r="B226" s="24"/>
      <c r="C226" s="25"/>
      <c r="D226" s="35"/>
      <c r="E226" s="15"/>
      <c r="F226" s="16"/>
      <c r="G226" s="17" t="str">
        <f>IF(OR(A226="",B226="",AND(C226="",E226=""),AND(C226&lt;Rangos!$B$1,E226="")),"",IF(C226&gt;=Rangos!$B$1,10*B226*C226,10*B226*E226))</f>
        <v/>
      </c>
      <c r="H226" s="16" t="str">
        <f>IF(AND(LECO!$D226="",LECO!$F226=""),"",IF(LECO!$F226="",LECO!$D226,LECO!$F226))</f>
        <v/>
      </c>
      <c r="I226" s="32"/>
      <c r="J226" s="25"/>
      <c r="K226" s="35"/>
      <c r="L226" s="15"/>
      <c r="M226" s="16"/>
      <c r="N226" s="15" t="str">
        <f>IF(OR(A226="",B226="",AND(J226="",L226=""),AND(J226&lt;Rangos!$B$2,L226="")),"",IF(J226&gt;=Rangos!$B$2,10*B226*J226,10*B226*L226))</f>
        <v/>
      </c>
      <c r="O226" s="16" t="str">
        <f>IF(AND(LECO!$K226="",LECO!$M226=""),"",IF(LECO!$M226="",LECO!$K226,LECO!$M226))</f>
        <v/>
      </c>
      <c r="P226" s="32"/>
      <c r="Q226" s="15" t="str">
        <f t="shared" si="3"/>
        <v/>
      </c>
      <c r="R226" s="18" t="str">
        <f>IF(OR(LECO!$H226="",LECO!$O226=""),"",MAX(LECO!$H226,LECO!$O226))</f>
        <v/>
      </c>
    </row>
    <row r="227" spans="1:18" x14ac:dyDescent="0.3">
      <c r="A227" s="26"/>
      <c r="B227" s="27"/>
      <c r="C227" s="28"/>
      <c r="D227" s="36"/>
      <c r="E227" s="19"/>
      <c r="F227" s="20"/>
      <c r="G227" s="21" t="str">
        <f>IF(OR(A227="",B227="",AND(C227="",E227=""),AND(C227&lt;Rangos!$B$1,E227="")),"",IF(C227&gt;=Rangos!$B$1,10*B227*C227,10*B227*E227))</f>
        <v/>
      </c>
      <c r="H227" s="20" t="str">
        <f>IF(AND(LECO!$D227="",LECO!$F227=""),"",IF(LECO!$F227="",LECO!$D227,LECO!$F227))</f>
        <v/>
      </c>
      <c r="I227" s="33"/>
      <c r="J227" s="28"/>
      <c r="K227" s="36"/>
      <c r="L227" s="19"/>
      <c r="M227" s="20"/>
      <c r="N227" s="19" t="str">
        <f>IF(OR(A227="",B227="",AND(J227="",L227=""),AND(J227&lt;Rangos!$B$2,L227="")),"",IF(J227&gt;=Rangos!$B$2,10*B227*J227,10*B227*L227))</f>
        <v/>
      </c>
      <c r="O227" s="20" t="str">
        <f>IF(AND(LECO!$K227="",LECO!$M227=""),"",IF(LECO!$M227="",LECO!$K227,LECO!$M227))</f>
        <v/>
      </c>
      <c r="P227" s="33"/>
      <c r="Q227" s="19" t="str">
        <f t="shared" si="3"/>
        <v/>
      </c>
      <c r="R227" s="22" t="str">
        <f>IF(OR(LECO!$H227="",LECO!$O227=""),"",MAX(LECO!$H227,LECO!$O227))</f>
        <v/>
      </c>
    </row>
    <row r="228" spans="1:18" x14ac:dyDescent="0.3">
      <c r="A228" s="23"/>
      <c r="B228" s="24"/>
      <c r="C228" s="25"/>
      <c r="D228" s="35"/>
      <c r="E228" s="15"/>
      <c r="F228" s="16"/>
      <c r="G228" s="17" t="str">
        <f>IF(OR(A228="",B228="",AND(C228="",E228=""),AND(C228&lt;Rangos!$B$1,E228="")),"",IF(C228&gt;=Rangos!$B$1,10*B228*C228,10*B228*E228))</f>
        <v/>
      </c>
      <c r="H228" s="16" t="str">
        <f>IF(AND(LECO!$D228="",LECO!$F228=""),"",IF(LECO!$F228="",LECO!$D228,LECO!$F228))</f>
        <v/>
      </c>
      <c r="I228" s="32"/>
      <c r="J228" s="25"/>
      <c r="K228" s="35"/>
      <c r="L228" s="15"/>
      <c r="M228" s="16"/>
      <c r="N228" s="15" t="str">
        <f>IF(OR(A228="",B228="",AND(J228="",L228=""),AND(J228&lt;Rangos!$B$2,L228="")),"",IF(J228&gt;=Rangos!$B$2,10*B228*J228,10*B228*L228))</f>
        <v/>
      </c>
      <c r="O228" s="16" t="str">
        <f>IF(AND(LECO!$K228="",LECO!$M228=""),"",IF(LECO!$M228="",LECO!$K228,LECO!$M228))</f>
        <v/>
      </c>
      <c r="P228" s="32"/>
      <c r="Q228" s="15" t="str">
        <f t="shared" si="3"/>
        <v/>
      </c>
      <c r="R228" s="18" t="str">
        <f>IF(OR(LECO!$H228="",LECO!$O228=""),"",MAX(LECO!$H228,LECO!$O228))</f>
        <v/>
      </c>
    </row>
    <row r="229" spans="1:18" x14ac:dyDescent="0.3">
      <c r="A229" s="26"/>
      <c r="B229" s="27"/>
      <c r="C229" s="28"/>
      <c r="D229" s="36"/>
      <c r="E229" s="19"/>
      <c r="F229" s="20"/>
      <c r="G229" s="21" t="str">
        <f>IF(OR(A229="",B229="",AND(C229="",E229=""),AND(C229&lt;Rangos!$B$1,E229="")),"",IF(C229&gt;=Rangos!$B$1,10*B229*C229,10*B229*E229))</f>
        <v/>
      </c>
      <c r="H229" s="20" t="str">
        <f>IF(AND(LECO!$D229="",LECO!$F229=""),"",IF(LECO!$F229="",LECO!$D229,LECO!$F229))</f>
        <v/>
      </c>
      <c r="I229" s="33"/>
      <c r="J229" s="28"/>
      <c r="K229" s="36"/>
      <c r="L229" s="19"/>
      <c r="M229" s="20"/>
      <c r="N229" s="19" t="str">
        <f>IF(OR(A229="",B229="",AND(J229="",L229=""),AND(J229&lt;Rangos!$B$2,L229="")),"",IF(J229&gt;=Rangos!$B$2,10*B229*J229,10*B229*L229))</f>
        <v/>
      </c>
      <c r="O229" s="20" t="str">
        <f>IF(AND(LECO!$K229="",LECO!$M229=""),"",IF(LECO!$M229="",LECO!$K229,LECO!$M229))</f>
        <v/>
      </c>
      <c r="P229" s="33"/>
      <c r="Q229" s="19" t="str">
        <f t="shared" si="3"/>
        <v/>
      </c>
      <c r="R229" s="22" t="str">
        <f>IF(OR(LECO!$H229="",LECO!$O229=""),"",MAX(LECO!$H229,LECO!$O229))</f>
        <v/>
      </c>
    </row>
    <row r="230" spans="1:18" x14ac:dyDescent="0.3">
      <c r="A230" s="23"/>
      <c r="B230" s="24"/>
      <c r="C230" s="25"/>
      <c r="D230" s="35"/>
      <c r="E230" s="15"/>
      <c r="F230" s="16"/>
      <c r="G230" s="17" t="str">
        <f>IF(OR(A230="",B230="",AND(C230="",E230=""),AND(C230&lt;Rangos!$B$1,E230="")),"",IF(C230&gt;=Rangos!$B$1,10*B230*C230,10*B230*E230))</f>
        <v/>
      </c>
      <c r="H230" s="16" t="str">
        <f>IF(AND(LECO!$D230="",LECO!$F230=""),"",IF(LECO!$F230="",LECO!$D230,LECO!$F230))</f>
        <v/>
      </c>
      <c r="I230" s="32"/>
      <c r="J230" s="25"/>
      <c r="K230" s="35"/>
      <c r="L230" s="15"/>
      <c r="M230" s="16"/>
      <c r="N230" s="15" t="str">
        <f>IF(OR(A230="",B230="",AND(J230="",L230=""),AND(J230&lt;Rangos!$B$2,L230="")),"",IF(J230&gt;=Rangos!$B$2,10*B230*J230,10*B230*L230))</f>
        <v/>
      </c>
      <c r="O230" s="16" t="str">
        <f>IF(AND(LECO!$K230="",LECO!$M230=""),"",IF(LECO!$M230="",LECO!$K230,LECO!$M230))</f>
        <v/>
      </c>
      <c r="P230" s="32"/>
      <c r="Q230" s="15" t="str">
        <f t="shared" si="3"/>
        <v/>
      </c>
      <c r="R230" s="18" t="str">
        <f>IF(OR(LECO!$H230="",LECO!$O230=""),"",MAX(LECO!$H230,LECO!$O230))</f>
        <v/>
      </c>
    </row>
    <row r="231" spans="1:18" x14ac:dyDescent="0.3">
      <c r="A231" s="26"/>
      <c r="B231" s="27"/>
      <c r="C231" s="28"/>
      <c r="D231" s="36"/>
      <c r="E231" s="19"/>
      <c r="F231" s="20"/>
      <c r="G231" s="21" t="str">
        <f>IF(OR(A231="",B231="",AND(C231="",E231=""),AND(C231&lt;Rangos!$B$1,E231="")),"",IF(C231&gt;=Rangos!$B$1,10*B231*C231,10*B231*E231))</f>
        <v/>
      </c>
      <c r="H231" s="20" t="str">
        <f>IF(AND(LECO!$D231="",LECO!$F231=""),"",IF(LECO!$F231="",LECO!$D231,LECO!$F231))</f>
        <v/>
      </c>
      <c r="I231" s="33"/>
      <c r="J231" s="28"/>
      <c r="K231" s="36"/>
      <c r="L231" s="19"/>
      <c r="M231" s="20"/>
      <c r="N231" s="19" t="str">
        <f>IF(OR(A231="",B231="",AND(J231="",L231=""),AND(J231&lt;Rangos!$B$2,L231="")),"",IF(J231&gt;=Rangos!$B$2,10*B231*J231,10*B231*L231))</f>
        <v/>
      </c>
      <c r="O231" s="20" t="str">
        <f>IF(AND(LECO!$K231="",LECO!$M231=""),"",IF(LECO!$M231="",LECO!$K231,LECO!$M231))</f>
        <v/>
      </c>
      <c r="P231" s="33"/>
      <c r="Q231" s="19" t="str">
        <f t="shared" si="3"/>
        <v/>
      </c>
      <c r="R231" s="22" t="str">
        <f>IF(OR(LECO!$H231="",LECO!$O231=""),"",MAX(LECO!$H231,LECO!$O231))</f>
        <v/>
      </c>
    </row>
    <row r="232" spans="1:18" x14ac:dyDescent="0.3">
      <c r="A232" s="23"/>
      <c r="B232" s="24"/>
      <c r="C232" s="25"/>
      <c r="D232" s="35"/>
      <c r="E232" s="15"/>
      <c r="F232" s="16"/>
      <c r="G232" s="17" t="str">
        <f>IF(OR(A232="",B232="",AND(C232="",E232=""),AND(C232&lt;Rangos!$B$1,E232="")),"",IF(C232&gt;=Rangos!$B$1,10*B232*C232,10*B232*E232))</f>
        <v/>
      </c>
      <c r="H232" s="16" t="str">
        <f>IF(AND(LECO!$D232="",LECO!$F232=""),"",IF(LECO!$F232="",LECO!$D232,LECO!$F232))</f>
        <v/>
      </c>
      <c r="I232" s="32"/>
      <c r="J232" s="25"/>
      <c r="K232" s="35"/>
      <c r="L232" s="15"/>
      <c r="M232" s="16"/>
      <c r="N232" s="15" t="str">
        <f>IF(OR(A232="",B232="",AND(J232="",L232=""),AND(J232&lt;Rangos!$B$2,L232="")),"",IF(J232&gt;=Rangos!$B$2,10*B232*J232,10*B232*L232))</f>
        <v/>
      </c>
      <c r="O232" s="16" t="str">
        <f>IF(AND(LECO!$K232="",LECO!$M232=""),"",IF(LECO!$M232="",LECO!$K232,LECO!$M232))</f>
        <v/>
      </c>
      <c r="P232" s="32"/>
      <c r="Q232" s="15" t="str">
        <f t="shared" si="3"/>
        <v/>
      </c>
      <c r="R232" s="18" t="str">
        <f>IF(OR(LECO!$H232="",LECO!$O232=""),"",MAX(LECO!$H232,LECO!$O232))</f>
        <v/>
      </c>
    </row>
    <row r="233" spans="1:18" x14ac:dyDescent="0.3">
      <c r="A233" s="26"/>
      <c r="B233" s="27"/>
      <c r="C233" s="28"/>
      <c r="D233" s="36"/>
      <c r="E233" s="19"/>
      <c r="F233" s="20"/>
      <c r="G233" s="21" t="str">
        <f>IF(OR(A233="",B233="",AND(C233="",E233=""),AND(C233&lt;Rangos!$B$1,E233="")),"",IF(C233&gt;=Rangos!$B$1,10*B233*C233,10*B233*E233))</f>
        <v/>
      </c>
      <c r="H233" s="20" t="str">
        <f>IF(AND(LECO!$D233="",LECO!$F233=""),"",IF(LECO!$F233="",LECO!$D233,LECO!$F233))</f>
        <v/>
      </c>
      <c r="I233" s="33"/>
      <c r="J233" s="28"/>
      <c r="K233" s="36"/>
      <c r="L233" s="19"/>
      <c r="M233" s="20"/>
      <c r="N233" s="19" t="str">
        <f>IF(OR(A233="",B233="",AND(J233="",L233=""),AND(J233&lt;Rangos!$B$2,L233="")),"",IF(J233&gt;=Rangos!$B$2,10*B233*J233,10*B233*L233))</f>
        <v/>
      </c>
      <c r="O233" s="20" t="str">
        <f>IF(AND(LECO!$K233="",LECO!$M233=""),"",IF(LECO!$M233="",LECO!$K233,LECO!$M233))</f>
        <v/>
      </c>
      <c r="P233" s="33"/>
      <c r="Q233" s="19" t="str">
        <f t="shared" si="3"/>
        <v/>
      </c>
      <c r="R233" s="22" t="str">
        <f>IF(OR(LECO!$H233="",LECO!$O233=""),"",MAX(LECO!$H233,LECO!$O233))</f>
        <v/>
      </c>
    </row>
    <row r="234" spans="1:18" x14ac:dyDescent="0.3">
      <c r="A234" s="23"/>
      <c r="B234" s="24"/>
      <c r="C234" s="25"/>
      <c r="D234" s="35"/>
      <c r="E234" s="15"/>
      <c r="F234" s="16"/>
      <c r="G234" s="17" t="str">
        <f>IF(OR(A234="",B234="",AND(C234="",E234=""),AND(C234&lt;Rangos!$B$1,E234="")),"",IF(C234&gt;=Rangos!$B$1,10*B234*C234,10*B234*E234))</f>
        <v/>
      </c>
      <c r="H234" s="16" t="str">
        <f>IF(AND(LECO!$D234="",LECO!$F234=""),"",IF(LECO!$F234="",LECO!$D234,LECO!$F234))</f>
        <v/>
      </c>
      <c r="I234" s="32"/>
      <c r="J234" s="25"/>
      <c r="K234" s="35"/>
      <c r="L234" s="15"/>
      <c r="M234" s="16"/>
      <c r="N234" s="15" t="str">
        <f>IF(OR(A234="",B234="",AND(J234="",L234=""),AND(J234&lt;Rangos!$B$2,L234="")),"",IF(J234&gt;=Rangos!$B$2,10*B234*J234,10*B234*L234))</f>
        <v/>
      </c>
      <c r="O234" s="16" t="str">
        <f>IF(AND(LECO!$K234="",LECO!$M234=""),"",IF(LECO!$M234="",LECO!$K234,LECO!$M234))</f>
        <v/>
      </c>
      <c r="P234" s="32"/>
      <c r="Q234" s="15" t="str">
        <f t="shared" si="3"/>
        <v/>
      </c>
      <c r="R234" s="18" t="str">
        <f>IF(OR(LECO!$H234="",LECO!$O234=""),"",MAX(LECO!$H234,LECO!$O234))</f>
        <v/>
      </c>
    </row>
    <row r="235" spans="1:18" x14ac:dyDescent="0.3">
      <c r="A235" s="26"/>
      <c r="B235" s="27"/>
      <c r="C235" s="28"/>
      <c r="D235" s="36"/>
      <c r="E235" s="19"/>
      <c r="F235" s="20"/>
      <c r="G235" s="21" t="str">
        <f>IF(OR(A235="",B235="",AND(C235="",E235=""),AND(C235&lt;Rangos!$B$1,E235="")),"",IF(C235&gt;=Rangos!$B$1,10*B235*C235,10*B235*E235))</f>
        <v/>
      </c>
      <c r="H235" s="20" t="str">
        <f>IF(AND(LECO!$D235="",LECO!$F235=""),"",IF(LECO!$F235="",LECO!$D235,LECO!$F235))</f>
        <v/>
      </c>
      <c r="I235" s="33"/>
      <c r="J235" s="28"/>
      <c r="K235" s="36"/>
      <c r="L235" s="19"/>
      <c r="M235" s="20"/>
      <c r="N235" s="19" t="str">
        <f>IF(OR(A235="",B235="",AND(J235="",L235=""),AND(J235&lt;Rangos!$B$2,L235="")),"",IF(J235&gt;=Rangos!$B$2,10*B235*J235,10*B235*L235))</f>
        <v/>
      </c>
      <c r="O235" s="20" t="str">
        <f>IF(AND(LECO!$K235="",LECO!$M235=""),"",IF(LECO!$M235="",LECO!$K235,LECO!$M235))</f>
        <v/>
      </c>
      <c r="P235" s="33"/>
      <c r="Q235" s="19" t="str">
        <f t="shared" si="3"/>
        <v/>
      </c>
      <c r="R235" s="22" t="str">
        <f>IF(OR(LECO!$H235="",LECO!$O235=""),"",MAX(LECO!$H235,LECO!$O235))</f>
        <v/>
      </c>
    </row>
    <row r="236" spans="1:18" x14ac:dyDescent="0.3">
      <c r="A236" s="23"/>
      <c r="B236" s="24"/>
      <c r="C236" s="25"/>
      <c r="D236" s="35"/>
      <c r="E236" s="15"/>
      <c r="F236" s="16"/>
      <c r="G236" s="17" t="str">
        <f>IF(OR(A236="",B236="",AND(C236="",E236=""),AND(C236&lt;Rangos!$B$1,E236="")),"",IF(C236&gt;=Rangos!$B$1,10*B236*C236,10*B236*E236))</f>
        <v/>
      </c>
      <c r="H236" s="16" t="str">
        <f>IF(AND(LECO!$D236="",LECO!$F236=""),"",IF(LECO!$F236="",LECO!$D236,LECO!$F236))</f>
        <v/>
      </c>
      <c r="I236" s="32"/>
      <c r="J236" s="25"/>
      <c r="K236" s="35"/>
      <c r="L236" s="15"/>
      <c r="M236" s="16"/>
      <c r="N236" s="15" t="str">
        <f>IF(OR(A236="",B236="",AND(J236="",L236=""),AND(J236&lt;Rangos!$B$2,L236="")),"",IF(J236&gt;=Rangos!$B$2,10*B236*J236,10*B236*L236))</f>
        <v/>
      </c>
      <c r="O236" s="16" t="str">
        <f>IF(AND(LECO!$K236="",LECO!$M236=""),"",IF(LECO!$M236="",LECO!$K236,LECO!$M236))</f>
        <v/>
      </c>
      <c r="P236" s="32"/>
      <c r="Q236" s="15" t="str">
        <f t="shared" si="3"/>
        <v/>
      </c>
      <c r="R236" s="18" t="str">
        <f>IF(OR(LECO!$H236="",LECO!$O236=""),"",MAX(LECO!$H236,LECO!$O236))</f>
        <v/>
      </c>
    </row>
    <row r="237" spans="1:18" x14ac:dyDescent="0.3">
      <c r="A237" s="26"/>
      <c r="B237" s="27"/>
      <c r="C237" s="28"/>
      <c r="D237" s="36"/>
      <c r="E237" s="19"/>
      <c r="F237" s="20"/>
      <c r="G237" s="21" t="str">
        <f>IF(OR(A237="",B237="",AND(C237="",E237=""),AND(C237&lt;Rangos!$B$1,E237="")),"",IF(C237&gt;=Rangos!$B$1,10*B237*C237,10*B237*E237))</f>
        <v/>
      </c>
      <c r="H237" s="20" t="str">
        <f>IF(AND(LECO!$D237="",LECO!$F237=""),"",IF(LECO!$F237="",LECO!$D237,LECO!$F237))</f>
        <v/>
      </c>
      <c r="I237" s="33"/>
      <c r="J237" s="28"/>
      <c r="K237" s="36"/>
      <c r="L237" s="19"/>
      <c r="M237" s="20"/>
      <c r="N237" s="19" t="str">
        <f>IF(OR(A237="",B237="",AND(J237="",L237=""),AND(J237&lt;Rangos!$B$2,L237="")),"",IF(J237&gt;=Rangos!$B$2,10*B237*J237,10*B237*L237))</f>
        <v/>
      </c>
      <c r="O237" s="20" t="str">
        <f>IF(AND(LECO!$K237="",LECO!$M237=""),"",IF(LECO!$M237="",LECO!$K237,LECO!$M237))</f>
        <v/>
      </c>
      <c r="P237" s="33"/>
      <c r="Q237" s="19" t="str">
        <f t="shared" si="3"/>
        <v/>
      </c>
      <c r="R237" s="22" t="str">
        <f>IF(OR(LECO!$H237="",LECO!$O237=""),"",MAX(LECO!$H237,LECO!$O237))</f>
        <v/>
      </c>
    </row>
    <row r="238" spans="1:18" x14ac:dyDescent="0.3">
      <c r="A238" s="23"/>
      <c r="B238" s="24"/>
      <c r="C238" s="25"/>
      <c r="D238" s="35"/>
      <c r="E238" s="15"/>
      <c r="F238" s="16"/>
      <c r="G238" s="17" t="str">
        <f>IF(OR(A238="",B238="",AND(C238="",E238=""),AND(C238&lt;Rangos!$B$1,E238="")),"",IF(C238&gt;=Rangos!$B$1,10*B238*C238,10*B238*E238))</f>
        <v/>
      </c>
      <c r="H238" s="16" t="str">
        <f>IF(AND(LECO!$D238="",LECO!$F238=""),"",IF(LECO!$F238="",LECO!$D238,LECO!$F238))</f>
        <v/>
      </c>
      <c r="I238" s="32"/>
      <c r="J238" s="25"/>
      <c r="K238" s="35"/>
      <c r="L238" s="15"/>
      <c r="M238" s="16"/>
      <c r="N238" s="15" t="str">
        <f>IF(OR(A238="",B238="",AND(J238="",L238=""),AND(J238&lt;Rangos!$B$2,L238="")),"",IF(J238&gt;=Rangos!$B$2,10*B238*J238,10*B238*L238))</f>
        <v/>
      </c>
      <c r="O238" s="16" t="str">
        <f>IF(AND(LECO!$K238="",LECO!$M238=""),"",IF(LECO!$M238="",LECO!$K238,LECO!$M238))</f>
        <v/>
      </c>
      <c r="P238" s="32"/>
      <c r="Q238" s="15" t="str">
        <f t="shared" si="3"/>
        <v/>
      </c>
      <c r="R238" s="18" t="str">
        <f>IF(OR(LECO!$H238="",LECO!$O238=""),"",MAX(LECO!$H238,LECO!$O238))</f>
        <v/>
      </c>
    </row>
    <row r="239" spans="1:18" x14ac:dyDescent="0.3">
      <c r="A239" s="26"/>
      <c r="B239" s="27"/>
      <c r="C239" s="28"/>
      <c r="D239" s="36"/>
      <c r="E239" s="19"/>
      <c r="F239" s="20"/>
      <c r="G239" s="21" t="str">
        <f>IF(OR(A239="",B239="",AND(C239="",E239=""),AND(C239&lt;Rangos!$B$1,E239="")),"",IF(C239&gt;=Rangos!$B$1,10*B239*C239,10*B239*E239))</f>
        <v/>
      </c>
      <c r="H239" s="20" t="str">
        <f>IF(AND(LECO!$D239="",LECO!$F239=""),"",IF(LECO!$F239="",LECO!$D239,LECO!$F239))</f>
        <v/>
      </c>
      <c r="I239" s="33"/>
      <c r="J239" s="28"/>
      <c r="K239" s="36"/>
      <c r="L239" s="19"/>
      <c r="M239" s="20"/>
      <c r="N239" s="19" t="str">
        <f>IF(OR(A239="",B239="",AND(J239="",L239=""),AND(J239&lt;Rangos!$B$2,L239="")),"",IF(J239&gt;=Rangos!$B$2,10*B239*J239,10*B239*L239))</f>
        <v/>
      </c>
      <c r="O239" s="20" t="str">
        <f>IF(AND(LECO!$K239="",LECO!$M239=""),"",IF(LECO!$M239="",LECO!$K239,LECO!$M239))</f>
        <v/>
      </c>
      <c r="P239" s="33"/>
      <c r="Q239" s="19" t="str">
        <f t="shared" si="3"/>
        <v/>
      </c>
      <c r="R239" s="22" t="str">
        <f>IF(OR(LECO!$H239="",LECO!$O239=""),"",MAX(LECO!$H239,LECO!$O239))</f>
        <v/>
      </c>
    </row>
    <row r="240" spans="1:18" x14ac:dyDescent="0.3">
      <c r="A240" s="23"/>
      <c r="B240" s="24"/>
      <c r="C240" s="25"/>
      <c r="D240" s="35"/>
      <c r="E240" s="15"/>
      <c r="F240" s="16"/>
      <c r="G240" s="17" t="str">
        <f>IF(OR(A240="",B240="",AND(C240="",E240=""),AND(C240&lt;Rangos!$B$1,E240="")),"",IF(C240&gt;=Rangos!$B$1,10*B240*C240,10*B240*E240))</f>
        <v/>
      </c>
      <c r="H240" s="16" t="str">
        <f>IF(AND(LECO!$D240="",LECO!$F240=""),"",IF(LECO!$F240="",LECO!$D240,LECO!$F240))</f>
        <v/>
      </c>
      <c r="I240" s="32"/>
      <c r="J240" s="25"/>
      <c r="K240" s="35"/>
      <c r="L240" s="15"/>
      <c r="M240" s="16"/>
      <c r="N240" s="15" t="str">
        <f>IF(OR(A240="",B240="",AND(J240="",L240=""),AND(J240&lt;Rangos!$B$2,L240="")),"",IF(J240&gt;=Rangos!$B$2,10*B240*J240,10*B240*L240))</f>
        <v/>
      </c>
      <c r="O240" s="16" t="str">
        <f>IF(AND(LECO!$K240="",LECO!$M240=""),"",IF(LECO!$M240="",LECO!$K240,LECO!$M240))</f>
        <v/>
      </c>
      <c r="P240" s="32"/>
      <c r="Q240" s="15" t="str">
        <f t="shared" si="3"/>
        <v/>
      </c>
      <c r="R240" s="18" t="str">
        <f>IF(OR(LECO!$H240="",LECO!$O240=""),"",MAX(LECO!$H240,LECO!$O240))</f>
        <v/>
      </c>
    </row>
    <row r="241" spans="1:18" x14ac:dyDescent="0.3">
      <c r="A241" s="26"/>
      <c r="B241" s="27"/>
      <c r="C241" s="28"/>
      <c r="D241" s="36"/>
      <c r="E241" s="19"/>
      <c r="F241" s="20"/>
      <c r="G241" s="21" t="str">
        <f>IF(OR(A241="",B241="",AND(C241="",E241=""),AND(C241&lt;Rangos!$B$1,E241="")),"",IF(C241&gt;=Rangos!$B$1,10*B241*C241,10*B241*E241))</f>
        <v/>
      </c>
      <c r="H241" s="20" t="str">
        <f>IF(AND(LECO!$D241="",LECO!$F241=""),"",IF(LECO!$F241="",LECO!$D241,LECO!$F241))</f>
        <v/>
      </c>
      <c r="I241" s="33"/>
      <c r="J241" s="28"/>
      <c r="K241" s="36"/>
      <c r="L241" s="19"/>
      <c r="M241" s="20"/>
      <c r="N241" s="19" t="str">
        <f>IF(OR(A241="",B241="",AND(J241="",L241=""),AND(J241&lt;Rangos!$B$2,L241="")),"",IF(J241&gt;=Rangos!$B$2,10*B241*J241,10*B241*L241))</f>
        <v/>
      </c>
      <c r="O241" s="20" t="str">
        <f>IF(AND(LECO!$K241="",LECO!$M241=""),"",IF(LECO!$M241="",LECO!$K241,LECO!$M241))</f>
        <v/>
      </c>
      <c r="P241" s="33"/>
      <c r="Q241" s="19" t="str">
        <f t="shared" si="3"/>
        <v/>
      </c>
      <c r="R241" s="22" t="str">
        <f>IF(OR(LECO!$H241="",LECO!$O241=""),"",MAX(LECO!$H241,LECO!$O241))</f>
        <v/>
      </c>
    </row>
    <row r="242" spans="1:18" x14ac:dyDescent="0.3">
      <c r="A242" s="23"/>
      <c r="B242" s="24"/>
      <c r="C242" s="25"/>
      <c r="D242" s="35"/>
      <c r="E242" s="15"/>
      <c r="F242" s="16"/>
      <c r="G242" s="17" t="str">
        <f>IF(OR(A242="",B242="",AND(C242="",E242=""),AND(C242&lt;Rangos!$B$1,E242="")),"",IF(C242&gt;=Rangos!$B$1,10*B242*C242,10*B242*E242))</f>
        <v/>
      </c>
      <c r="H242" s="16" t="str">
        <f>IF(AND(LECO!$D242="",LECO!$F242=""),"",IF(LECO!$F242="",LECO!$D242,LECO!$F242))</f>
        <v/>
      </c>
      <c r="I242" s="32"/>
      <c r="J242" s="25"/>
      <c r="K242" s="35"/>
      <c r="L242" s="15"/>
      <c r="M242" s="16"/>
      <c r="N242" s="15" t="str">
        <f>IF(OR(A242="",B242="",AND(J242="",L242=""),AND(J242&lt;Rangos!$B$2,L242="")),"",IF(J242&gt;=Rangos!$B$2,10*B242*J242,10*B242*L242))</f>
        <v/>
      </c>
      <c r="O242" s="16" t="str">
        <f>IF(AND(LECO!$K242="",LECO!$M242=""),"",IF(LECO!$M242="",LECO!$K242,LECO!$M242))</f>
        <v/>
      </c>
      <c r="P242" s="32"/>
      <c r="Q242" s="15" t="str">
        <f t="shared" si="3"/>
        <v/>
      </c>
      <c r="R242" s="18" t="str">
        <f>IF(OR(LECO!$H242="",LECO!$O242=""),"",MAX(LECO!$H242,LECO!$O242))</f>
        <v/>
      </c>
    </row>
    <row r="243" spans="1:18" x14ac:dyDescent="0.3">
      <c r="A243" s="26"/>
      <c r="B243" s="27"/>
      <c r="C243" s="28"/>
      <c r="D243" s="36"/>
      <c r="E243" s="19"/>
      <c r="F243" s="20"/>
      <c r="G243" s="21" t="str">
        <f>IF(OR(A243="",B243="",AND(C243="",E243=""),AND(C243&lt;Rangos!$B$1,E243="")),"",IF(C243&gt;=Rangos!$B$1,10*B243*C243,10*B243*E243))</f>
        <v/>
      </c>
      <c r="H243" s="20" t="str">
        <f>IF(AND(LECO!$D243="",LECO!$F243=""),"",IF(LECO!$F243="",LECO!$D243,LECO!$F243))</f>
        <v/>
      </c>
      <c r="I243" s="33"/>
      <c r="J243" s="28"/>
      <c r="K243" s="36"/>
      <c r="L243" s="19"/>
      <c r="M243" s="20"/>
      <c r="N243" s="19" t="str">
        <f>IF(OR(A243="",B243="",AND(J243="",L243=""),AND(J243&lt;Rangos!$B$2,L243="")),"",IF(J243&gt;=Rangos!$B$2,10*B243*J243,10*B243*L243))</f>
        <v/>
      </c>
      <c r="O243" s="20" t="str">
        <f>IF(AND(LECO!$K243="",LECO!$M243=""),"",IF(LECO!$M243="",LECO!$K243,LECO!$M243))</f>
        <v/>
      </c>
      <c r="P243" s="33"/>
      <c r="Q243" s="19" t="str">
        <f t="shared" si="3"/>
        <v/>
      </c>
      <c r="R243" s="22" t="str">
        <f>IF(OR(LECO!$H243="",LECO!$O243=""),"",MAX(LECO!$H243,LECO!$O243))</f>
        <v/>
      </c>
    </row>
    <row r="244" spans="1:18" x14ac:dyDescent="0.3">
      <c r="A244" s="23"/>
      <c r="B244" s="24"/>
      <c r="C244" s="25"/>
      <c r="D244" s="35"/>
      <c r="E244" s="15"/>
      <c r="F244" s="16"/>
      <c r="G244" s="17" t="str">
        <f>IF(OR(A244="",B244="",AND(C244="",E244=""),AND(C244&lt;Rangos!$B$1,E244="")),"",IF(C244&gt;=Rangos!$B$1,10*B244*C244,10*B244*E244))</f>
        <v/>
      </c>
      <c r="H244" s="16" t="str">
        <f>IF(AND(LECO!$D244="",LECO!$F244=""),"",IF(LECO!$F244="",LECO!$D244,LECO!$F244))</f>
        <v/>
      </c>
      <c r="I244" s="32"/>
      <c r="J244" s="25"/>
      <c r="K244" s="35"/>
      <c r="L244" s="15"/>
      <c r="M244" s="16"/>
      <c r="N244" s="15" t="str">
        <f>IF(OR(A244="",B244="",AND(J244="",L244=""),AND(J244&lt;Rangos!$B$2,L244="")),"",IF(J244&gt;=Rangos!$B$2,10*B244*J244,10*B244*L244))</f>
        <v/>
      </c>
      <c r="O244" s="16" t="str">
        <f>IF(AND(LECO!$K244="",LECO!$M244=""),"",IF(LECO!$M244="",LECO!$K244,LECO!$M244))</f>
        <v/>
      </c>
      <c r="P244" s="32"/>
      <c r="Q244" s="15" t="str">
        <f t="shared" si="3"/>
        <v/>
      </c>
      <c r="R244" s="18" t="str">
        <f>IF(OR(LECO!$H244="",LECO!$O244=""),"",MAX(LECO!$H244,LECO!$O244))</f>
        <v/>
      </c>
    </row>
    <row r="245" spans="1:18" x14ac:dyDescent="0.3">
      <c r="A245" s="26"/>
      <c r="B245" s="27"/>
      <c r="C245" s="28"/>
      <c r="D245" s="36"/>
      <c r="E245" s="19"/>
      <c r="F245" s="20"/>
      <c r="G245" s="21" t="str">
        <f>IF(OR(A245="",B245="",AND(C245="",E245=""),AND(C245&lt;Rangos!$B$1,E245="")),"",IF(C245&gt;=Rangos!$B$1,10*B245*C245,10*B245*E245))</f>
        <v/>
      </c>
      <c r="H245" s="20" t="str">
        <f>IF(AND(LECO!$D245="",LECO!$F245=""),"",IF(LECO!$F245="",LECO!$D245,LECO!$F245))</f>
        <v/>
      </c>
      <c r="I245" s="33"/>
      <c r="J245" s="28"/>
      <c r="K245" s="36"/>
      <c r="L245" s="19"/>
      <c r="M245" s="20"/>
      <c r="N245" s="19" t="str">
        <f>IF(OR(A245="",B245="",AND(J245="",L245=""),AND(J245&lt;Rangos!$B$2,L245="")),"",IF(J245&gt;=Rangos!$B$2,10*B245*J245,10*B245*L245))</f>
        <v/>
      </c>
      <c r="O245" s="20" t="str">
        <f>IF(AND(LECO!$K245="",LECO!$M245=""),"",IF(LECO!$M245="",LECO!$K245,LECO!$M245))</f>
        <v/>
      </c>
      <c r="P245" s="33"/>
      <c r="Q245" s="19" t="str">
        <f t="shared" si="3"/>
        <v/>
      </c>
      <c r="R245" s="22" t="str">
        <f>IF(OR(LECO!$H245="",LECO!$O245=""),"",MAX(LECO!$H245,LECO!$O245))</f>
        <v/>
      </c>
    </row>
    <row r="246" spans="1:18" x14ac:dyDescent="0.3">
      <c r="A246" s="23"/>
      <c r="B246" s="24"/>
      <c r="C246" s="25"/>
      <c r="D246" s="35"/>
      <c r="E246" s="15"/>
      <c r="F246" s="16"/>
      <c r="G246" s="17" t="str">
        <f>IF(OR(A246="",B246="",AND(C246="",E246=""),AND(C246&lt;Rangos!$B$1,E246="")),"",IF(C246&gt;=Rangos!$B$1,10*B246*C246,10*B246*E246))</f>
        <v/>
      </c>
      <c r="H246" s="16" t="str">
        <f>IF(AND(LECO!$D246="",LECO!$F246=""),"",IF(LECO!$F246="",LECO!$D246,LECO!$F246))</f>
        <v/>
      </c>
      <c r="I246" s="32"/>
      <c r="J246" s="25"/>
      <c r="K246" s="35"/>
      <c r="L246" s="15"/>
      <c r="M246" s="16"/>
      <c r="N246" s="15" t="str">
        <f>IF(OR(A246="",B246="",AND(J246="",L246=""),AND(J246&lt;Rangos!$B$2,L246="")),"",IF(J246&gt;=Rangos!$B$2,10*B246*J246,10*B246*L246))</f>
        <v/>
      </c>
      <c r="O246" s="16" t="str">
        <f>IF(AND(LECO!$K246="",LECO!$M246=""),"",IF(LECO!$M246="",LECO!$K246,LECO!$M246))</f>
        <v/>
      </c>
      <c r="P246" s="32"/>
      <c r="Q246" s="15" t="str">
        <f t="shared" si="3"/>
        <v/>
      </c>
      <c r="R246" s="18" t="str">
        <f>IF(OR(LECO!$H246="",LECO!$O246=""),"",MAX(LECO!$H246,LECO!$O246))</f>
        <v/>
      </c>
    </row>
    <row r="247" spans="1:18" x14ac:dyDescent="0.3">
      <c r="A247" s="26"/>
      <c r="B247" s="27"/>
      <c r="C247" s="28"/>
      <c r="D247" s="36"/>
      <c r="E247" s="19"/>
      <c r="F247" s="20"/>
      <c r="G247" s="21" t="str">
        <f>IF(OR(A247="",B247="",AND(C247="",E247=""),AND(C247&lt;Rangos!$B$1,E247="")),"",IF(C247&gt;=Rangos!$B$1,10*B247*C247,10*B247*E247))</f>
        <v/>
      </c>
      <c r="H247" s="20" t="str">
        <f>IF(AND(LECO!$D247="",LECO!$F247=""),"",IF(LECO!$F247="",LECO!$D247,LECO!$F247))</f>
        <v/>
      </c>
      <c r="I247" s="33"/>
      <c r="J247" s="28"/>
      <c r="K247" s="36"/>
      <c r="L247" s="19"/>
      <c r="M247" s="20"/>
      <c r="N247" s="19" t="str">
        <f>IF(OR(A247="",B247="",AND(J247="",L247=""),AND(J247&lt;Rangos!$B$2,L247="")),"",IF(J247&gt;=Rangos!$B$2,10*B247*J247,10*B247*L247))</f>
        <v/>
      </c>
      <c r="O247" s="20" t="str">
        <f>IF(AND(LECO!$K247="",LECO!$M247=""),"",IF(LECO!$M247="",LECO!$K247,LECO!$M247))</f>
        <v/>
      </c>
      <c r="P247" s="33"/>
      <c r="Q247" s="19" t="str">
        <f t="shared" si="3"/>
        <v/>
      </c>
      <c r="R247" s="22" t="str">
        <f>IF(OR(LECO!$H247="",LECO!$O247=""),"",MAX(LECO!$H247,LECO!$O247))</f>
        <v/>
      </c>
    </row>
    <row r="248" spans="1:18" x14ac:dyDescent="0.3">
      <c r="A248" s="23"/>
      <c r="B248" s="24"/>
      <c r="C248" s="25"/>
      <c r="D248" s="35"/>
      <c r="E248" s="15"/>
      <c r="F248" s="16"/>
      <c r="G248" s="17" t="str">
        <f>IF(OR(A248="",B248="",AND(C248="",E248=""),AND(C248&lt;Rangos!$B$1,E248="")),"",IF(C248&gt;=Rangos!$B$1,10*B248*C248,10*B248*E248))</f>
        <v/>
      </c>
      <c r="H248" s="16" t="str">
        <f>IF(AND(LECO!$D248="",LECO!$F248=""),"",IF(LECO!$F248="",LECO!$D248,LECO!$F248))</f>
        <v/>
      </c>
      <c r="I248" s="32"/>
      <c r="J248" s="25"/>
      <c r="K248" s="35"/>
      <c r="L248" s="15"/>
      <c r="M248" s="16"/>
      <c r="N248" s="15" t="str">
        <f>IF(OR(A248="",B248="",AND(J248="",L248=""),AND(J248&lt;Rangos!$B$2,L248="")),"",IF(J248&gt;=Rangos!$B$2,10*B248*J248,10*B248*L248))</f>
        <v/>
      </c>
      <c r="O248" s="16" t="str">
        <f>IF(AND(LECO!$K248="",LECO!$M248=""),"",IF(LECO!$M248="",LECO!$K248,LECO!$M248))</f>
        <v/>
      </c>
      <c r="P248" s="32"/>
      <c r="Q248" s="15" t="str">
        <f t="shared" si="3"/>
        <v/>
      </c>
      <c r="R248" s="18" t="str">
        <f>IF(OR(LECO!$H248="",LECO!$O248=""),"",MAX(LECO!$H248,LECO!$O248))</f>
        <v/>
      </c>
    </row>
    <row r="249" spans="1:18" x14ac:dyDescent="0.3">
      <c r="A249" s="26"/>
      <c r="B249" s="27"/>
      <c r="C249" s="28"/>
      <c r="D249" s="36"/>
      <c r="E249" s="19"/>
      <c r="F249" s="20"/>
      <c r="G249" s="21" t="str">
        <f>IF(OR(A249="",B249="",AND(C249="",E249=""),AND(C249&lt;Rangos!$B$1,E249="")),"",IF(C249&gt;=Rangos!$B$1,10*B249*C249,10*B249*E249))</f>
        <v/>
      </c>
      <c r="H249" s="20" t="str">
        <f>IF(AND(LECO!$D249="",LECO!$F249=""),"",IF(LECO!$F249="",LECO!$D249,LECO!$F249))</f>
        <v/>
      </c>
      <c r="I249" s="33"/>
      <c r="J249" s="28"/>
      <c r="K249" s="36"/>
      <c r="L249" s="19"/>
      <c r="M249" s="20"/>
      <c r="N249" s="19" t="str">
        <f>IF(OR(A249="",B249="",AND(J249="",L249=""),AND(J249&lt;Rangos!$B$2,L249="")),"",IF(J249&gt;=Rangos!$B$2,10*B249*J249,10*B249*L249))</f>
        <v/>
      </c>
      <c r="O249" s="20" t="str">
        <f>IF(AND(LECO!$K249="",LECO!$M249=""),"",IF(LECO!$M249="",LECO!$K249,LECO!$M249))</f>
        <v/>
      </c>
      <c r="P249" s="33"/>
      <c r="Q249" s="19" t="str">
        <f t="shared" si="3"/>
        <v/>
      </c>
      <c r="R249" s="22" t="str">
        <f>IF(OR(LECO!$H249="",LECO!$O249=""),"",MAX(LECO!$H249,LECO!$O249))</f>
        <v/>
      </c>
    </row>
    <row r="250" spans="1:18" x14ac:dyDescent="0.3">
      <c r="A250" s="23"/>
      <c r="B250" s="24"/>
      <c r="C250" s="25"/>
      <c r="D250" s="35"/>
      <c r="E250" s="15"/>
      <c r="F250" s="16"/>
      <c r="G250" s="17" t="str">
        <f>IF(OR(A250="",B250="",AND(C250="",E250=""),AND(C250&lt;Rangos!$B$1,E250="")),"",IF(C250&gt;=Rangos!$B$1,10*B250*C250,10*B250*E250))</f>
        <v/>
      </c>
      <c r="H250" s="16" t="str">
        <f>IF(AND(LECO!$D250="",LECO!$F250=""),"",IF(LECO!$F250="",LECO!$D250,LECO!$F250))</f>
        <v/>
      </c>
      <c r="I250" s="32"/>
      <c r="J250" s="25"/>
      <c r="K250" s="35"/>
      <c r="L250" s="15"/>
      <c r="M250" s="16"/>
      <c r="N250" s="15" t="str">
        <f>IF(OR(A250="",B250="",AND(J250="",L250=""),AND(J250&lt;Rangos!$B$2,L250="")),"",IF(J250&gt;=Rangos!$B$2,10*B250*J250,10*B250*L250))</f>
        <v/>
      </c>
      <c r="O250" s="16" t="str">
        <f>IF(AND(LECO!$K250="",LECO!$M250=""),"",IF(LECO!$M250="",LECO!$K250,LECO!$M250))</f>
        <v/>
      </c>
      <c r="P250" s="32"/>
      <c r="Q250" s="15" t="str">
        <f t="shared" si="3"/>
        <v/>
      </c>
      <c r="R250" s="18" t="str">
        <f>IF(OR(LECO!$H250="",LECO!$O250=""),"",MAX(LECO!$H250,LECO!$O250))</f>
        <v/>
      </c>
    </row>
    <row r="251" spans="1:18" x14ac:dyDescent="0.3">
      <c r="A251" s="29"/>
      <c r="B251" s="30"/>
      <c r="C251" s="31"/>
      <c r="D251" s="37"/>
      <c r="E251" s="7"/>
      <c r="F251" s="8"/>
      <c r="G251" s="9" t="str">
        <f>IF(OR(A251="",B251="",AND(C251="",E251=""),AND(C251&lt;Rangos!$B$1,E251="")),"",IF(C251&gt;=Rangos!$B$1,10*B251*C251,10*B251*E251))</f>
        <v/>
      </c>
      <c r="H251" s="8" t="str">
        <f>IF(AND(LECO!$D251="",LECO!$F251=""),"",IF(LECO!$F251="",LECO!$D251,LECO!$F251))</f>
        <v/>
      </c>
      <c r="I251" s="34"/>
      <c r="J251" s="31"/>
      <c r="K251" s="37"/>
      <c r="L251" s="7"/>
      <c r="M251" s="8"/>
      <c r="N251" s="7" t="str">
        <f>IF(OR(A251="",B251="",AND(J251="",L251=""),AND(J251&lt;Rangos!$B$2,L251="")),"",IF(J251&gt;=Rangos!$B$2,10*B251*J251,10*B251*L251))</f>
        <v/>
      </c>
      <c r="O251" s="8" t="str">
        <f>IF(AND(LECO!$K251="",LECO!$M251=""),"",IF(LECO!$M251="",LECO!$K251,LECO!$M251))</f>
        <v/>
      </c>
      <c r="P251" s="34"/>
      <c r="Q251" s="7" t="str">
        <f t="shared" si="3"/>
        <v/>
      </c>
      <c r="R251" s="10" t="str">
        <f>IF(OR(LECO!$H251="",LECO!$O251=""),"",MAX(LECO!$H251,LECO!$O251))</f>
        <v/>
      </c>
    </row>
  </sheetData>
  <sheetProtection algorithmName="SHA-512" hashValue="DK/iBxhcN/uLRt9LDceMJqyS5r175xFtR4xvcKnpF/0sKqZ6C+ZWVIxVau7j7QXNh5/NRSbnwe4RLMNJ+dsixA==" saltValue="42F6gRoQI0r8Us3w3qk6Aw==" spinCount="100000" sheet="1" objects="1" scenarios="1" formatCells="0" formatColumns="0" formatRows="0"/>
  <pageMargins left="0.70866141732283472" right="0.70866141732283472" top="0.74803149606299213" bottom="0.74803149606299213" header="0.31496062992125984" footer="0.31496062992125984"/>
  <pageSetup paperSize="9" scale="77" fitToHeight="0" orientation="landscape" horizontalDpi="300" verticalDpi="300" r:id="rId1"/>
  <headerFooter>
    <oddHeader xml:space="preserve">&amp;L&amp;"Arial,Negrita"&amp;24LAFIGA&amp;C&amp;"Arial,Negrita"&amp;14Hoja de Cálculo de la Determinación de Carbono Total, Nitrógeno Total y relación C/N&amp;R&amp;"Arial,Negrita"PE/LAFIGA/SU52
Hoja______________
Siguiente______________&amp;"-,Negrita"
    &amp;"-,Normal"
</oddHeader>
    <oddFooter>&amp;L&amp;"Arial,Negrita"ESU5202-4</oddFooter>
  </headerFooter>
  <rowBreaks count="5" manualBreakCount="5">
    <brk id="42" max="17" man="1"/>
    <brk id="83" max="17" man="1"/>
    <brk id="124" max="17" man="1"/>
    <brk id="165" max="17" man="1"/>
    <brk id="206" max="17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CBB1477D-5D40-461B-B878-15BEB1F8F8F4}">
            <xm:f>AND(C2&lt;Rangos!$B$1,C2&lt;&gt;"")</xm:f>
            <x14:dxf>
              <fill>
                <patternFill>
                  <bgColor rgb="FFFF7575"/>
                </patternFill>
              </fill>
            </x14:dxf>
          </x14:cfRule>
          <xm:sqref>C2:C251</xm:sqref>
        </x14:conditionalFormatting>
        <x14:conditionalFormatting xmlns:xm="http://schemas.microsoft.com/office/excel/2006/main">
          <x14:cfRule type="expression" priority="2" id="{2A258604-EA17-4486-8B35-F4DA3E204A30}">
            <xm:f>AND(E2&gt;=Rangos!$B$1,E2&lt;&gt;"")</xm:f>
            <x14:dxf>
              <fill>
                <patternFill>
                  <bgColor rgb="FFFF7575"/>
                </patternFill>
              </fill>
            </x14:dxf>
          </x14:cfRule>
          <xm:sqref>E2:E251</xm:sqref>
        </x14:conditionalFormatting>
        <x14:conditionalFormatting xmlns:xm="http://schemas.microsoft.com/office/excel/2006/main">
          <x14:cfRule type="expression" priority="3" id="{0184F532-46EF-439E-B605-9B8D7F75087D}">
            <xm:f>AND(J2&lt;Rangos!$B$2,J2&lt;&gt;"")</xm:f>
            <x14:dxf>
              <fill>
                <patternFill>
                  <bgColor rgb="FFFF7575"/>
                </patternFill>
              </fill>
            </x14:dxf>
          </x14:cfRule>
          <xm:sqref>J2:J251</xm:sqref>
        </x14:conditionalFormatting>
        <x14:conditionalFormatting xmlns:xm="http://schemas.microsoft.com/office/excel/2006/main">
          <x14:cfRule type="expression" priority="4" id="{018DE25C-F950-47B3-90E4-1EF7E9C0CC09}">
            <xm:f>AND(L2&gt;=Rangos!$B$2,L2&lt;&gt;"")</xm:f>
            <x14:dxf>
              <fill>
                <patternFill>
                  <bgColor rgb="FFFF7575"/>
                </patternFill>
              </fill>
            </x14:dxf>
          </x14:cfRule>
          <xm:sqref>L2:L251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2"/>
  <sheetViews>
    <sheetView workbookViewId="0">
      <selection activeCell="B2" sqref="B2"/>
    </sheetView>
  </sheetViews>
  <sheetFormatPr baseColWidth="10" defaultRowHeight="14.4" x14ac:dyDescent="0.3"/>
  <sheetData>
    <row r="1" spans="1:2" x14ac:dyDescent="0.35">
      <c r="A1" t="s">
        <v>11</v>
      </c>
      <c r="B1" s="2">
        <v>0</v>
      </c>
    </row>
    <row r="2" spans="1:2" x14ac:dyDescent="0.35">
      <c r="A2" t="s">
        <v>12</v>
      </c>
      <c r="B2" s="2">
        <v>0</v>
      </c>
    </row>
  </sheetData>
  <sheetProtection password="D1D1" sheet="1" objects="1" scenarios="1"/>
  <pageMargins left="0.7" right="0.7" top="0.75" bottom="0.75" header="0.3" footer="0.3"/>
  <pageSetup paperSize="9" orientation="portrait" horizontalDpi="300" verticalDpi="300" r:id="rId1"/>
</worksheet>
</file>

<file path=customUI/_rels/customUI14.xml.rels><?xml version="1.0" encoding="UTF-8" standalone="yes"?>
<Relationships xmlns="http://schemas.openxmlformats.org/package/2006/relationships"><Relationship Id="humedad" Type="http://schemas.openxmlformats.org/officeDocument/2006/relationships/image" Target="images/humedad.png"/><Relationship Id="LECO" Type="http://schemas.openxmlformats.org/officeDocument/2006/relationships/image" Target="images/LECO.png"/></Relationships>
</file>

<file path=customUI/customUI14.xml><?xml version="1.0" encoding="utf-8"?>
<customUI xmlns="http://schemas.microsoft.com/office/2009/07/customui">
  <ribbon>
    <tabs>
      <tab id="LECO" label="LECO" insertBeforeMso="TabHome">
        <group id="customGroup" label="Capturar Factores de Corrección">
          <button id="CapturarFC" label="Capturar FC" size="large" image="humedad" onAction="Modulo5.importarFC_Click"/>
        </group>
        <group id="customGroup1" label="Capturar Autoanalizador LECO">
          <button id="CapturarICP" label="Capturar LECO" size="large" image="LECO" onAction="Modulo5.importar_Click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LECO</vt:lpstr>
      <vt:lpstr>Rangos</vt:lpstr>
      <vt:lpstr>LECO!Área_de_impresión</vt:lpstr>
      <vt:lpstr>LECO!Títulos_a_imprimir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ms1</dc:creator>
  <cp:lastModifiedBy>ms1</cp:lastModifiedBy>
  <cp:lastPrinted>2017-10-03T08:01:32Z</cp:lastPrinted>
  <dcterms:created xsi:type="dcterms:W3CDTF">2015-06-04T10:13:11Z</dcterms:created>
  <dcterms:modified xsi:type="dcterms:W3CDTF">2017-10-03T07:07:46Z</dcterms:modified>
</cp:coreProperties>
</file>