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f2a4caeecff4d29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60" windowWidth="19200" windowHeight="7092"/>
  </bookViews>
  <sheets>
    <sheet name="FS" sheetId="50" r:id="rId1"/>
    <sheet name="Datos" sheetId="51" r:id="rId2"/>
    <sheet name="NecesidadesPOLSEN" sheetId="52" r:id="rId3"/>
  </sheets>
  <functionGroups builtInGroupCount="17"/>
  <definedNames>
    <definedName name="_xlnm.Print_Area" localSheetId="0">FS!$A$1:$M$56</definedName>
  </definedNames>
  <calcPr calcId="145621"/>
</workbook>
</file>

<file path=xl/calcChain.xml><?xml version="1.0" encoding="utf-8"?>
<calcChain xmlns="http://schemas.openxmlformats.org/spreadsheetml/2006/main">
  <c r="A45" i="52" l="1"/>
  <c r="B45" i="52"/>
  <c r="C45" i="52"/>
  <c r="A46" i="52"/>
  <c r="B46" i="52"/>
  <c r="C46" i="52"/>
  <c r="A47" i="52"/>
  <c r="B47" i="52"/>
  <c r="C47" i="52"/>
  <c r="A48" i="52"/>
  <c r="B48" i="52"/>
  <c r="C48" i="52" s="1"/>
  <c r="A49" i="52"/>
  <c r="B49" i="52"/>
  <c r="C49" i="52"/>
  <c r="A50" i="52"/>
  <c r="B50" i="52"/>
  <c r="C50" i="52"/>
  <c r="A51" i="52"/>
  <c r="B51" i="52"/>
  <c r="C51" i="52"/>
  <c r="A52" i="52"/>
  <c r="B52" i="52"/>
  <c r="C52" i="52" s="1"/>
  <c r="A53" i="52"/>
  <c r="B53" i="52"/>
  <c r="C53" i="52"/>
  <c r="A54" i="52"/>
  <c r="B54" i="52"/>
  <c r="C54" i="52"/>
  <c r="A55" i="52"/>
  <c r="B55" i="52"/>
  <c r="C55" i="52" s="1"/>
  <c r="A56" i="52"/>
  <c r="B45" i="50" l="1"/>
  <c r="C45" i="50"/>
  <c r="H45" i="50" s="1"/>
  <c r="B46" i="50"/>
  <c r="C46" i="50"/>
  <c r="B47" i="50"/>
  <c r="C47" i="50"/>
  <c r="B48" i="50"/>
  <c r="C48" i="50"/>
  <c r="B49" i="50"/>
  <c r="C49" i="50"/>
  <c r="H49" i="50" s="1"/>
  <c r="B50" i="50"/>
  <c r="C50" i="50"/>
  <c r="H50" i="50" s="1"/>
  <c r="B51" i="50"/>
  <c r="C51" i="50"/>
  <c r="B52" i="50"/>
  <c r="C52" i="50"/>
  <c r="B53" i="50"/>
  <c r="C53" i="50"/>
  <c r="H53" i="50" s="1"/>
  <c r="B54" i="50"/>
  <c r="C54" i="50"/>
  <c r="H54" i="50" s="1"/>
  <c r="B55" i="50"/>
  <c r="C55" i="50"/>
  <c r="B56" i="50"/>
  <c r="C56" i="50"/>
  <c r="H46" i="50"/>
  <c r="H48" i="50"/>
  <c r="H56" i="50"/>
  <c r="B56" i="52" s="1"/>
  <c r="C56" i="52" s="1"/>
  <c r="H55" i="50" l="1"/>
  <c r="H51" i="50"/>
  <c r="H47" i="50"/>
  <c r="H52" i="50"/>
  <c r="B3" i="50"/>
  <c r="C3" i="50"/>
  <c r="B4" i="50"/>
  <c r="C4" i="50"/>
  <c r="B5" i="50"/>
  <c r="C5" i="50"/>
  <c r="B6" i="50"/>
  <c r="C6" i="50"/>
  <c r="B7" i="50"/>
  <c r="C7" i="50"/>
  <c r="B8" i="50"/>
  <c r="C8" i="50"/>
  <c r="B9" i="50"/>
  <c r="C9" i="50"/>
  <c r="B10" i="50"/>
  <c r="C10" i="50"/>
  <c r="B11" i="50"/>
  <c r="C11" i="50"/>
  <c r="B12" i="50"/>
  <c r="C12" i="50"/>
  <c r="B13" i="50"/>
  <c r="C13" i="50"/>
  <c r="B14" i="50"/>
  <c r="C14" i="50"/>
  <c r="B15" i="50"/>
  <c r="C15" i="50"/>
  <c r="B16" i="50"/>
  <c r="C16" i="50"/>
  <c r="B17" i="50"/>
  <c r="C17" i="50"/>
  <c r="B18" i="50"/>
  <c r="C18" i="50"/>
  <c r="B19" i="50"/>
  <c r="C19" i="50"/>
  <c r="B20" i="50"/>
  <c r="C20" i="50"/>
  <c r="B21" i="50"/>
  <c r="C21" i="50"/>
  <c r="B22" i="50"/>
  <c r="C22" i="50"/>
  <c r="B23" i="50"/>
  <c r="C23" i="50"/>
  <c r="B24" i="50"/>
  <c r="C24" i="50"/>
  <c r="B25" i="50"/>
  <c r="C25" i="50"/>
  <c r="B26" i="50"/>
  <c r="C26" i="50"/>
  <c r="B27" i="50"/>
  <c r="C27" i="50"/>
  <c r="B28" i="50"/>
  <c r="C28" i="50"/>
  <c r="B29" i="50"/>
  <c r="C29" i="50"/>
  <c r="B30" i="50"/>
  <c r="C30" i="50"/>
  <c r="B31" i="50"/>
  <c r="C31" i="50"/>
  <c r="B32" i="50"/>
  <c r="C32" i="50"/>
  <c r="B33" i="50"/>
  <c r="C33" i="50"/>
  <c r="B34" i="50"/>
  <c r="C34" i="50"/>
  <c r="B35" i="50"/>
  <c r="C35" i="50"/>
  <c r="B36" i="50"/>
  <c r="C36" i="50"/>
  <c r="B37" i="50"/>
  <c r="C37" i="50"/>
  <c r="B38" i="50"/>
  <c r="C38" i="50"/>
  <c r="B39" i="50"/>
  <c r="C39" i="50"/>
  <c r="B40" i="50"/>
  <c r="C40" i="50"/>
  <c r="B41" i="50"/>
  <c r="C41" i="50"/>
  <c r="B42" i="50"/>
  <c r="C42" i="50"/>
  <c r="B43" i="50"/>
  <c r="C43" i="50"/>
  <c r="B44" i="50"/>
  <c r="C44" i="50"/>
  <c r="C2" i="50"/>
  <c r="B2" i="50"/>
  <c r="A3" i="52" l="1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2" i="52"/>
  <c r="H44" i="50" l="1"/>
  <c r="B44" i="52" s="1"/>
  <c r="C44" i="52" s="1"/>
  <c r="H3" i="50" l="1"/>
  <c r="B3" i="52" s="1"/>
  <c r="C3" i="52" s="1"/>
  <c r="H4" i="50"/>
  <c r="B4" i="52" s="1"/>
  <c r="C4" i="52" s="1"/>
  <c r="H5" i="50"/>
  <c r="B5" i="52" s="1"/>
  <c r="C5" i="52" s="1"/>
  <c r="H6" i="50"/>
  <c r="B6" i="52" s="1"/>
  <c r="C6" i="52" s="1"/>
  <c r="H7" i="50"/>
  <c r="B7" i="52" s="1"/>
  <c r="C7" i="52" s="1"/>
  <c r="H8" i="50"/>
  <c r="B8" i="52" s="1"/>
  <c r="C8" i="52" s="1"/>
  <c r="H9" i="50"/>
  <c r="B9" i="52" s="1"/>
  <c r="C9" i="52" s="1"/>
  <c r="H10" i="50"/>
  <c r="B10" i="52" s="1"/>
  <c r="C10" i="52" s="1"/>
  <c r="H11" i="50"/>
  <c r="B11" i="52" s="1"/>
  <c r="C11" i="52" s="1"/>
  <c r="H12" i="50"/>
  <c r="B12" i="52" s="1"/>
  <c r="C12" i="52" s="1"/>
  <c r="H13" i="50"/>
  <c r="B13" i="52" s="1"/>
  <c r="C13" i="52" s="1"/>
  <c r="H14" i="50"/>
  <c r="B14" i="52" s="1"/>
  <c r="C14" i="52" s="1"/>
  <c r="H15" i="50"/>
  <c r="B15" i="52" s="1"/>
  <c r="C15" i="52" s="1"/>
  <c r="H16" i="50"/>
  <c r="B16" i="52" s="1"/>
  <c r="C16" i="52" s="1"/>
  <c r="H17" i="50"/>
  <c r="B17" i="52" s="1"/>
  <c r="C17" i="52" s="1"/>
  <c r="H18" i="50"/>
  <c r="B18" i="52" s="1"/>
  <c r="C18" i="52" s="1"/>
  <c r="H19" i="50"/>
  <c r="B19" i="52" s="1"/>
  <c r="C19" i="52" s="1"/>
  <c r="H20" i="50"/>
  <c r="B20" i="52" s="1"/>
  <c r="C20" i="52" s="1"/>
  <c r="H21" i="50"/>
  <c r="B21" i="52" s="1"/>
  <c r="C21" i="52" s="1"/>
  <c r="H22" i="50"/>
  <c r="B22" i="52" s="1"/>
  <c r="C22" i="52" s="1"/>
  <c r="H23" i="50"/>
  <c r="B23" i="52" s="1"/>
  <c r="C23" i="52" s="1"/>
  <c r="H24" i="50"/>
  <c r="B24" i="52" s="1"/>
  <c r="C24" i="52" s="1"/>
  <c r="H25" i="50"/>
  <c r="B25" i="52" s="1"/>
  <c r="C25" i="52" s="1"/>
  <c r="H26" i="50"/>
  <c r="B26" i="52" s="1"/>
  <c r="C26" i="52" s="1"/>
  <c r="H27" i="50"/>
  <c r="B27" i="52" s="1"/>
  <c r="C27" i="52" s="1"/>
  <c r="H28" i="50"/>
  <c r="B28" i="52" s="1"/>
  <c r="C28" i="52" s="1"/>
  <c r="H29" i="50"/>
  <c r="B29" i="52" s="1"/>
  <c r="C29" i="52" s="1"/>
  <c r="H30" i="50"/>
  <c r="B30" i="52" s="1"/>
  <c r="C30" i="52" s="1"/>
  <c r="H31" i="50"/>
  <c r="B31" i="52" s="1"/>
  <c r="C31" i="52" s="1"/>
  <c r="H32" i="50"/>
  <c r="B32" i="52" s="1"/>
  <c r="C32" i="52" s="1"/>
  <c r="H33" i="50"/>
  <c r="B33" i="52" s="1"/>
  <c r="C33" i="52" s="1"/>
  <c r="H34" i="50"/>
  <c r="B34" i="52" s="1"/>
  <c r="C34" i="52" s="1"/>
  <c r="H35" i="50"/>
  <c r="B35" i="52" s="1"/>
  <c r="C35" i="52" s="1"/>
  <c r="H36" i="50"/>
  <c r="B36" i="52" s="1"/>
  <c r="C36" i="52" s="1"/>
  <c r="H37" i="50"/>
  <c r="B37" i="52" s="1"/>
  <c r="C37" i="52" s="1"/>
  <c r="H38" i="50"/>
  <c r="B38" i="52" s="1"/>
  <c r="C38" i="52" s="1"/>
  <c r="H39" i="50"/>
  <c r="B39" i="52" s="1"/>
  <c r="C39" i="52" s="1"/>
  <c r="H40" i="50"/>
  <c r="B40" i="52" s="1"/>
  <c r="C40" i="52" s="1"/>
  <c r="H41" i="50"/>
  <c r="B41" i="52" s="1"/>
  <c r="C41" i="52" s="1"/>
  <c r="H42" i="50"/>
  <c r="B42" i="52" s="1"/>
  <c r="C42" i="52" s="1"/>
  <c r="H43" i="50"/>
  <c r="B43" i="52" s="1"/>
  <c r="C43" i="52" s="1"/>
  <c r="H2" i="50"/>
  <c r="B2" i="52" s="1"/>
  <c r="C2" i="52" s="1"/>
</calcChain>
</file>

<file path=xl/sharedStrings.xml><?xml version="1.0" encoding="utf-8"?>
<sst xmlns="http://schemas.openxmlformats.org/spreadsheetml/2006/main" count="61" uniqueCount="46">
  <si>
    <t>MUESTRA</t>
  </si>
  <si>
    <t>FECHA</t>
  </si>
  <si>
    <t>Técnico</t>
  </si>
  <si>
    <t>FC</t>
  </si>
  <si>
    <t>Observaciones</t>
  </si>
  <si>
    <t>Patrones mg/l</t>
  </si>
  <si>
    <r>
      <t>R</t>
    </r>
    <r>
      <rPr>
        <b/>
        <vertAlign val="superscript"/>
        <sz val="10"/>
        <rFont val="Arial"/>
        <family val="2"/>
      </rPr>
      <t>2</t>
    </r>
  </si>
  <si>
    <t>RBL</t>
  </si>
  <si>
    <t>Controles</t>
  </si>
  <si>
    <t>Valor obtenido</t>
  </si>
  <si>
    <t>Concentración de la muestra (mg/L)</t>
  </si>
  <si>
    <t>% Residuales</t>
  </si>
  <si>
    <t>P4,07</t>
  </si>
  <si>
    <t>P1,02</t>
  </si>
  <si>
    <t>DATOS DE CONEXIÓN</t>
  </si>
  <si>
    <t>Com Port</t>
  </si>
  <si>
    <t>Baud Rate</t>
  </si>
  <si>
    <t>Parity</t>
  </si>
  <si>
    <t>N</t>
  </si>
  <si>
    <t>Data Bits</t>
  </si>
  <si>
    <t>Stop Bits</t>
  </si>
  <si>
    <t>Cerrado</t>
  </si>
  <si>
    <t>P
mg/Kg M.S. 105ºC
(024)</t>
  </si>
  <si>
    <t>Muestra</t>
  </si>
  <si>
    <t>Resultado</t>
  </si>
  <si>
    <t>Nivel actual P mg/Kg</t>
  </si>
  <si>
    <t>Abonado necesario Kg/ha de P205</t>
  </si>
  <si>
    <t>0-5</t>
  </si>
  <si>
    <t>&gt;25</t>
  </si>
  <si>
    <t>Indice</t>
  </si>
  <si>
    <t>6-10</t>
  </si>
  <si>
    <t>11-15</t>
  </si>
  <si>
    <t>16-20</t>
  </si>
  <si>
    <t>21-24</t>
  </si>
  <si>
    <t>Necesidades de abonado
(022)</t>
  </si>
  <si>
    <t>Pesada muestras</t>
  </si>
  <si>
    <t>Balanza</t>
  </si>
  <si>
    <t>Fecha</t>
  </si>
  <si>
    <t>Nombre</t>
  </si>
  <si>
    <t>Firma</t>
  </si>
  <si>
    <t>Análisis de muestras</t>
  </si>
  <si>
    <t>Peso M
(g)</t>
  </si>
  <si>
    <t>Tª ext (ºC)</t>
  </si>
  <si>
    <t>PATRON</t>
  </si>
  <si>
    <t>SU098</t>
  </si>
  <si>
    <t>R-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</si>
</sst>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perscript"/>
      <sz val="10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599963377788628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1" fillId="5" borderId="0" applyNumberFormat="0" applyBorder="0" applyAlignment="0" applyProtection="0"/>
  </cellStyleXfs>
  <cellXfs count="60">
    <xf numFmtId="0" fontId="0" fillId="0" borderId="0" xfId="0"/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</xf>
    <xf numFmtId="0" fontId="0" fillId="0" borderId="0" xfId="0" applyProtection="1"/>
    <xf numFmtId="2" fontId="6" fillId="0" borderId="1" xfId="0" applyNumberFormat="1" applyFont="1" applyBorder="1" applyAlignment="1" applyProtection="1">
      <alignment horizontal="center"/>
    </xf>
    <xf numFmtId="164" fontId="6" fillId="0" borderId="1" xfId="0" applyNumberFormat="1" applyFont="1" applyBorder="1" applyAlignment="1" applyProtection="1">
      <alignment horizontal="center"/>
    </xf>
    <xf numFmtId="0" fontId="6" fillId="0" borderId="1" xfId="0" applyFont="1" applyFill="1" applyBorder="1" applyProtection="1"/>
    <xf numFmtId="0" fontId="0" fillId="0" borderId="0" xfId="0" applyAlignment="1" applyProtection="1">
      <alignment horizontal="center"/>
    </xf>
    <xf numFmtId="0" fontId="5" fillId="0" borderId="0" xfId="0" applyFont="1" applyProtection="1"/>
    <xf numFmtId="49" fontId="0" fillId="0" borderId="0" xfId="0" applyNumberFormat="1" applyAlignment="1" applyProtection="1">
      <alignment horizontal="center"/>
      <protection locked="0"/>
    </xf>
    <xf numFmtId="164" fontId="0" fillId="0" borderId="2" xfId="0" applyNumberFormat="1" applyBorder="1" applyAlignment="1" applyProtection="1">
      <alignment horizontal="center"/>
      <protection locked="0"/>
    </xf>
    <xf numFmtId="0" fontId="7" fillId="0" borderId="0" xfId="0" applyFont="1" applyFill="1" applyProtection="1"/>
    <xf numFmtId="0" fontId="6" fillId="0" borderId="2" xfId="0" applyNumberFormat="1" applyFon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2" fontId="0" fillId="0" borderId="1" xfId="0" applyNumberFormat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</xf>
    <xf numFmtId="1" fontId="6" fillId="0" borderId="2" xfId="0" applyNumberFormat="1" applyFont="1" applyBorder="1" applyAlignment="1" applyProtection="1">
      <alignment horizontal="center"/>
    </xf>
    <xf numFmtId="1" fontId="6" fillId="0" borderId="1" xfId="0" applyNumberFormat="1" applyFont="1" applyBorder="1" applyAlignment="1" applyProtection="1">
      <alignment horizontal="center"/>
    </xf>
    <xf numFmtId="165" fontId="0" fillId="3" borderId="1" xfId="0" applyNumberFormat="1" applyFill="1" applyBorder="1" applyAlignment="1" applyProtection="1">
      <alignment horizontal="right"/>
      <protection locked="0"/>
    </xf>
    <xf numFmtId="1" fontId="0" fillId="0" borderId="0" xfId="0" applyNumberFormat="1" applyBorder="1" applyAlignment="1" applyProtection="1">
      <alignment horizontal="center"/>
    </xf>
    <xf numFmtId="0" fontId="2" fillId="0" borderId="0" xfId="1"/>
    <xf numFmtId="0" fontId="6" fillId="0" borderId="1" xfId="1" applyFont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4" fillId="2" borderId="3" xfId="0" applyNumberFormat="1" applyFont="1" applyFill="1" applyBorder="1" applyAlignment="1">
      <alignment horizontal="center" vertical="center"/>
    </xf>
    <xf numFmtId="164" fontId="4" fillId="2" borderId="3" xfId="0" applyNumberFormat="1" applyFont="1" applyFill="1" applyBorder="1" applyAlignment="1">
      <alignment horizontal="center" vertical="center" wrapText="1"/>
    </xf>
    <xf numFmtId="164" fontId="4" fillId="2" borderId="4" xfId="0" applyNumberFormat="1" applyFont="1" applyFill="1" applyBorder="1" applyAlignment="1">
      <alignment horizontal="center" vertical="center" wrapText="1"/>
    </xf>
    <xf numFmtId="49" fontId="4" fillId="2" borderId="4" xfId="0" applyNumberFormat="1" applyFont="1" applyFill="1" applyBorder="1" applyAlignment="1">
      <alignment horizontal="center" vertical="center" wrapText="1"/>
    </xf>
    <xf numFmtId="1" fontId="4" fillId="2" borderId="5" xfId="0" applyNumberFormat="1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/>
    </xf>
    <xf numFmtId="0" fontId="10" fillId="5" borderId="1" xfId="2" applyFont="1" applyBorder="1"/>
    <xf numFmtId="0" fontId="0" fillId="0" borderId="1" xfId="0" applyBorder="1"/>
    <xf numFmtId="0" fontId="0" fillId="0" borderId="0" xfId="0" applyNumberFormat="1"/>
    <xf numFmtId="49" fontId="5" fillId="0" borderId="1" xfId="0" applyNumberFormat="1" applyFont="1" applyBorder="1"/>
    <xf numFmtId="1" fontId="5" fillId="0" borderId="1" xfId="0" applyNumberFormat="1" applyFont="1" applyBorder="1"/>
    <xf numFmtId="1" fontId="0" fillId="0" borderId="1" xfId="0" applyNumberFormat="1" applyBorder="1"/>
    <xf numFmtId="0" fontId="5" fillId="0" borderId="1" xfId="0" applyFont="1" applyBorder="1"/>
    <xf numFmtId="0" fontId="10" fillId="5" borderId="1" xfId="2" applyFont="1" applyBorder="1" applyAlignment="1">
      <alignment horizontal="center" vertical="center"/>
    </xf>
    <xf numFmtId="0" fontId="10" fillId="5" borderId="1" xfId="2" applyFont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6" fillId="0" borderId="1" xfId="0" applyFont="1" applyBorder="1" applyAlignment="1" applyProtection="1">
      <alignment horizontal="center"/>
    </xf>
    <xf numFmtId="14" fontId="0" fillId="0" borderId="1" xfId="0" applyNumberFormat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Border="1" applyProtection="1"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6" fillId="0" borderId="1" xfId="1" applyFont="1" applyBorder="1" applyAlignment="1">
      <alignment horizontal="center"/>
    </xf>
  </cellXfs>
  <cellStyles count="3">
    <cellStyle name="40% - Énfasis2" xfId="2" builtinId="35"/>
    <cellStyle name="Normal" xfId="0" builtinId="0"/>
    <cellStyle name="Normal 2" xfId="1"/>
  </cellStyles>
  <dxfs count="30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56"/>
  <sheetViews>
    <sheetView tabSelected="1" zoomScaleNormal="100" workbookViewId="0">
      <selection activeCell="A3" sqref="A3"/>
    </sheetView>
  </sheetViews>
  <sheetFormatPr baseColWidth="10" defaultColWidth="11.44140625" defaultRowHeight="13.2" x14ac:dyDescent="0.25"/>
  <cols>
    <col min="1" max="1" width="14.44140625" style="1" bestFit="1" customWidth="1"/>
    <col min="2" max="2" width="10.88671875" style="2" hidden="1" customWidth="1"/>
    <col min="3" max="3" width="9" style="4" hidden="1" customWidth="1"/>
    <col min="4" max="4" width="8" style="3" customWidth="1"/>
    <col min="5" max="5" width="21" style="3" bestFit="1" customWidth="1"/>
    <col min="6" max="6" width="7.5546875" style="3" bestFit="1" customWidth="1"/>
    <col min="7" max="7" width="16.5546875" style="12" bestFit="1" customWidth="1"/>
    <col min="8" max="8" width="17.5546875" style="16" customWidth="1"/>
    <col min="9" max="9" width="11.44140625" style="6" customWidth="1"/>
    <col min="10" max="10" width="13.5546875" style="6" bestFit="1" customWidth="1"/>
    <col min="11" max="11" width="12.88671875" style="6" bestFit="1" customWidth="1"/>
    <col min="12" max="12" width="12" style="6" bestFit="1" customWidth="1"/>
    <col min="13" max="14" width="13.88671875" style="6" bestFit="1" customWidth="1"/>
    <col min="15" max="15" width="20.88671875" style="6" bestFit="1" customWidth="1"/>
    <col min="16" max="16" width="11.44140625" style="6"/>
    <col min="17" max="17" width="9.5546875" style="6" bestFit="1" customWidth="1"/>
    <col min="18" max="18" width="12.5546875" style="6" bestFit="1" customWidth="1"/>
    <col min="19" max="19" width="12.5546875" style="6" customWidth="1"/>
    <col min="20" max="16384" width="11.44140625" style="6"/>
  </cols>
  <sheetData>
    <row r="1" spans="1:13" s="5" customFormat="1" ht="38.25" customHeight="1" x14ac:dyDescent="0.25">
      <c r="A1" s="27" t="s">
        <v>0</v>
      </c>
      <c r="B1" s="28" t="s">
        <v>1</v>
      </c>
      <c r="C1" s="29" t="s">
        <v>2</v>
      </c>
      <c r="D1" s="30" t="s">
        <v>41</v>
      </c>
      <c r="E1" s="31" t="s">
        <v>10</v>
      </c>
      <c r="F1" s="31" t="s">
        <v>3</v>
      </c>
      <c r="G1" s="32" t="s">
        <v>4</v>
      </c>
      <c r="H1" s="33" t="s">
        <v>22</v>
      </c>
    </row>
    <row r="2" spans="1:13" x14ac:dyDescent="0.25">
      <c r="A2" s="57" t="s">
        <v>43</v>
      </c>
      <c r="B2" s="51" t="str">
        <f>IF($K$19="","",$K$19)</f>
        <v/>
      </c>
      <c r="C2" s="53" t="str">
        <f>IF($K$20="","",$K$20)</f>
        <v/>
      </c>
      <c r="D2" s="36"/>
      <c r="E2" s="37"/>
      <c r="F2" s="37"/>
      <c r="G2" s="38"/>
      <c r="H2" s="39" t="str">
        <f>IF(OR(FS!$A2="",FS!$B2="",FS!$C2="",FS!$D2="",FS!$E2="",FS!$F2=""),"",(((FS!$E2*50)/FS!$D2)*FS!$F2))</f>
        <v/>
      </c>
      <c r="I2" s="11"/>
      <c r="J2" s="7" t="s">
        <v>5</v>
      </c>
      <c r="K2" s="8" t="s">
        <v>11</v>
      </c>
      <c r="L2" s="8" t="s">
        <v>8</v>
      </c>
      <c r="M2" s="8" t="s">
        <v>9</v>
      </c>
    </row>
    <row r="3" spans="1:13" x14ac:dyDescent="0.25">
      <c r="A3" s="34"/>
      <c r="B3" s="51" t="str">
        <f t="shared" ref="B3:B56" si="0">IF($K$19="","",$K$19)</f>
        <v/>
      </c>
      <c r="C3" s="53" t="str">
        <f t="shared" ref="C3:C56" si="1">IF($K$20="","",$K$20)</f>
        <v/>
      </c>
      <c r="D3" s="36"/>
      <c r="E3" s="37"/>
      <c r="F3" s="37"/>
      <c r="G3" s="38"/>
      <c r="H3" s="39" t="str">
        <f>IF(OR(FS!$A3="",FS!$B3="",FS!$C3="",FS!$D3="",FS!$E3="",FS!$F3=""),"",(((FS!$E3*50)/FS!$D3)*FS!$F3))</f>
        <v/>
      </c>
      <c r="J3" s="8">
        <v>0.16300000000000001</v>
      </c>
      <c r="K3" s="17"/>
      <c r="L3" s="15" t="s">
        <v>7</v>
      </c>
      <c r="M3" s="13"/>
    </row>
    <row r="4" spans="1:13" x14ac:dyDescent="0.25">
      <c r="A4" s="34"/>
      <c r="B4" s="51" t="str">
        <f t="shared" si="0"/>
        <v/>
      </c>
      <c r="C4" s="53" t="str">
        <f t="shared" si="1"/>
        <v/>
      </c>
      <c r="D4" s="36"/>
      <c r="E4" s="37"/>
      <c r="F4" s="37"/>
      <c r="G4" s="38"/>
      <c r="H4" s="39" t="str">
        <f>IF(OR(FS!$A4="",FS!$B4="",FS!$C4="",FS!$D4="",FS!$E4="",FS!$F4=""),"",(((FS!$E4*50)/FS!$D4)*FS!$F4))</f>
        <v/>
      </c>
      <c r="J4" s="8">
        <v>0.32600000000000001</v>
      </c>
      <c r="K4" s="17"/>
      <c r="L4" s="20" t="s">
        <v>13</v>
      </c>
      <c r="M4" s="18"/>
    </row>
    <row r="5" spans="1:13" x14ac:dyDescent="0.25">
      <c r="A5" s="34"/>
      <c r="B5" s="51" t="str">
        <f t="shared" si="0"/>
        <v/>
      </c>
      <c r="C5" s="53" t="str">
        <f t="shared" si="1"/>
        <v/>
      </c>
      <c r="D5" s="36"/>
      <c r="E5" s="37"/>
      <c r="F5" s="37"/>
      <c r="G5" s="38"/>
      <c r="H5" s="39" t="str">
        <f>IF(OR(FS!$A5="",FS!$B5="",FS!$C5="",FS!$D5="",FS!$E5="",FS!$F5=""),"",(((FS!$E5*50)/FS!$D5)*FS!$F5))</f>
        <v/>
      </c>
      <c r="J5" s="8">
        <v>0.50939999999999996</v>
      </c>
      <c r="K5" s="17"/>
      <c r="L5" s="20" t="s">
        <v>12</v>
      </c>
      <c r="M5" s="18"/>
    </row>
    <row r="6" spans="1:13" x14ac:dyDescent="0.25">
      <c r="A6" s="34"/>
      <c r="B6" s="51" t="str">
        <f t="shared" si="0"/>
        <v/>
      </c>
      <c r="C6" s="53" t="str">
        <f t="shared" si="1"/>
        <v/>
      </c>
      <c r="D6" s="36"/>
      <c r="E6" s="37"/>
      <c r="F6" s="37"/>
      <c r="G6" s="38"/>
      <c r="H6" s="39" t="str">
        <f>IF(OR(FS!$A6="",FS!$B6="",FS!$C6="",FS!$D6="",FS!$E6="",FS!$F6=""),"",(((FS!$E6*50)/FS!$D6)*FS!$F6))</f>
        <v/>
      </c>
      <c r="J6" s="8">
        <v>1.63</v>
      </c>
      <c r="K6" s="17"/>
      <c r="L6" s="20" t="s">
        <v>13</v>
      </c>
      <c r="M6" s="18"/>
    </row>
    <row r="7" spans="1:13" x14ac:dyDescent="0.25">
      <c r="A7" s="34"/>
      <c r="B7" s="51" t="str">
        <f t="shared" si="0"/>
        <v/>
      </c>
      <c r="C7" s="53" t="str">
        <f t="shared" si="1"/>
        <v/>
      </c>
      <c r="D7" s="36"/>
      <c r="E7" s="37"/>
      <c r="F7" s="37"/>
      <c r="G7" s="38"/>
      <c r="H7" s="39" t="str">
        <f>IF(OR(FS!$A7="",FS!$B7="",FS!$C7="",FS!$D7="",FS!$E7="",FS!$F7=""),"",(((FS!$E7*50)/FS!$D7)*FS!$F7))</f>
        <v/>
      </c>
      <c r="J7" s="8">
        <v>3.26</v>
      </c>
      <c r="K7" s="17"/>
      <c r="L7" s="20" t="s">
        <v>12</v>
      </c>
      <c r="M7" s="18"/>
    </row>
    <row r="8" spans="1:13" x14ac:dyDescent="0.25">
      <c r="A8" s="34"/>
      <c r="B8" s="51" t="str">
        <f t="shared" si="0"/>
        <v/>
      </c>
      <c r="C8" s="53" t="str">
        <f t="shared" si="1"/>
        <v/>
      </c>
      <c r="D8" s="36"/>
      <c r="E8" s="37"/>
      <c r="F8" s="37"/>
      <c r="G8" s="38"/>
      <c r="H8" s="39" t="str">
        <f>IF(OR(FS!$A8="",FS!$B8="",FS!$C8="",FS!$D8="",FS!$E8="",FS!$F8=""),"",(((FS!$E8*50)/FS!$D8)*FS!$F8))</f>
        <v/>
      </c>
      <c r="J8" s="8">
        <v>4.8899999999999997</v>
      </c>
      <c r="K8" s="17"/>
      <c r="L8" s="20" t="s">
        <v>13</v>
      </c>
      <c r="M8" s="18"/>
    </row>
    <row r="9" spans="1:13" x14ac:dyDescent="0.25">
      <c r="A9" s="34"/>
      <c r="B9" s="51" t="str">
        <f t="shared" si="0"/>
        <v/>
      </c>
      <c r="C9" s="53" t="str">
        <f t="shared" si="1"/>
        <v/>
      </c>
      <c r="D9" s="36"/>
      <c r="E9" s="37"/>
      <c r="F9" s="37"/>
      <c r="G9" s="38"/>
      <c r="H9" s="39" t="str">
        <f>IF(OR(FS!$A9="",FS!$B9="",FS!$C9="",FS!$D9="",FS!$E9="",FS!$F9=""),"",(((FS!$E9*50)/FS!$D9)*FS!$F9))</f>
        <v/>
      </c>
      <c r="J9" s="19"/>
      <c r="K9" s="23"/>
      <c r="L9" s="21" t="s">
        <v>12</v>
      </c>
      <c r="M9" s="18"/>
    </row>
    <row r="10" spans="1:13" x14ac:dyDescent="0.25">
      <c r="A10" s="34"/>
      <c r="B10" s="51" t="str">
        <f t="shared" si="0"/>
        <v/>
      </c>
      <c r="C10" s="53" t="str">
        <f t="shared" si="1"/>
        <v/>
      </c>
      <c r="D10" s="36"/>
      <c r="E10" s="37"/>
      <c r="F10" s="37"/>
      <c r="G10" s="38"/>
      <c r="H10" s="39" t="str">
        <f>IF(OR(FS!$A10="",FS!$B10="",FS!$C10="",FS!$D10="",FS!$E10="",FS!$F10=""),"",(((FS!$E10*50)/FS!$D10)*FS!$F10))</f>
        <v/>
      </c>
      <c r="L10" s="20" t="s">
        <v>13</v>
      </c>
      <c r="M10" s="18"/>
    </row>
    <row r="11" spans="1:13" ht="12.6" customHeight="1" x14ac:dyDescent="0.25">
      <c r="A11" s="34"/>
      <c r="B11" s="51" t="str">
        <f t="shared" si="0"/>
        <v/>
      </c>
      <c r="C11" s="53" t="str">
        <f t="shared" si="1"/>
        <v/>
      </c>
      <c r="D11" s="36"/>
      <c r="E11" s="37"/>
      <c r="F11" s="37"/>
      <c r="G11" s="38"/>
      <c r="H11" s="39" t="str">
        <f>IF(OR(FS!$A11="",FS!$B11="",FS!$C11="",FS!$D11="",FS!$E11="",FS!$F11=""),"",(((FS!$E11*50)/FS!$D11)*FS!$F11))</f>
        <v/>
      </c>
      <c r="J11" s="9" t="s">
        <v>6</v>
      </c>
      <c r="K11" s="22"/>
      <c r="L11" s="21" t="s">
        <v>12</v>
      </c>
      <c r="M11" s="18"/>
    </row>
    <row r="12" spans="1:13" x14ac:dyDescent="0.25">
      <c r="A12" s="34"/>
      <c r="B12" s="51" t="str">
        <f t="shared" si="0"/>
        <v/>
      </c>
      <c r="C12" s="53" t="str">
        <f t="shared" si="1"/>
        <v/>
      </c>
      <c r="D12" s="36"/>
      <c r="E12" s="37"/>
      <c r="F12" s="37"/>
      <c r="G12" s="38"/>
      <c r="H12" s="39" t="str">
        <f>IF(OR(FS!$A12="",FS!$B12="",FS!$C12="",FS!$D12="",FS!$E12="",FS!$F12=""),"",(((FS!$E12*50)/FS!$D12)*FS!$F12))</f>
        <v/>
      </c>
      <c r="J12" s="10"/>
      <c r="K12" s="10"/>
      <c r="L12" s="20" t="s">
        <v>13</v>
      </c>
      <c r="M12" s="18"/>
    </row>
    <row r="13" spans="1:13" x14ac:dyDescent="0.25">
      <c r="A13" s="34"/>
      <c r="B13" s="51" t="str">
        <f t="shared" si="0"/>
        <v/>
      </c>
      <c r="C13" s="53" t="str">
        <f t="shared" si="1"/>
        <v/>
      </c>
      <c r="D13" s="36"/>
      <c r="E13" s="37"/>
      <c r="F13" s="37"/>
      <c r="G13" s="38"/>
      <c r="H13" s="39" t="str">
        <f>IF(OR(FS!$A13="",FS!$B13="",FS!$C13="",FS!$D13="",FS!$E13="",FS!$F13=""),"",(((FS!$E13*50)/FS!$D13)*FS!$F13))</f>
        <v/>
      </c>
      <c r="J13" s="49" t="s">
        <v>21</v>
      </c>
      <c r="L13" s="21" t="s">
        <v>12</v>
      </c>
      <c r="M13" s="18"/>
    </row>
    <row r="14" spans="1:13" x14ac:dyDescent="0.25">
      <c r="A14" s="34"/>
      <c r="B14" s="51" t="str">
        <f t="shared" si="0"/>
        <v/>
      </c>
      <c r="C14" s="53" t="str">
        <f t="shared" si="1"/>
        <v/>
      </c>
      <c r="D14" s="36"/>
      <c r="E14" s="37"/>
      <c r="F14" s="37"/>
      <c r="G14" s="38"/>
      <c r="H14" s="39" t="str">
        <f>IF(OR(FS!$A14="",FS!$B14="",FS!$C14="",FS!$D14="",FS!$E14="",FS!$F14=""),"",(((FS!$E14*50)/FS!$D14)*FS!$F14))</f>
        <v/>
      </c>
    </row>
    <row r="15" spans="1:13" x14ac:dyDescent="0.25">
      <c r="A15" s="34"/>
      <c r="B15" s="51" t="str">
        <f t="shared" si="0"/>
        <v/>
      </c>
      <c r="C15" s="53" t="str">
        <f t="shared" si="1"/>
        <v/>
      </c>
      <c r="D15" s="36"/>
      <c r="E15" s="37"/>
      <c r="F15" s="37"/>
      <c r="G15" s="38"/>
      <c r="H15" s="39" t="str">
        <f>IF(OR(FS!$A15="",FS!$B15="",FS!$C15="",FS!$D15="",FS!$E15="",FS!$F15=""),"",(((FS!$E15*50)/FS!$D15)*FS!$F15))</f>
        <v/>
      </c>
    </row>
    <row r="16" spans="1:13" x14ac:dyDescent="0.25">
      <c r="A16" s="34"/>
      <c r="B16" s="51" t="str">
        <f t="shared" si="0"/>
        <v/>
      </c>
      <c r="C16" s="53" t="str">
        <f t="shared" si="1"/>
        <v/>
      </c>
      <c r="D16" s="36"/>
      <c r="E16" s="37"/>
      <c r="F16" s="37"/>
      <c r="G16" s="38"/>
      <c r="H16" s="39" t="str">
        <f>IF(OR(FS!$A16="",FS!$B16="",FS!$C16="",FS!$D16="",FS!$E16="",FS!$F16=""),"",(((FS!$E16*50)/FS!$D16)*FS!$F16))</f>
        <v/>
      </c>
    </row>
    <row r="17" spans="1:25" x14ac:dyDescent="0.25">
      <c r="A17" s="34"/>
      <c r="B17" s="51" t="str">
        <f t="shared" si="0"/>
        <v/>
      </c>
      <c r="C17" s="53" t="str">
        <f t="shared" si="1"/>
        <v/>
      </c>
      <c r="D17" s="36"/>
      <c r="E17" s="37"/>
      <c r="F17" s="37"/>
      <c r="G17" s="38"/>
      <c r="H17" s="39" t="str">
        <f>IF(OR(FS!$A17="",FS!$B17="",FS!$C17="",FS!$D17="",FS!$E17="",FS!$F17=""),"",(((FS!$E17*50)/FS!$D17)*FS!$F17))</f>
        <v/>
      </c>
      <c r="J17" s="58" t="s">
        <v>35</v>
      </c>
      <c r="K17" s="58"/>
    </row>
    <row r="18" spans="1:25" x14ac:dyDescent="0.25">
      <c r="A18" s="34"/>
      <c r="B18" s="51" t="str">
        <f t="shared" si="0"/>
        <v/>
      </c>
      <c r="C18" s="53" t="str">
        <f t="shared" si="1"/>
        <v/>
      </c>
      <c r="D18" s="36"/>
      <c r="E18" s="37"/>
      <c r="F18" s="37"/>
      <c r="G18" s="38"/>
      <c r="H18" s="39" t="str">
        <f>IF(OR(FS!$A18="",FS!$B18="",FS!$C18="",FS!$D18="",FS!$E18="",FS!$F18=""),"",(((FS!$E18*50)/FS!$D18)*FS!$F18))</f>
        <v/>
      </c>
      <c r="J18" s="50" t="s">
        <v>36</v>
      </c>
      <c r="K18" s="36" t="s">
        <v>44</v>
      </c>
    </row>
    <row r="19" spans="1:25" x14ac:dyDescent="0.25">
      <c r="A19" s="34"/>
      <c r="B19" s="51" t="str">
        <f t="shared" si="0"/>
        <v/>
      </c>
      <c r="C19" s="53" t="str">
        <f t="shared" si="1"/>
        <v/>
      </c>
      <c r="D19" s="36"/>
      <c r="E19" s="37"/>
      <c r="F19" s="37"/>
      <c r="G19" s="38"/>
      <c r="H19" s="39" t="str">
        <f>IF(OR(FS!$A19="",FS!$B19="",FS!$C19="",FS!$D19="",FS!$E19="",FS!$F19=""),"",(((FS!$E19*50)/FS!$D19)*FS!$F19))</f>
        <v/>
      </c>
      <c r="J19" s="50" t="s">
        <v>37</v>
      </c>
      <c r="K19" s="35"/>
    </row>
    <row r="20" spans="1:25" x14ac:dyDescent="0.25">
      <c r="A20" s="34"/>
      <c r="B20" s="51" t="str">
        <f t="shared" si="0"/>
        <v/>
      </c>
      <c r="C20" s="53" t="str">
        <f t="shared" si="1"/>
        <v/>
      </c>
      <c r="D20" s="36"/>
      <c r="E20" s="37"/>
      <c r="F20" s="37"/>
      <c r="G20" s="38"/>
      <c r="H20" s="39" t="str">
        <f>IF(OR(FS!$A20="",FS!$B20="",FS!$C20="",FS!$D20="",FS!$E20="",FS!$F20=""),"",(((FS!$E20*50)/FS!$D20)*FS!$F20))</f>
        <v/>
      </c>
      <c r="J20" s="50" t="s">
        <v>38</v>
      </c>
      <c r="K20" s="54"/>
    </row>
    <row r="21" spans="1:25" x14ac:dyDescent="0.25">
      <c r="A21" s="34"/>
      <c r="B21" s="51" t="str">
        <f t="shared" si="0"/>
        <v/>
      </c>
      <c r="C21" s="53" t="str">
        <f t="shared" si="1"/>
        <v/>
      </c>
      <c r="D21" s="36"/>
      <c r="E21" s="37"/>
      <c r="F21" s="37"/>
      <c r="G21" s="38"/>
      <c r="H21" s="39" t="str">
        <f>IF(OR(FS!$A21="",FS!$B21="",FS!$C21="",FS!$D21="",FS!$E21="",FS!$F21=""),"",(((FS!$E21*50)/FS!$D21)*FS!$F21))</f>
        <v/>
      </c>
      <c r="J21" s="50" t="s">
        <v>39</v>
      </c>
      <c r="K21" s="36"/>
      <c r="W21" s="14"/>
      <c r="X21" s="10"/>
      <c r="Y21" s="10"/>
    </row>
    <row r="22" spans="1:25" ht="12.6" customHeight="1" x14ac:dyDescent="0.25">
      <c r="A22" s="34"/>
      <c r="B22" s="51" t="str">
        <f t="shared" si="0"/>
        <v/>
      </c>
      <c r="C22" s="53" t="str">
        <f t="shared" si="1"/>
        <v/>
      </c>
      <c r="D22" s="36"/>
      <c r="E22" s="37"/>
      <c r="F22" s="37"/>
      <c r="G22" s="38"/>
      <c r="H22" s="39" t="str">
        <f>IF(OR(FS!$A22="",FS!$B22="",FS!$C22="",FS!$D22="",FS!$E22="",FS!$F22=""),"",(((FS!$E22*50)/FS!$D22)*FS!$F22))</f>
        <v/>
      </c>
      <c r="J22" s="58" t="s">
        <v>40</v>
      </c>
      <c r="K22" s="58"/>
    </row>
    <row r="23" spans="1:25" ht="12.6" customHeight="1" x14ac:dyDescent="0.25">
      <c r="A23" s="34"/>
      <c r="B23" s="51" t="str">
        <f t="shared" si="0"/>
        <v/>
      </c>
      <c r="C23" s="53" t="str">
        <f t="shared" si="1"/>
        <v/>
      </c>
      <c r="D23" s="36"/>
      <c r="E23" s="37"/>
      <c r="F23" s="37"/>
      <c r="G23" s="38"/>
      <c r="H23" s="39" t="str">
        <f>IF(OR(FS!$A23="",FS!$B23="",FS!$C23="",FS!$D23="",FS!$E23="",FS!$F23=""),"",(((FS!$E23*50)/FS!$D23)*FS!$F23))</f>
        <v/>
      </c>
      <c r="J23" s="50" t="s">
        <v>42</v>
      </c>
      <c r="K23" s="18"/>
    </row>
    <row r="24" spans="1:25" x14ac:dyDescent="0.25">
      <c r="A24" s="34"/>
      <c r="B24" s="51" t="str">
        <f t="shared" si="0"/>
        <v/>
      </c>
      <c r="C24" s="53" t="str">
        <f t="shared" si="1"/>
        <v/>
      </c>
      <c r="D24" s="36"/>
      <c r="E24" s="37"/>
      <c r="F24" s="37"/>
      <c r="G24" s="38"/>
      <c r="H24" s="39" t="str">
        <f>IF(OR(FS!$A24="",FS!$B24="",FS!$C24="",FS!$D24="",FS!$E24="",FS!$F24=""),"",(((FS!$E24*50)/FS!$D24)*FS!$F24))</f>
        <v/>
      </c>
      <c r="J24" s="50" t="s">
        <v>37</v>
      </c>
      <c r="K24" s="35"/>
    </row>
    <row r="25" spans="1:25" x14ac:dyDescent="0.25">
      <c r="A25" s="34"/>
      <c r="B25" s="51" t="str">
        <f t="shared" si="0"/>
        <v/>
      </c>
      <c r="C25" s="53" t="str">
        <f t="shared" si="1"/>
        <v/>
      </c>
      <c r="D25" s="36"/>
      <c r="E25" s="37"/>
      <c r="F25" s="37"/>
      <c r="G25" s="38"/>
      <c r="H25" s="39" t="str">
        <f>IF(OR(FS!$A25="",FS!$B25="",FS!$C25="",FS!$D25="",FS!$E25="",FS!$F25=""),"",(((FS!$E25*50)/FS!$D25)*FS!$F25))</f>
        <v/>
      </c>
      <c r="J25" s="50" t="s">
        <v>38</v>
      </c>
      <c r="K25" s="56"/>
    </row>
    <row r="26" spans="1:25" x14ac:dyDescent="0.25">
      <c r="A26" s="34"/>
      <c r="B26" s="51" t="str">
        <f t="shared" si="0"/>
        <v/>
      </c>
      <c r="C26" s="53" t="str">
        <f t="shared" si="1"/>
        <v/>
      </c>
      <c r="D26" s="36"/>
      <c r="E26" s="37"/>
      <c r="F26" s="37"/>
      <c r="G26" s="38"/>
      <c r="H26" s="39" t="str">
        <f>IF(OR(FS!$A26="",FS!$B26="",FS!$C26="",FS!$D26="",FS!$E26="",FS!$F26=""),"",(((FS!$E26*50)/FS!$D26)*FS!$F26))</f>
        <v/>
      </c>
      <c r="J26" s="52" t="s">
        <v>39</v>
      </c>
      <c r="K26" s="55"/>
    </row>
    <row r="27" spans="1:25" x14ac:dyDescent="0.25">
      <c r="A27" s="34"/>
      <c r="B27" s="51" t="str">
        <f t="shared" si="0"/>
        <v/>
      </c>
      <c r="C27" s="53" t="str">
        <f t="shared" si="1"/>
        <v/>
      </c>
      <c r="D27" s="36"/>
      <c r="E27" s="37"/>
      <c r="F27" s="37"/>
      <c r="G27" s="38"/>
      <c r="H27" s="39" t="str">
        <f>IF(OR(FS!$A27="",FS!$B27="",FS!$C27="",FS!$D27="",FS!$E27="",FS!$F27=""),"",(((FS!$E27*50)/FS!$D27)*FS!$F27))</f>
        <v/>
      </c>
    </row>
    <row r="28" spans="1:25" x14ac:dyDescent="0.25">
      <c r="A28" s="34"/>
      <c r="B28" s="51" t="str">
        <f t="shared" si="0"/>
        <v/>
      </c>
      <c r="C28" s="53" t="str">
        <f t="shared" si="1"/>
        <v/>
      </c>
      <c r="D28" s="36"/>
      <c r="E28" s="37"/>
      <c r="F28" s="37"/>
      <c r="G28" s="38"/>
      <c r="H28" s="39" t="str">
        <f>IF(OR(FS!$A28="",FS!$B28="",FS!$C28="",FS!$D28="",FS!$E28="",FS!$F28=""),"",(((FS!$E28*50)/FS!$D28)*FS!$F28))</f>
        <v/>
      </c>
    </row>
    <row r="29" spans="1:25" x14ac:dyDescent="0.25">
      <c r="A29" s="34"/>
      <c r="B29" s="51" t="str">
        <f t="shared" si="0"/>
        <v/>
      </c>
      <c r="C29" s="53" t="str">
        <f t="shared" si="1"/>
        <v/>
      </c>
      <c r="D29" s="36"/>
      <c r="E29" s="37"/>
      <c r="F29" s="37"/>
      <c r="G29" s="38"/>
      <c r="H29" s="39" t="str">
        <f>IF(OR(FS!$A29="",FS!$B29="",FS!$C29="",FS!$D29="",FS!$E29="",FS!$F29=""),"",(((FS!$E29*50)/FS!$D29)*FS!$F29))</f>
        <v/>
      </c>
    </row>
    <row r="30" spans="1:25" x14ac:dyDescent="0.25">
      <c r="A30" s="34"/>
      <c r="B30" s="51" t="str">
        <f t="shared" si="0"/>
        <v/>
      </c>
      <c r="C30" s="53" t="str">
        <f t="shared" si="1"/>
        <v/>
      </c>
      <c r="D30" s="36"/>
      <c r="E30" s="37"/>
      <c r="F30" s="37"/>
      <c r="G30" s="38"/>
      <c r="H30" s="39" t="str">
        <f>IF(OR(FS!$A30="",FS!$B30="",FS!$C30="",FS!$D30="",FS!$E30="",FS!$F30=""),"",(((FS!$E30*50)/FS!$D30)*FS!$F30))</f>
        <v/>
      </c>
    </row>
    <row r="31" spans="1:25" x14ac:dyDescent="0.25">
      <c r="A31" s="34"/>
      <c r="B31" s="51" t="str">
        <f t="shared" si="0"/>
        <v/>
      </c>
      <c r="C31" s="53" t="str">
        <f t="shared" si="1"/>
        <v/>
      </c>
      <c r="D31" s="36"/>
      <c r="E31" s="37"/>
      <c r="F31" s="37"/>
      <c r="G31" s="38"/>
      <c r="H31" s="39" t="str">
        <f>IF(OR(FS!$A31="",FS!$B31="",FS!$C31="",FS!$D31="",FS!$E31="",FS!$F31=""),"",(((FS!$E31*50)/FS!$D31)*FS!$F31))</f>
        <v/>
      </c>
    </row>
    <row r="32" spans="1:25" x14ac:dyDescent="0.25">
      <c r="A32" s="34"/>
      <c r="B32" s="51" t="str">
        <f t="shared" si="0"/>
        <v/>
      </c>
      <c r="C32" s="53" t="str">
        <f t="shared" si="1"/>
        <v/>
      </c>
      <c r="D32" s="36"/>
      <c r="E32" s="37"/>
      <c r="F32" s="37"/>
      <c r="G32" s="38"/>
      <c r="H32" s="39" t="str">
        <f>IF(OR(FS!$A32="",FS!$B32="",FS!$C32="",FS!$D32="",FS!$E32="",FS!$F32=""),"",(((FS!$E32*50)/FS!$D32)*FS!$F32))</f>
        <v/>
      </c>
    </row>
    <row r="33" spans="1:8" x14ac:dyDescent="0.25">
      <c r="A33" s="34"/>
      <c r="B33" s="51" t="str">
        <f t="shared" si="0"/>
        <v/>
      </c>
      <c r="C33" s="53" t="str">
        <f t="shared" si="1"/>
        <v/>
      </c>
      <c r="D33" s="36"/>
      <c r="E33" s="37"/>
      <c r="F33" s="37"/>
      <c r="G33" s="38"/>
      <c r="H33" s="39" t="str">
        <f>IF(OR(FS!$A33="",FS!$B33="",FS!$C33="",FS!$D33="",FS!$E33="",FS!$F33=""),"",(((FS!$E33*50)/FS!$D33)*FS!$F33))</f>
        <v/>
      </c>
    </row>
    <row r="34" spans="1:8" x14ac:dyDescent="0.25">
      <c r="A34" s="34"/>
      <c r="B34" s="51" t="str">
        <f t="shared" si="0"/>
        <v/>
      </c>
      <c r="C34" s="53" t="str">
        <f t="shared" si="1"/>
        <v/>
      </c>
      <c r="D34" s="36"/>
      <c r="E34" s="37"/>
      <c r="F34" s="37"/>
      <c r="G34" s="38"/>
      <c r="H34" s="39" t="str">
        <f>IF(OR(FS!$A34="",FS!$B34="",FS!$C34="",FS!$D34="",FS!$E34="",FS!$F34=""),"",(((FS!$E34*50)/FS!$D34)*FS!$F34))</f>
        <v/>
      </c>
    </row>
    <row r="35" spans="1:8" x14ac:dyDescent="0.25">
      <c r="A35" s="34"/>
      <c r="B35" s="51" t="str">
        <f t="shared" si="0"/>
        <v/>
      </c>
      <c r="C35" s="53" t="str">
        <f t="shared" si="1"/>
        <v/>
      </c>
      <c r="D35" s="36"/>
      <c r="E35" s="37"/>
      <c r="F35" s="37"/>
      <c r="G35" s="38"/>
      <c r="H35" s="39" t="str">
        <f>IF(OR(FS!$A35="",FS!$B35="",FS!$C35="",FS!$D35="",FS!$E35="",FS!$F35=""),"",(((FS!$E35*50)/FS!$D35)*FS!$F35))</f>
        <v/>
      </c>
    </row>
    <row r="36" spans="1:8" x14ac:dyDescent="0.25">
      <c r="A36" s="34"/>
      <c r="B36" s="51" t="str">
        <f t="shared" si="0"/>
        <v/>
      </c>
      <c r="C36" s="53" t="str">
        <f t="shared" si="1"/>
        <v/>
      </c>
      <c r="D36" s="36"/>
      <c r="E36" s="37"/>
      <c r="F36" s="37"/>
      <c r="G36" s="38"/>
      <c r="H36" s="39" t="str">
        <f>IF(OR(FS!$A36="",FS!$B36="",FS!$C36="",FS!$D36="",FS!$E36="",FS!$F36=""),"",(((FS!$E36*50)/FS!$D36)*FS!$F36))</f>
        <v/>
      </c>
    </row>
    <row r="37" spans="1:8" x14ac:dyDescent="0.25">
      <c r="A37" s="34"/>
      <c r="B37" s="51" t="str">
        <f t="shared" si="0"/>
        <v/>
      </c>
      <c r="C37" s="53" t="str">
        <f t="shared" si="1"/>
        <v/>
      </c>
      <c r="D37" s="36"/>
      <c r="E37" s="37"/>
      <c r="F37" s="37"/>
      <c r="G37" s="38"/>
      <c r="H37" s="39" t="str">
        <f>IF(OR(FS!$A37="",FS!$B37="",FS!$C37="",FS!$D37="",FS!$E37="",FS!$F37=""),"",(((FS!$E37*50)/FS!$D37)*FS!$F37))</f>
        <v/>
      </c>
    </row>
    <row r="38" spans="1:8" x14ac:dyDescent="0.25">
      <c r="A38" s="34"/>
      <c r="B38" s="51" t="str">
        <f t="shared" si="0"/>
        <v/>
      </c>
      <c r="C38" s="53" t="str">
        <f t="shared" si="1"/>
        <v/>
      </c>
      <c r="D38" s="36"/>
      <c r="E38" s="37"/>
      <c r="F38" s="37"/>
      <c r="G38" s="38"/>
      <c r="H38" s="39" t="str">
        <f>IF(OR(FS!$A38="",FS!$B38="",FS!$C38="",FS!$D38="",FS!$E38="",FS!$F38=""),"",(((FS!$E38*50)/FS!$D38)*FS!$F38))</f>
        <v/>
      </c>
    </row>
    <row r="39" spans="1:8" x14ac:dyDescent="0.25">
      <c r="A39" s="34"/>
      <c r="B39" s="51" t="str">
        <f t="shared" si="0"/>
        <v/>
      </c>
      <c r="C39" s="53" t="str">
        <f t="shared" si="1"/>
        <v/>
      </c>
      <c r="D39" s="36"/>
      <c r="E39" s="37"/>
      <c r="F39" s="37"/>
      <c r="G39" s="38"/>
      <c r="H39" s="39" t="str">
        <f>IF(OR(FS!$A39="",FS!$B39="",FS!$C39="",FS!$D39="",FS!$E39="",FS!$F39=""),"",(((FS!$E39*50)/FS!$D39)*FS!$F39))</f>
        <v/>
      </c>
    </row>
    <row r="40" spans="1:8" x14ac:dyDescent="0.25">
      <c r="A40" s="34"/>
      <c r="B40" s="51" t="str">
        <f t="shared" si="0"/>
        <v/>
      </c>
      <c r="C40" s="53" t="str">
        <f t="shared" si="1"/>
        <v/>
      </c>
      <c r="D40" s="36"/>
      <c r="E40" s="37"/>
      <c r="F40" s="37"/>
      <c r="G40" s="38"/>
      <c r="H40" s="39" t="str">
        <f>IF(OR(FS!$A40="",FS!$B40="",FS!$C40="",FS!$D40="",FS!$E40="",FS!$F40=""),"",(((FS!$E40*50)/FS!$D40)*FS!$F40))</f>
        <v/>
      </c>
    </row>
    <row r="41" spans="1:8" x14ac:dyDescent="0.25">
      <c r="A41" s="34"/>
      <c r="B41" s="51" t="str">
        <f t="shared" si="0"/>
        <v/>
      </c>
      <c r="C41" s="53" t="str">
        <f t="shared" si="1"/>
        <v/>
      </c>
      <c r="D41" s="36"/>
      <c r="E41" s="37"/>
      <c r="F41" s="37"/>
      <c r="G41" s="38"/>
      <c r="H41" s="39" t="str">
        <f>IF(OR(FS!$A41="",FS!$B41="",FS!$C41="",FS!$D41="",FS!$E41="",FS!$F41=""),"",(((FS!$E41*50)/FS!$D41)*FS!$F41))</f>
        <v/>
      </c>
    </row>
    <row r="42" spans="1:8" x14ac:dyDescent="0.25">
      <c r="A42" s="34"/>
      <c r="B42" s="51" t="str">
        <f t="shared" si="0"/>
        <v/>
      </c>
      <c r="C42" s="53" t="str">
        <f t="shared" si="1"/>
        <v/>
      </c>
      <c r="D42" s="36"/>
      <c r="E42" s="37"/>
      <c r="F42" s="37"/>
      <c r="G42" s="38"/>
      <c r="H42" s="39" t="str">
        <f>IF(OR(FS!$A42="",FS!$B42="",FS!$C42="",FS!$D42="",FS!$E42="",FS!$F42=""),"",(((FS!$E42*50)/FS!$D42)*FS!$F42))</f>
        <v/>
      </c>
    </row>
    <row r="43" spans="1:8" x14ac:dyDescent="0.25">
      <c r="A43" s="34"/>
      <c r="B43" s="51" t="str">
        <f t="shared" si="0"/>
        <v/>
      </c>
      <c r="C43" s="53" t="str">
        <f t="shared" si="1"/>
        <v/>
      </c>
      <c r="D43" s="36"/>
      <c r="E43" s="37"/>
      <c r="F43" s="37"/>
      <c r="G43" s="38"/>
      <c r="H43" s="39" t="str">
        <f>IF(OR(FS!$A43="",FS!$B43="",FS!$C43="",FS!$D43="",FS!$E43="",FS!$F43=""),"",(((FS!$E43*50)/FS!$D43)*FS!$F43))</f>
        <v/>
      </c>
    </row>
    <row r="44" spans="1:8" x14ac:dyDescent="0.25">
      <c r="A44" s="34"/>
      <c r="B44" s="51" t="str">
        <f t="shared" si="0"/>
        <v/>
      </c>
      <c r="C44" s="53" t="str">
        <f t="shared" si="1"/>
        <v/>
      </c>
      <c r="D44" s="36"/>
      <c r="E44" s="37"/>
      <c r="F44" s="37"/>
      <c r="G44" s="38"/>
      <c r="H44" s="39" t="str">
        <f>IF(OR(FS!$A44="",FS!$B44="",FS!$C44="",FS!$D44="",FS!$E44="",FS!$F44=""),"",(((FS!$E44*50)/FS!$D44)*FS!$F44))</f>
        <v/>
      </c>
    </row>
    <row r="45" spans="1:8" x14ac:dyDescent="0.25">
      <c r="A45" s="34"/>
      <c r="B45" s="51" t="str">
        <f t="shared" si="0"/>
        <v/>
      </c>
      <c r="C45" s="53" t="str">
        <f t="shared" si="1"/>
        <v/>
      </c>
      <c r="D45" s="37"/>
      <c r="E45" s="37"/>
      <c r="F45" s="37"/>
      <c r="G45" s="38"/>
      <c r="H45" s="39" t="str">
        <f>IF(OR(FS!$A45="",FS!$B45="",FS!$C45="",FS!$D45="",FS!$E45="",FS!$F45=""),"",(((FS!$E45*50)/FS!$D45)*FS!$F45))</f>
        <v/>
      </c>
    </row>
    <row r="46" spans="1:8" x14ac:dyDescent="0.25">
      <c r="A46" s="34"/>
      <c r="B46" s="51" t="str">
        <f t="shared" si="0"/>
        <v/>
      </c>
      <c r="C46" s="53" t="str">
        <f t="shared" si="1"/>
        <v/>
      </c>
      <c r="D46" s="37"/>
      <c r="E46" s="37"/>
      <c r="F46" s="37"/>
      <c r="G46" s="38"/>
      <c r="H46" s="39" t="str">
        <f>IF(OR(FS!$A46="",FS!$B46="",FS!$C46="",FS!$D46="",FS!$E46="",FS!$F46=""),"",(((FS!$E46*50)/FS!$D46)*FS!$F46))</f>
        <v/>
      </c>
    </row>
    <row r="47" spans="1:8" x14ac:dyDescent="0.25">
      <c r="A47" s="34"/>
      <c r="B47" s="51" t="str">
        <f t="shared" si="0"/>
        <v/>
      </c>
      <c r="C47" s="53" t="str">
        <f t="shared" si="1"/>
        <v/>
      </c>
      <c r="D47" s="37"/>
      <c r="E47" s="37"/>
      <c r="F47" s="37"/>
      <c r="G47" s="38"/>
      <c r="H47" s="39" t="str">
        <f>IF(OR(FS!$A47="",FS!$B47="",FS!$C47="",FS!$D47="",FS!$E47="",FS!$F47=""),"",(((FS!$E47*50)/FS!$D47)*FS!$F47))</f>
        <v/>
      </c>
    </row>
    <row r="48" spans="1:8" x14ac:dyDescent="0.25">
      <c r="A48" s="34"/>
      <c r="B48" s="51" t="str">
        <f t="shared" si="0"/>
        <v/>
      </c>
      <c r="C48" s="53" t="str">
        <f t="shared" si="1"/>
        <v/>
      </c>
      <c r="D48" s="37"/>
      <c r="E48" s="37"/>
      <c r="F48" s="37"/>
      <c r="G48" s="38"/>
      <c r="H48" s="39" t="str">
        <f>IF(OR(FS!$A48="",FS!$B48="",FS!$C48="",FS!$D48="",FS!$E48="",FS!$F48=""),"",(((FS!$E48*50)/FS!$D48)*FS!$F48))</f>
        <v/>
      </c>
    </row>
    <row r="49" spans="1:8" x14ac:dyDescent="0.25">
      <c r="A49" s="34"/>
      <c r="B49" s="51" t="str">
        <f t="shared" si="0"/>
        <v/>
      </c>
      <c r="C49" s="53" t="str">
        <f t="shared" si="1"/>
        <v/>
      </c>
      <c r="D49" s="37"/>
      <c r="E49" s="37"/>
      <c r="F49" s="37"/>
      <c r="G49" s="38"/>
      <c r="H49" s="39" t="str">
        <f>IF(OR(FS!$A49="",FS!$B49="",FS!$C49="",FS!$D49="",FS!$E49="",FS!$F49=""),"",(((FS!$E49*50)/FS!$D49)*FS!$F49))</f>
        <v/>
      </c>
    </row>
    <row r="50" spans="1:8" x14ac:dyDescent="0.25">
      <c r="A50" s="57"/>
      <c r="B50" s="51" t="str">
        <f t="shared" si="0"/>
        <v/>
      </c>
      <c r="C50" s="53" t="str">
        <f t="shared" si="1"/>
        <v/>
      </c>
      <c r="D50" s="37"/>
      <c r="E50" s="37"/>
      <c r="F50" s="37"/>
      <c r="G50" s="38"/>
      <c r="H50" s="39" t="str">
        <f>IF(OR(FS!$A50="",FS!$B50="",FS!$C50="",FS!$D50="",FS!$E50="",FS!$F50=""),"",(((FS!$E50*50)/FS!$D50)*FS!$F50))</f>
        <v/>
      </c>
    </row>
    <row r="51" spans="1:8" x14ac:dyDescent="0.25">
      <c r="A51" s="34"/>
      <c r="B51" s="51" t="str">
        <f t="shared" si="0"/>
        <v/>
      </c>
      <c r="C51" s="53" t="str">
        <f t="shared" si="1"/>
        <v/>
      </c>
      <c r="D51" s="37"/>
      <c r="E51" s="37"/>
      <c r="F51" s="37"/>
      <c r="G51" s="38"/>
      <c r="H51" s="39" t="str">
        <f>IF(OR(FS!$A51="",FS!$B51="",FS!$C51="",FS!$D51="",FS!$E51="",FS!$F51=""),"",(((FS!$E51*50)/FS!$D51)*FS!$F51))</f>
        <v/>
      </c>
    </row>
    <row r="52" spans="1:8" x14ac:dyDescent="0.25">
      <c r="A52" s="34" t="s">
        <v>45</v>
      </c>
      <c r="B52" s="51" t="str">
        <f t="shared" si="0"/>
        <v/>
      </c>
      <c r="C52" s="53" t="str">
        <f t="shared" si="1"/>
        <v/>
      </c>
      <c r="D52" s="37"/>
      <c r="E52" s="37"/>
      <c r="F52" s="37"/>
      <c r="G52" s="38"/>
      <c r="H52" s="39" t="str">
        <f>IF(OR(FS!$A52="",FS!$B52="",FS!$C52="",FS!$D52="",FS!$E52="",FS!$F52=""),"",(((FS!$E52*50)/FS!$D52)*FS!$F52))</f>
        <v/>
      </c>
    </row>
    <row r="53" spans="1:8" x14ac:dyDescent="0.25">
      <c r="A53" s="34" t="s">
        <v>45</v>
      </c>
      <c r="B53" s="51" t="str">
        <f t="shared" si="0"/>
        <v/>
      </c>
      <c r="C53" s="53" t="str">
        <f t="shared" si="1"/>
        <v/>
      </c>
      <c r="D53" s="37"/>
      <c r="E53" s="37"/>
      <c r="F53" s="37"/>
      <c r="G53" s="38"/>
      <c r="H53" s="39" t="str">
        <f>IF(OR(FS!$A53="",FS!$B53="",FS!$C53="",FS!$D53="",FS!$E53="",FS!$F53=""),"",(((FS!$E53*50)/FS!$D53)*FS!$F53))</f>
        <v/>
      </c>
    </row>
    <row r="54" spans="1:8" x14ac:dyDescent="0.25">
      <c r="A54" s="57" t="s">
        <v>45</v>
      </c>
      <c r="B54" s="51" t="str">
        <f t="shared" si="0"/>
        <v/>
      </c>
      <c r="C54" s="53" t="str">
        <f t="shared" si="1"/>
        <v/>
      </c>
      <c r="D54" s="37"/>
      <c r="E54" s="37"/>
      <c r="F54" s="37"/>
      <c r="G54" s="38"/>
      <c r="H54" s="39" t="str">
        <f>IF(OR(FS!$A54="",FS!$B54="",FS!$C54="",FS!$D54="",FS!$E54="",FS!$F54=""),"",(((FS!$E54*50)/FS!$D54)*FS!$F54))</f>
        <v/>
      </c>
    </row>
    <row r="55" spans="1:8" x14ac:dyDescent="0.25">
      <c r="A55" s="34" t="s">
        <v>45</v>
      </c>
      <c r="B55" s="51" t="str">
        <f t="shared" si="0"/>
        <v/>
      </c>
      <c r="C55" s="53" t="str">
        <f t="shared" si="1"/>
        <v/>
      </c>
      <c r="D55" s="37"/>
      <c r="E55" s="37"/>
      <c r="F55" s="37"/>
      <c r="G55" s="38"/>
      <c r="H55" s="39" t="str">
        <f>IF(OR(FS!$A55="",FS!$B55="",FS!$C55="",FS!$D55="",FS!$E55="",FS!$F55=""),"",(((FS!$E55*50)/FS!$D55)*FS!$F55))</f>
        <v/>
      </c>
    </row>
    <row r="56" spans="1:8" x14ac:dyDescent="0.25">
      <c r="A56" s="34" t="s">
        <v>45</v>
      </c>
      <c r="B56" s="51" t="str">
        <f t="shared" si="0"/>
        <v/>
      </c>
      <c r="C56" s="53" t="str">
        <f t="shared" si="1"/>
        <v/>
      </c>
      <c r="D56" s="37"/>
      <c r="E56" s="37"/>
      <c r="F56" s="37"/>
      <c r="G56" s="38"/>
      <c r="H56" s="39" t="str">
        <f>IF(OR(FS!$A56="",FS!$B56="",FS!$C56="",FS!$D56="",FS!$E56="",FS!$F56=""),"",(((FS!$E56*50)/FS!$D56)*FS!$F56))</f>
        <v/>
      </c>
    </row>
  </sheetData>
  <sheetProtection password="D1D1" sheet="1" objects="1" scenarios="1" formatCells="0" formatColumns="0" selectLockedCells="1" autoFilter="0"/>
  <mergeCells count="2">
    <mergeCell ref="J17:K17"/>
    <mergeCell ref="J22:K22"/>
  </mergeCells>
  <conditionalFormatting sqref="M3">
    <cfRule type="cellIs" dxfId="29" priority="30" operator="greaterThan">
      <formula>0.01</formula>
    </cfRule>
  </conditionalFormatting>
  <conditionalFormatting sqref="M4 M6 M8">
    <cfRule type="cellIs" dxfId="28" priority="29" operator="notBetween">
      <formula>0.918</formula>
      <formula>1.122</formula>
    </cfRule>
  </conditionalFormatting>
  <conditionalFormatting sqref="M5 M7 M9">
    <cfRule type="cellIs" dxfId="27" priority="28" operator="notBetween">
      <formula>3.663</formula>
      <formula>4.477</formula>
    </cfRule>
  </conditionalFormatting>
  <conditionalFormatting sqref="K11 K3:K8 M3:M9">
    <cfRule type="cellIs" priority="12" stopIfTrue="1" operator="equal">
      <formula>""</formula>
    </cfRule>
  </conditionalFormatting>
  <conditionalFormatting sqref="K11">
    <cfRule type="cellIs" dxfId="26" priority="27" operator="lessThan">
      <formula>0.998</formula>
    </cfRule>
  </conditionalFormatting>
  <conditionalFormatting sqref="M10 M12">
    <cfRule type="cellIs" dxfId="25" priority="23" operator="notBetween">
      <formula>0.918</formula>
      <formula>1.122</formula>
    </cfRule>
  </conditionalFormatting>
  <conditionalFormatting sqref="M11 M13">
    <cfRule type="cellIs" dxfId="24" priority="22" operator="notBetween">
      <formula>3.663</formula>
      <formula>4.477</formula>
    </cfRule>
  </conditionalFormatting>
  <conditionalFormatting sqref="M10:M13">
    <cfRule type="cellIs" priority="21" stopIfTrue="1" operator="equal">
      <formula>""</formula>
    </cfRule>
  </conditionalFormatting>
  <conditionalFormatting sqref="K3">
    <cfRule type="cellIs" dxfId="23" priority="18" operator="notBetween">
      <formula>-15.4999</formula>
      <formula>15.4999</formula>
    </cfRule>
  </conditionalFormatting>
  <conditionalFormatting sqref="K4">
    <cfRule type="cellIs" dxfId="22" priority="17" operator="notBetween">
      <formula>-10.4999</formula>
      <formula>10.4999</formula>
    </cfRule>
  </conditionalFormatting>
  <conditionalFormatting sqref="K5">
    <cfRule type="cellIs" dxfId="21" priority="16" operator="notBetween">
      <formula>-10.4999</formula>
      <formula>10.4999</formula>
    </cfRule>
  </conditionalFormatting>
  <conditionalFormatting sqref="K6">
    <cfRule type="cellIs" dxfId="20" priority="15" operator="notBetween">
      <formula>-10.4999</formula>
      <formula>10.4999</formula>
    </cfRule>
  </conditionalFormatting>
  <conditionalFormatting sqref="K7">
    <cfRule type="cellIs" dxfId="19" priority="14" operator="notBetween">
      <formula>-10.4999</formula>
      <formula>10.4999</formula>
    </cfRule>
  </conditionalFormatting>
  <conditionalFormatting sqref="K8">
    <cfRule type="cellIs" dxfId="18" priority="13" operator="notBetween">
      <formula>-10.4999</formula>
      <formula>10.4999</formula>
    </cfRule>
  </conditionalFormatting>
  <conditionalFormatting sqref="H2:H56">
    <cfRule type="expression" dxfId="17" priority="10">
      <formula>IF(A2=MATCH("R-"&amp;A2,$A$2:$A$56,0),FALSE,TRUE)</formula>
    </cfRule>
    <cfRule type="containsBlanks" priority="9" stopIfTrue="1">
      <formula>LEN(TRIM(H2))=0</formula>
    </cfRule>
  </conditionalFormatting>
  <conditionalFormatting sqref="A3:A56">
    <cfRule type="containsBlanks" priority="2" stopIfTrue="1">
      <formula>LEN(TRIM(A3))=0</formula>
    </cfRule>
  </conditionalFormatting>
  <conditionalFormatting sqref="A2:A56">
    <cfRule type="expression" dxfId="16" priority="3">
      <formula>IF(A2=MATCH("R-"&amp;A2,$A$2:$A$56,0),FALSE,TRUE)</formula>
    </cfRule>
  </conditionalFormatting>
  <conditionalFormatting sqref="A2">
    <cfRule type="containsBlanks" priority="1" stopIfTrue="1">
      <formula>LEN(TRIM(A2))=0</formula>
    </cfRule>
  </conditionalFormatting>
  <conditionalFormatting sqref="D2:D56">
    <cfRule type="containsBlanks" priority="19" stopIfTrue="1">
      <formula>LEN(TRIM(D2))=0</formula>
    </cfRule>
    <cfRule type="cellIs" dxfId="15" priority="20" operator="notBetween">
      <formula>2.4</formula>
      <formula>2.6</formula>
    </cfRule>
  </conditionalFormatting>
  <pageMargins left="0.74803149606299213" right="0.74803149606299213" top="0.98425196850393704" bottom="0.98425196850393704" header="0" footer="0"/>
  <pageSetup paperSize="9" scale="63" fitToHeight="50" orientation="landscape" r:id="rId1"/>
  <headerFooter alignWithMargins="0">
    <oddHeader>&amp;L&amp;"Arial,Negrita"&amp;24LAFIGA&amp;C&amp;"Arial,Negrita"ANÁLISIS DE SUELOS    
HOJA DE CÁLCULO DE LA DETERMINACIÓN DE    
FÓSFORO SOLUBLE EN BICARBONATO SÓDICO    
&amp;R&amp;"Arial,Negrita"PE/LAFIGA/SU05
&amp;18Hoja:______________
Siguiente:______________</oddHeader>
    <oddFooter>&amp;L&amp;"Arial,Negrita"ESU0509-9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6"/>
  <sheetViews>
    <sheetView workbookViewId="0">
      <selection activeCell="B2" sqref="B2"/>
    </sheetView>
  </sheetViews>
  <sheetFormatPr baseColWidth="10" defaultColWidth="10.88671875" defaultRowHeight="14.4" x14ac:dyDescent="0.3"/>
  <cols>
    <col min="1" max="16384" width="10.88671875" style="24"/>
  </cols>
  <sheetData>
    <row r="1" spans="1:2" x14ac:dyDescent="0.3">
      <c r="A1" s="59" t="s">
        <v>14</v>
      </c>
      <c r="B1" s="59"/>
    </row>
    <row r="2" spans="1:2" x14ac:dyDescent="0.3">
      <c r="A2" s="25" t="s">
        <v>15</v>
      </c>
      <c r="B2" s="26">
        <v>3</v>
      </c>
    </row>
    <row r="3" spans="1:2" x14ac:dyDescent="0.3">
      <c r="A3" s="25" t="s">
        <v>16</v>
      </c>
      <c r="B3" s="26">
        <v>9600</v>
      </c>
    </row>
    <row r="4" spans="1:2" x14ac:dyDescent="0.3">
      <c r="A4" s="25" t="s">
        <v>17</v>
      </c>
      <c r="B4" s="26" t="s">
        <v>18</v>
      </c>
    </row>
    <row r="5" spans="1:2" x14ac:dyDescent="0.3">
      <c r="A5" s="25" t="s">
        <v>19</v>
      </c>
      <c r="B5" s="26">
        <v>8</v>
      </c>
    </row>
    <row r="6" spans="1:2" x14ac:dyDescent="0.3">
      <c r="A6" s="25" t="s">
        <v>20</v>
      </c>
      <c r="B6" s="26">
        <v>1</v>
      </c>
    </row>
  </sheetData>
  <mergeCells count="1">
    <mergeCell ref="A1:B1"/>
  </mergeCells>
  <dataValidations count="3">
    <dataValidation type="list" allowBlank="1" showInputMessage="1" showErrorMessage="1" sqref="B3">
      <formula1>"1200,2400,4800,9600,19200,38400"</formula1>
    </dataValidation>
    <dataValidation type="list" allowBlank="1" showInputMessage="1" showErrorMessage="1" sqref="B2">
      <formula1>"1,2,3,4,5"</formula1>
    </dataValidation>
    <dataValidation type="list" allowBlank="1" showInputMessage="1" showErrorMessage="1" sqref="B4">
      <formula1>"N,O,E"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56"/>
  <sheetViews>
    <sheetView workbookViewId="0">
      <selection activeCell="A44" sqref="A44:C56"/>
    </sheetView>
  </sheetViews>
  <sheetFormatPr baseColWidth="10" defaultRowHeight="13.2" x14ac:dyDescent="0.25"/>
  <cols>
    <col min="3" max="3" width="21.88671875" bestFit="1" customWidth="1"/>
    <col min="6" max="7" width="17.44140625" bestFit="1" customWidth="1"/>
    <col min="8" max="8" width="30.109375" bestFit="1" customWidth="1"/>
  </cols>
  <sheetData>
    <row r="1" spans="1:8" ht="43.2" x14ac:dyDescent="0.25">
      <c r="A1" s="47" t="s">
        <v>23</v>
      </c>
      <c r="B1" s="47" t="s">
        <v>24</v>
      </c>
      <c r="C1" s="48" t="s">
        <v>34</v>
      </c>
    </row>
    <row r="2" spans="1:8" x14ac:dyDescent="0.25">
      <c r="A2" s="41" t="str">
        <f>IF(FS!A2="","",FS!A2)</f>
        <v>PATRON</v>
      </c>
      <c r="B2" s="41" t="str">
        <f>IF(FS!H2="","",FS!H2)</f>
        <v/>
      </c>
      <c r="C2" s="46" t="str">
        <f>IF(B2="","",INDEX($G$14:$H$19,MATCH(B2,$G$14:$G$19,1),2))</f>
        <v/>
      </c>
    </row>
    <row r="3" spans="1:8" x14ac:dyDescent="0.25">
      <c r="A3" s="41" t="str">
        <f>IF(FS!A3="","",FS!A3)</f>
        <v/>
      </c>
      <c r="B3" s="41" t="str">
        <f>IF(FS!H3="","",FS!H3)</f>
        <v/>
      </c>
      <c r="C3" s="46" t="str">
        <f t="shared" ref="C3:C44" si="0">IF(B3="","",INDEX($G$14:$H$19,MATCH(B3,$G$14:$G$19,1),2))</f>
        <v/>
      </c>
    </row>
    <row r="4" spans="1:8" x14ac:dyDescent="0.25">
      <c r="A4" s="41" t="str">
        <f>IF(FS!A4="","",FS!A4)</f>
        <v/>
      </c>
      <c r="B4" s="41" t="str">
        <f>IF(FS!H4="","",FS!H4)</f>
        <v/>
      </c>
      <c r="C4" s="46" t="str">
        <f t="shared" si="0"/>
        <v/>
      </c>
    </row>
    <row r="5" spans="1:8" x14ac:dyDescent="0.25">
      <c r="A5" s="41" t="str">
        <f>IF(FS!A5="","",FS!A5)</f>
        <v/>
      </c>
      <c r="B5" s="41" t="str">
        <f>IF(FS!H5="","",FS!H5)</f>
        <v/>
      </c>
      <c r="C5" s="46" t="str">
        <f t="shared" si="0"/>
        <v/>
      </c>
    </row>
    <row r="6" spans="1:8" x14ac:dyDescent="0.25">
      <c r="A6" s="41" t="str">
        <f>IF(FS!A6="","",FS!A6)</f>
        <v/>
      </c>
      <c r="B6" s="41" t="str">
        <f>IF(FS!H6="","",FS!H6)</f>
        <v/>
      </c>
      <c r="C6" s="46" t="str">
        <f t="shared" si="0"/>
        <v/>
      </c>
    </row>
    <row r="7" spans="1:8" x14ac:dyDescent="0.25">
      <c r="A7" s="41" t="str">
        <f>IF(FS!A7="","",FS!A7)</f>
        <v/>
      </c>
      <c r="B7" s="41" t="str">
        <f>IF(FS!H7="","",FS!H7)</f>
        <v/>
      </c>
      <c r="C7" s="46" t="str">
        <f t="shared" si="0"/>
        <v/>
      </c>
    </row>
    <row r="8" spans="1:8" x14ac:dyDescent="0.25">
      <c r="A8" s="41" t="str">
        <f>IF(FS!A8="","",FS!A8)</f>
        <v/>
      </c>
      <c r="B8" s="41" t="str">
        <f>IF(FS!H8="","",FS!H8)</f>
        <v/>
      </c>
      <c r="C8" s="46" t="str">
        <f t="shared" si="0"/>
        <v/>
      </c>
      <c r="G8" s="42"/>
    </row>
    <row r="9" spans="1:8" x14ac:dyDescent="0.25">
      <c r="A9" s="41" t="str">
        <f>IF(FS!A9="","",FS!A9)</f>
        <v/>
      </c>
      <c r="B9" s="41" t="str">
        <f>IF(FS!H9="","",FS!H9)</f>
        <v/>
      </c>
      <c r="C9" s="46" t="str">
        <f t="shared" si="0"/>
        <v/>
      </c>
      <c r="G9" s="42"/>
    </row>
    <row r="10" spans="1:8" x14ac:dyDescent="0.25">
      <c r="A10" s="41" t="str">
        <f>IF(FS!A10="","",FS!A10)</f>
        <v/>
      </c>
      <c r="B10" s="41" t="str">
        <f>IF(FS!H10="","",FS!H10)</f>
        <v/>
      </c>
      <c r="C10" s="46" t="str">
        <f t="shared" si="0"/>
        <v/>
      </c>
      <c r="G10" s="42"/>
    </row>
    <row r="11" spans="1:8" x14ac:dyDescent="0.25">
      <c r="A11" s="41" t="str">
        <f>IF(FS!A11="","",FS!A11)</f>
        <v/>
      </c>
      <c r="B11" s="41" t="str">
        <f>IF(FS!H11="","",FS!H11)</f>
        <v/>
      </c>
      <c r="C11" s="46" t="str">
        <f t="shared" si="0"/>
        <v/>
      </c>
      <c r="G11" s="42"/>
    </row>
    <row r="12" spans="1:8" x14ac:dyDescent="0.25">
      <c r="A12" s="41" t="str">
        <f>IF(FS!A12="","",FS!A12)</f>
        <v/>
      </c>
      <c r="B12" s="41" t="str">
        <f>IF(FS!H12="","",FS!H12)</f>
        <v/>
      </c>
      <c r="C12" s="46" t="str">
        <f t="shared" si="0"/>
        <v/>
      </c>
    </row>
    <row r="13" spans="1:8" ht="14.4" x14ac:dyDescent="0.3">
      <c r="A13" s="41" t="str">
        <f>IF(FS!A13="","",FS!A13)</f>
        <v/>
      </c>
      <c r="B13" s="41" t="str">
        <f>IF(FS!H13="","",FS!H13)</f>
        <v/>
      </c>
      <c r="C13" s="46" t="str">
        <f t="shared" si="0"/>
        <v/>
      </c>
      <c r="F13" s="40" t="s">
        <v>25</v>
      </c>
      <c r="G13" s="40" t="s">
        <v>29</v>
      </c>
      <c r="H13" s="40" t="s">
        <v>26</v>
      </c>
    </row>
    <row r="14" spans="1:8" x14ac:dyDescent="0.25">
      <c r="A14" s="41" t="str">
        <f>IF(FS!A14="","",FS!A14)</f>
        <v/>
      </c>
      <c r="B14" s="41" t="str">
        <f>IF(FS!H14="","",FS!H14)</f>
        <v/>
      </c>
      <c r="C14" s="46" t="str">
        <f t="shared" si="0"/>
        <v/>
      </c>
      <c r="F14" s="43" t="s">
        <v>27</v>
      </c>
      <c r="G14" s="44">
        <v>0</v>
      </c>
      <c r="H14" s="45">
        <v>175</v>
      </c>
    </row>
    <row r="15" spans="1:8" x14ac:dyDescent="0.25">
      <c r="A15" s="41" t="str">
        <f>IF(FS!A15="","",FS!A15)</f>
        <v/>
      </c>
      <c r="B15" s="41" t="str">
        <f>IF(FS!H15="","",FS!H15)</f>
        <v/>
      </c>
      <c r="C15" s="46" t="str">
        <f t="shared" si="0"/>
        <v/>
      </c>
      <c r="F15" s="43" t="s">
        <v>30</v>
      </c>
      <c r="G15" s="44">
        <v>6</v>
      </c>
      <c r="H15" s="45">
        <v>130</v>
      </c>
    </row>
    <row r="16" spans="1:8" x14ac:dyDescent="0.25">
      <c r="A16" s="41" t="str">
        <f>IF(FS!A16="","",FS!A16)</f>
        <v/>
      </c>
      <c r="B16" s="41" t="str">
        <f>IF(FS!H16="","",FS!H16)</f>
        <v/>
      </c>
      <c r="C16" s="46" t="str">
        <f t="shared" si="0"/>
        <v/>
      </c>
      <c r="F16" s="43" t="s">
        <v>31</v>
      </c>
      <c r="G16" s="44">
        <v>11</v>
      </c>
      <c r="H16" s="45">
        <v>90</v>
      </c>
    </row>
    <row r="17" spans="1:8" x14ac:dyDescent="0.25">
      <c r="A17" s="41" t="str">
        <f>IF(FS!A17="","",FS!A17)</f>
        <v/>
      </c>
      <c r="B17" s="41" t="str">
        <f>IF(FS!H17="","",FS!H17)</f>
        <v/>
      </c>
      <c r="C17" s="46" t="str">
        <f t="shared" si="0"/>
        <v/>
      </c>
      <c r="F17" s="43" t="s">
        <v>32</v>
      </c>
      <c r="G17" s="44">
        <v>16</v>
      </c>
      <c r="H17" s="45">
        <v>50</v>
      </c>
    </row>
    <row r="18" spans="1:8" x14ac:dyDescent="0.25">
      <c r="A18" s="41" t="str">
        <f>IF(FS!A18="","",FS!A18)</f>
        <v/>
      </c>
      <c r="B18" s="41" t="str">
        <f>IF(FS!H18="","",FS!H18)</f>
        <v/>
      </c>
      <c r="C18" s="46" t="str">
        <f t="shared" si="0"/>
        <v/>
      </c>
      <c r="F18" s="43" t="s">
        <v>33</v>
      </c>
      <c r="G18" s="44">
        <v>21</v>
      </c>
      <c r="H18" s="45">
        <v>20</v>
      </c>
    </row>
    <row r="19" spans="1:8" x14ac:dyDescent="0.25">
      <c r="A19" s="41" t="str">
        <f>IF(FS!A19="","",FS!A19)</f>
        <v/>
      </c>
      <c r="B19" s="41" t="str">
        <f>IF(FS!H19="","",FS!H19)</f>
        <v/>
      </c>
      <c r="C19" s="46" t="str">
        <f t="shared" si="0"/>
        <v/>
      </c>
      <c r="F19" s="43" t="s">
        <v>28</v>
      </c>
      <c r="G19" s="44">
        <v>26</v>
      </c>
      <c r="H19" s="45">
        <v>0</v>
      </c>
    </row>
    <row r="20" spans="1:8" x14ac:dyDescent="0.25">
      <c r="A20" s="41" t="str">
        <f>IF(FS!A20="","",FS!A20)</f>
        <v/>
      </c>
      <c r="B20" s="41" t="str">
        <f>IF(FS!H20="","",FS!H20)</f>
        <v/>
      </c>
      <c r="C20" s="46" t="str">
        <f t="shared" si="0"/>
        <v/>
      </c>
    </row>
    <row r="21" spans="1:8" x14ac:dyDescent="0.25">
      <c r="A21" s="41" t="str">
        <f>IF(FS!A21="","",FS!A21)</f>
        <v/>
      </c>
      <c r="B21" s="41" t="str">
        <f>IF(FS!H21="","",FS!H21)</f>
        <v/>
      </c>
      <c r="C21" s="46" t="str">
        <f t="shared" si="0"/>
        <v/>
      </c>
    </row>
    <row r="22" spans="1:8" x14ac:dyDescent="0.25">
      <c r="A22" s="41" t="str">
        <f>IF(FS!A22="","",FS!A22)</f>
        <v/>
      </c>
      <c r="B22" s="41" t="str">
        <f>IF(FS!H22="","",FS!H22)</f>
        <v/>
      </c>
      <c r="C22" s="46" t="str">
        <f t="shared" si="0"/>
        <v/>
      </c>
    </row>
    <row r="23" spans="1:8" x14ac:dyDescent="0.25">
      <c r="A23" s="41" t="str">
        <f>IF(FS!A23="","",FS!A23)</f>
        <v/>
      </c>
      <c r="B23" s="41" t="str">
        <f>IF(FS!H23="","",FS!H23)</f>
        <v/>
      </c>
      <c r="C23" s="46" t="str">
        <f t="shared" si="0"/>
        <v/>
      </c>
    </row>
    <row r="24" spans="1:8" x14ac:dyDescent="0.25">
      <c r="A24" s="41" t="str">
        <f>IF(FS!A24="","",FS!A24)</f>
        <v/>
      </c>
      <c r="B24" s="41" t="str">
        <f>IF(FS!H24="","",FS!H24)</f>
        <v/>
      </c>
      <c r="C24" s="46" t="str">
        <f t="shared" si="0"/>
        <v/>
      </c>
    </row>
    <row r="25" spans="1:8" x14ac:dyDescent="0.25">
      <c r="A25" s="41" t="str">
        <f>IF(FS!A25="","",FS!A25)</f>
        <v/>
      </c>
      <c r="B25" s="41" t="str">
        <f>IF(FS!H25="","",FS!H25)</f>
        <v/>
      </c>
      <c r="C25" s="46" t="str">
        <f t="shared" si="0"/>
        <v/>
      </c>
    </row>
    <row r="26" spans="1:8" x14ac:dyDescent="0.25">
      <c r="A26" s="41" t="str">
        <f>IF(FS!A26="","",FS!A26)</f>
        <v/>
      </c>
      <c r="B26" s="41" t="str">
        <f>IF(FS!H26="","",FS!H26)</f>
        <v/>
      </c>
      <c r="C26" s="46" t="str">
        <f t="shared" si="0"/>
        <v/>
      </c>
    </row>
    <row r="27" spans="1:8" x14ac:dyDescent="0.25">
      <c r="A27" s="41" t="str">
        <f>IF(FS!A27="","",FS!A27)</f>
        <v/>
      </c>
      <c r="B27" s="41" t="str">
        <f>IF(FS!H27="","",FS!H27)</f>
        <v/>
      </c>
      <c r="C27" s="46" t="str">
        <f t="shared" si="0"/>
        <v/>
      </c>
    </row>
    <row r="28" spans="1:8" x14ac:dyDescent="0.25">
      <c r="A28" s="41" t="str">
        <f>IF(FS!A28="","",FS!A28)</f>
        <v/>
      </c>
      <c r="B28" s="41" t="str">
        <f>IF(FS!H28="","",FS!H28)</f>
        <v/>
      </c>
      <c r="C28" s="46" t="str">
        <f t="shared" si="0"/>
        <v/>
      </c>
    </row>
    <row r="29" spans="1:8" x14ac:dyDescent="0.25">
      <c r="A29" s="41" t="str">
        <f>IF(FS!A29="","",FS!A29)</f>
        <v/>
      </c>
      <c r="B29" s="41" t="str">
        <f>IF(FS!H29="","",FS!H29)</f>
        <v/>
      </c>
      <c r="C29" s="46" t="str">
        <f t="shared" si="0"/>
        <v/>
      </c>
    </row>
    <row r="30" spans="1:8" x14ac:dyDescent="0.25">
      <c r="A30" s="41" t="str">
        <f>IF(FS!A30="","",FS!A30)</f>
        <v/>
      </c>
      <c r="B30" s="41" t="str">
        <f>IF(FS!H30="","",FS!H30)</f>
        <v/>
      </c>
      <c r="C30" s="46" t="str">
        <f t="shared" si="0"/>
        <v/>
      </c>
    </row>
    <row r="31" spans="1:8" x14ac:dyDescent="0.25">
      <c r="A31" s="41" t="str">
        <f>IF(FS!A31="","",FS!A31)</f>
        <v/>
      </c>
      <c r="B31" s="41" t="str">
        <f>IF(FS!H31="","",FS!H31)</f>
        <v/>
      </c>
      <c r="C31" s="46" t="str">
        <f t="shared" si="0"/>
        <v/>
      </c>
    </row>
    <row r="32" spans="1:8" x14ac:dyDescent="0.25">
      <c r="A32" s="41" t="str">
        <f>IF(FS!A32="","",FS!A32)</f>
        <v/>
      </c>
      <c r="B32" s="41" t="str">
        <f>IF(FS!H32="","",FS!H32)</f>
        <v/>
      </c>
      <c r="C32" s="46" t="str">
        <f t="shared" si="0"/>
        <v/>
      </c>
    </row>
    <row r="33" spans="1:3" x14ac:dyDescent="0.25">
      <c r="A33" s="41" t="str">
        <f>IF(FS!A33="","",FS!A33)</f>
        <v/>
      </c>
      <c r="B33" s="41" t="str">
        <f>IF(FS!H33="","",FS!H33)</f>
        <v/>
      </c>
      <c r="C33" s="46" t="str">
        <f t="shared" si="0"/>
        <v/>
      </c>
    </row>
    <row r="34" spans="1:3" x14ac:dyDescent="0.25">
      <c r="A34" s="41" t="str">
        <f>IF(FS!A34="","",FS!A34)</f>
        <v/>
      </c>
      <c r="B34" s="41" t="str">
        <f>IF(FS!H34="","",FS!H34)</f>
        <v/>
      </c>
      <c r="C34" s="46" t="str">
        <f t="shared" si="0"/>
        <v/>
      </c>
    </row>
    <row r="35" spans="1:3" x14ac:dyDescent="0.25">
      <c r="A35" s="41" t="str">
        <f>IF(FS!A35="","",FS!A35)</f>
        <v/>
      </c>
      <c r="B35" s="41" t="str">
        <f>IF(FS!H35="","",FS!H35)</f>
        <v/>
      </c>
      <c r="C35" s="46" t="str">
        <f t="shared" si="0"/>
        <v/>
      </c>
    </row>
    <row r="36" spans="1:3" x14ac:dyDescent="0.25">
      <c r="A36" s="41" t="str">
        <f>IF(FS!A36="","",FS!A36)</f>
        <v/>
      </c>
      <c r="B36" s="41" t="str">
        <f>IF(FS!H36="","",FS!H36)</f>
        <v/>
      </c>
      <c r="C36" s="46" t="str">
        <f t="shared" si="0"/>
        <v/>
      </c>
    </row>
    <row r="37" spans="1:3" x14ac:dyDescent="0.25">
      <c r="A37" s="41" t="str">
        <f>IF(FS!A37="","",FS!A37)</f>
        <v/>
      </c>
      <c r="B37" s="41" t="str">
        <f>IF(FS!H37="","",FS!H37)</f>
        <v/>
      </c>
      <c r="C37" s="46" t="str">
        <f t="shared" si="0"/>
        <v/>
      </c>
    </row>
    <row r="38" spans="1:3" x14ac:dyDescent="0.25">
      <c r="A38" s="41" t="str">
        <f>IF(FS!A38="","",FS!A38)</f>
        <v/>
      </c>
      <c r="B38" s="41" t="str">
        <f>IF(FS!H38="","",FS!H38)</f>
        <v/>
      </c>
      <c r="C38" s="46" t="str">
        <f t="shared" si="0"/>
        <v/>
      </c>
    </row>
    <row r="39" spans="1:3" x14ac:dyDescent="0.25">
      <c r="A39" s="41" t="str">
        <f>IF(FS!A39="","",FS!A39)</f>
        <v/>
      </c>
      <c r="B39" s="41" t="str">
        <f>IF(FS!H39="","",FS!H39)</f>
        <v/>
      </c>
      <c r="C39" s="46" t="str">
        <f t="shared" si="0"/>
        <v/>
      </c>
    </row>
    <row r="40" spans="1:3" x14ac:dyDescent="0.25">
      <c r="A40" s="41" t="str">
        <f>IF(FS!A40="","",FS!A40)</f>
        <v/>
      </c>
      <c r="B40" s="41" t="str">
        <f>IF(FS!H40="","",FS!H40)</f>
        <v/>
      </c>
      <c r="C40" s="46" t="str">
        <f t="shared" si="0"/>
        <v/>
      </c>
    </row>
    <row r="41" spans="1:3" x14ac:dyDescent="0.25">
      <c r="A41" s="41" t="str">
        <f>IF(FS!A41="","",FS!A41)</f>
        <v/>
      </c>
      <c r="B41" s="41" t="str">
        <f>IF(FS!H41="","",FS!H41)</f>
        <v/>
      </c>
      <c r="C41" s="46" t="str">
        <f t="shared" si="0"/>
        <v/>
      </c>
    </row>
    <row r="42" spans="1:3" x14ac:dyDescent="0.25">
      <c r="A42" s="41" t="str">
        <f>IF(FS!A42="","",FS!A42)</f>
        <v/>
      </c>
      <c r="B42" s="41" t="str">
        <f>IF(FS!H42="","",FS!H42)</f>
        <v/>
      </c>
      <c r="C42" s="46" t="str">
        <f t="shared" si="0"/>
        <v/>
      </c>
    </row>
    <row r="43" spans="1:3" x14ac:dyDescent="0.25">
      <c r="A43" s="41" t="str">
        <f>IF(FS!A43="","",FS!A43)</f>
        <v/>
      </c>
      <c r="B43" s="41" t="str">
        <f>IF(FS!H43="","",FS!H43)</f>
        <v/>
      </c>
      <c r="C43" s="46" t="str">
        <f t="shared" si="0"/>
        <v/>
      </c>
    </row>
    <row r="44" spans="1:3" x14ac:dyDescent="0.25">
      <c r="A44" s="41" t="str">
        <f>IF(FS!A44="","",FS!A44)</f>
        <v/>
      </c>
      <c r="B44" s="41" t="str">
        <f>IF(FS!H44="","",FS!H44)</f>
        <v/>
      </c>
      <c r="C44" s="46" t="str">
        <f t="shared" si="0"/>
        <v/>
      </c>
    </row>
    <row r="45" spans="1:3" x14ac:dyDescent="0.25">
      <c r="A45" s="41" t="str">
        <f>IF(FS!A45="","",FS!A45)</f>
        <v/>
      </c>
      <c r="B45" s="41" t="str">
        <f>IF(FS!H45="","",FS!H45)</f>
        <v/>
      </c>
      <c r="C45" s="46" t="str">
        <f t="shared" ref="C45:C56" si="1">IF(B45="","",INDEX($G$14:$H$19,MATCH(B45,$G$14:$G$19,1),2))</f>
        <v/>
      </c>
    </row>
    <row r="46" spans="1:3" x14ac:dyDescent="0.25">
      <c r="A46" s="41" t="str">
        <f>IF(FS!A46="","",FS!A46)</f>
        <v/>
      </c>
      <c r="B46" s="41" t="str">
        <f>IF(FS!H46="","",FS!H46)</f>
        <v/>
      </c>
      <c r="C46" s="46" t="str">
        <f t="shared" si="1"/>
        <v/>
      </c>
    </row>
    <row r="47" spans="1:3" x14ac:dyDescent="0.25">
      <c r="A47" s="41" t="str">
        <f>IF(FS!A47="","",FS!A47)</f>
        <v/>
      </c>
      <c r="B47" s="41" t="str">
        <f>IF(FS!H47="","",FS!H47)</f>
        <v/>
      </c>
      <c r="C47" s="46" t="str">
        <f t="shared" si="1"/>
        <v/>
      </c>
    </row>
    <row r="48" spans="1:3" x14ac:dyDescent="0.25">
      <c r="A48" s="41" t="str">
        <f>IF(FS!A48="","",FS!A48)</f>
        <v/>
      </c>
      <c r="B48" s="41" t="str">
        <f>IF(FS!H48="","",FS!H48)</f>
        <v/>
      </c>
      <c r="C48" s="46" t="str">
        <f t="shared" si="1"/>
        <v/>
      </c>
    </row>
    <row r="49" spans="1:3" x14ac:dyDescent="0.25">
      <c r="A49" s="41" t="str">
        <f>IF(FS!A49="","",FS!A49)</f>
        <v/>
      </c>
      <c r="B49" s="41" t="str">
        <f>IF(FS!H49="","",FS!H49)</f>
        <v/>
      </c>
      <c r="C49" s="46" t="str">
        <f t="shared" si="1"/>
        <v/>
      </c>
    </row>
    <row r="50" spans="1:3" x14ac:dyDescent="0.25">
      <c r="A50" s="41" t="str">
        <f>IF(FS!A50="","",FS!A50)</f>
        <v/>
      </c>
      <c r="B50" s="41" t="str">
        <f>IF(FS!H50="","",FS!H50)</f>
        <v/>
      </c>
      <c r="C50" s="46" t="str">
        <f t="shared" si="1"/>
        <v/>
      </c>
    </row>
    <row r="51" spans="1:3" x14ac:dyDescent="0.25">
      <c r="A51" s="41" t="str">
        <f>IF(FS!A51="","",FS!A51)</f>
        <v/>
      </c>
      <c r="B51" s="41" t="str">
        <f>IF(FS!H51="","",FS!H51)</f>
        <v/>
      </c>
      <c r="C51" s="46" t="str">
        <f t="shared" si="1"/>
        <v/>
      </c>
    </row>
    <row r="52" spans="1:3" x14ac:dyDescent="0.25">
      <c r="A52" s="41" t="str">
        <f>IF(FS!A52="","",FS!A52)</f>
        <v>R-</v>
      </c>
      <c r="B52" s="41" t="str">
        <f>IF(FS!H52="","",FS!H52)</f>
        <v/>
      </c>
      <c r="C52" s="46" t="str">
        <f t="shared" si="1"/>
        <v/>
      </c>
    </row>
    <row r="53" spans="1:3" x14ac:dyDescent="0.25">
      <c r="A53" s="41" t="str">
        <f>IF(FS!A53="","",FS!A53)</f>
        <v>R-</v>
      </c>
      <c r="B53" s="41" t="str">
        <f>IF(FS!H53="","",FS!H53)</f>
        <v/>
      </c>
      <c r="C53" s="46" t="str">
        <f t="shared" si="1"/>
        <v/>
      </c>
    </row>
    <row r="54" spans="1:3" x14ac:dyDescent="0.25">
      <c r="A54" s="41" t="str">
        <f>IF(FS!A54="","",FS!A54)</f>
        <v>R-</v>
      </c>
      <c r="B54" s="41" t="str">
        <f>IF(FS!H54="","",FS!H54)</f>
        <v/>
      </c>
      <c r="C54" s="46" t="str">
        <f t="shared" si="1"/>
        <v/>
      </c>
    </row>
    <row r="55" spans="1:3" x14ac:dyDescent="0.25">
      <c r="A55" s="41" t="str">
        <f>IF(FS!A55="","",FS!A55)</f>
        <v>R-</v>
      </c>
      <c r="B55" s="41" t="str">
        <f>IF(FS!H55="","",FS!H55)</f>
        <v/>
      </c>
      <c r="C55" s="46" t="str">
        <f t="shared" si="1"/>
        <v/>
      </c>
    </row>
    <row r="56" spans="1:3" x14ac:dyDescent="0.25">
      <c r="A56" s="41" t="str">
        <f>IF(FS!A56="","",FS!A56)</f>
        <v>R-</v>
      </c>
      <c r="B56" s="41" t="str">
        <f>IF(FS!H56="","",FS!H56)</f>
        <v/>
      </c>
      <c r="C56" s="46" t="str">
        <f t="shared" si="1"/>
        <v/>
      </c>
    </row>
  </sheetData>
  <sheetProtection password="D1D1" sheet="1" objects="1" scenarios="1"/>
  <pageMargins left="0.7" right="0.7" top="0.75" bottom="0.75" header="0.3" footer="0.3"/>
  <pageSetup paperSize="9" orientation="portrait" r:id="rId1"/>
  <ignoredErrors>
    <ignoredError sqref="F16" twoDigitTextYear="1"/>
  </ignoredErrors>
</worksheet>
</file>

<file path=customUI/_rels/customUI14.xml.rels><?xml version="1.0" encoding="UTF-8" standalone="yes"?>
<Relationships xmlns="http://schemas.openxmlformats.org/package/2006/relationships"><Relationship Id="SMART" Type="http://schemas.openxmlformats.org/officeDocument/2006/relationships/image" Target="images/SMART.png"/><Relationship Id="humedad" Type="http://schemas.openxmlformats.org/officeDocument/2006/relationships/image" Target="images/humedad.png"/></Relationships>
</file>

<file path=customUI/customUI14.xml><?xml version="1.0" encoding="utf-8"?>
<customUI xmlns="http://schemas.microsoft.com/office/2009/07/customui">
  <ribbon>
    <tabs>
      <tab id="Fosforo_Olsen" label="Fósforo Olsen" insertBeforeMso="TabHome">
        <group id="customGroup3" label="Conectar y Desconectar">
          <button id="Conectar" label="Conectar" size="large" imageMso="AcceptInvitation" onAction="Modulo5.Conectar"/>
          <button id="Reset" label="Desconectar" size="large" imageMso="PrintPreviewClose" onAction="Modulo5.Terminar_Click"/>
        </group>
        <group id="customGroup7" label="Capturar OT">
          <button id="ListadoOT" label="Capturar OT" size="large" imageMso="CreateReport" onAction="Modulo5.ListadoOT_Click"/>
        </group>
        <group id="customGroup" label="Capturar Factores de Corrección">
          <button id="CapturarFC" label="Capturar FC" size="large" image="humedad" onAction="Modulo5.importarFC_Click"/>
        </group>
        <group id="customGroup1" label="Capturar SmartChem 200">
          <button id="CapturarSMART" label="Capturar SmartChem 200" size="large" image="SMART" onAction="Modulo5.importar_Click"/>
        </group>
        <group id="customGroup5" label="Generar Listado">
          <button id="ListadoMuestras" label="Generar Listado" size="large" imageMso="CreateReport" onAction="Modulo5.ListadoMuestras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FS</vt:lpstr>
      <vt:lpstr>Datos</vt:lpstr>
      <vt:lpstr>NecesidadesPOLSEN</vt:lpstr>
      <vt:lpstr>FS!Área_de_impresión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ms1</dc:creator>
  <cp:keywords>IT-15.21.09</cp:keywords>
  <cp:lastModifiedBy>ms1</cp:lastModifiedBy>
  <cp:lastPrinted>2020-10-22T10:04:40Z</cp:lastPrinted>
  <dcterms:created xsi:type="dcterms:W3CDTF">2010-01-18T16:18:30Z</dcterms:created>
  <dcterms:modified xsi:type="dcterms:W3CDTF">2021-03-22T08:47:31Z</dcterms:modified>
</cp:coreProperties>
</file>