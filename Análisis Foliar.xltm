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5b096bddac042e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0.52.103.235\Medios de la Produccion\Suelos\Métodos de cálculos\"/>
    </mc:Choice>
  </mc:AlternateContent>
  <xr:revisionPtr revIDLastSave="0" documentId="8_{2B087128-2673-4F44-982A-0D2A8F0403B0}" xr6:coauthVersionLast="36" xr6:coauthVersionMax="36" xr10:uidLastSave="{00000000-0000-0000-0000-000000000000}"/>
  <bookViews>
    <workbookView xWindow="0" yWindow="0" windowWidth="28800" windowHeight="12225" tabRatio="537" xr2:uid="{00000000-000D-0000-FFFF-FFFF00000000}"/>
  </bookViews>
  <sheets>
    <sheet name="Humedad" sheetId="12" r:id="rId1"/>
    <sheet name="LECON" sheetId="13" r:id="rId2"/>
    <sheet name="MACROMICROELEMENTOS" sheetId="10" r:id="rId3"/>
    <sheet name="Datos" sheetId="5" r:id="rId4"/>
    <sheet name="LECOC" sheetId="15" r:id="rId5"/>
  </sheets>
  <functionGroups builtInGroupCount="19"/>
  <definedNames>
    <definedName name="_xlnm.Print_Area" localSheetId="0">Humedad!$A$1:$K$37</definedName>
    <definedName name="_xlnm.Print_Area" localSheetId="4">LECOC!$A$1:$R$43</definedName>
    <definedName name="_xlnm.Print_Area" localSheetId="1">LECON!$A$1:$R$43</definedName>
    <definedName name="_xlnm.Print_Area" localSheetId="2">MACROMICROELEMENTOS!$A$1:$CO$43</definedName>
    <definedName name="_xlnm.Print_Titles" localSheetId="2">MACROMICROELEMENTOS!$A:$A,MACROMICROELEMENTOS!$1:$1</definedName>
  </definedNames>
  <calcPr calcId="191029"/>
</workbook>
</file>

<file path=xl/calcChain.xml><?xml version="1.0" encoding="utf-8"?>
<calcChain xmlns="http://schemas.openxmlformats.org/spreadsheetml/2006/main">
  <c r="P3" i="15" l="1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2" i="15"/>
  <c r="K2" i="15"/>
  <c r="L2" i="15"/>
  <c r="M2" i="15"/>
  <c r="I3" i="15"/>
  <c r="J3" i="15"/>
  <c r="I4" i="15"/>
  <c r="J4" i="15"/>
  <c r="I5" i="15"/>
  <c r="J5" i="15"/>
  <c r="I6" i="15"/>
  <c r="J6" i="15"/>
  <c r="I7" i="15"/>
  <c r="J7" i="15"/>
  <c r="I8" i="15"/>
  <c r="J8" i="15"/>
  <c r="I9" i="15"/>
  <c r="J9" i="15"/>
  <c r="I10" i="15"/>
  <c r="J10" i="15"/>
  <c r="I11" i="15"/>
  <c r="J11" i="15"/>
  <c r="I12" i="15"/>
  <c r="J12" i="15"/>
  <c r="I13" i="15"/>
  <c r="J13" i="15"/>
  <c r="I14" i="15"/>
  <c r="J14" i="15"/>
  <c r="I15" i="15"/>
  <c r="J15" i="15"/>
  <c r="I16" i="15"/>
  <c r="J16" i="15"/>
  <c r="I17" i="15"/>
  <c r="J17" i="15"/>
  <c r="I18" i="15"/>
  <c r="J18" i="15"/>
  <c r="I19" i="15"/>
  <c r="J19" i="15"/>
  <c r="I20" i="15"/>
  <c r="J20" i="15"/>
  <c r="I21" i="15"/>
  <c r="J21" i="15"/>
  <c r="I22" i="15"/>
  <c r="J22" i="15"/>
  <c r="I23" i="15"/>
  <c r="J23" i="15"/>
  <c r="I24" i="15"/>
  <c r="J24" i="15"/>
  <c r="I25" i="15"/>
  <c r="J25" i="15"/>
  <c r="I26" i="15"/>
  <c r="J26" i="15"/>
  <c r="I27" i="15"/>
  <c r="J27" i="15"/>
  <c r="I28" i="15"/>
  <c r="J28" i="15"/>
  <c r="I29" i="15"/>
  <c r="J29" i="15"/>
  <c r="I30" i="15"/>
  <c r="J30" i="15"/>
  <c r="I31" i="15"/>
  <c r="J31" i="15"/>
  <c r="I32" i="15"/>
  <c r="J32" i="15"/>
  <c r="I33" i="15"/>
  <c r="J33" i="15"/>
  <c r="I34" i="15"/>
  <c r="J34" i="15"/>
  <c r="I35" i="15"/>
  <c r="J35" i="15"/>
  <c r="I36" i="15"/>
  <c r="J36" i="15"/>
  <c r="I37" i="15"/>
  <c r="J37" i="15"/>
  <c r="I38" i="15"/>
  <c r="J38" i="15"/>
  <c r="I39" i="15"/>
  <c r="J39" i="15"/>
  <c r="I40" i="15"/>
  <c r="J40" i="15"/>
  <c r="I41" i="15"/>
  <c r="J41" i="15"/>
  <c r="I42" i="15"/>
  <c r="J42" i="15"/>
  <c r="I43" i="15"/>
  <c r="J43" i="15"/>
  <c r="I44" i="15"/>
  <c r="J44" i="15"/>
  <c r="I45" i="15"/>
  <c r="J45" i="15"/>
  <c r="I46" i="15"/>
  <c r="J46" i="15"/>
  <c r="I47" i="15"/>
  <c r="J47" i="15"/>
  <c r="I48" i="15"/>
  <c r="J48" i="15"/>
  <c r="I49" i="15"/>
  <c r="J49" i="15"/>
  <c r="I50" i="15"/>
  <c r="J50" i="15"/>
  <c r="I51" i="15"/>
  <c r="J51" i="15"/>
  <c r="I52" i="15"/>
  <c r="J52" i="15"/>
  <c r="I53" i="15"/>
  <c r="J53" i="15"/>
  <c r="I54" i="15"/>
  <c r="J54" i="15"/>
  <c r="I55" i="15"/>
  <c r="J55" i="15"/>
  <c r="I56" i="15"/>
  <c r="J56" i="15"/>
  <c r="I57" i="15"/>
  <c r="J57" i="15"/>
  <c r="I58" i="15"/>
  <c r="J58" i="15"/>
  <c r="I59" i="15"/>
  <c r="J59" i="15"/>
  <c r="I60" i="15"/>
  <c r="J60" i="15"/>
  <c r="I61" i="15"/>
  <c r="J61" i="15"/>
  <c r="I62" i="15"/>
  <c r="J62" i="15"/>
  <c r="I63" i="15"/>
  <c r="J63" i="15"/>
  <c r="I64" i="15"/>
  <c r="J64" i="15"/>
  <c r="I65" i="15"/>
  <c r="J65" i="15"/>
  <c r="I66" i="15"/>
  <c r="J66" i="15"/>
  <c r="I67" i="15"/>
  <c r="J67" i="15"/>
  <c r="I68" i="15"/>
  <c r="J68" i="15"/>
  <c r="I69" i="15"/>
  <c r="J69" i="15"/>
  <c r="I70" i="15"/>
  <c r="J70" i="15"/>
  <c r="I71" i="15"/>
  <c r="J71" i="15"/>
  <c r="I72" i="15"/>
  <c r="J72" i="15"/>
  <c r="I73" i="15"/>
  <c r="J73" i="15"/>
  <c r="I74" i="15"/>
  <c r="J74" i="15"/>
  <c r="I75" i="15"/>
  <c r="J75" i="15"/>
  <c r="I76" i="15"/>
  <c r="J76" i="15"/>
  <c r="I77" i="15"/>
  <c r="J77" i="15"/>
  <c r="I78" i="15"/>
  <c r="J78" i="15"/>
  <c r="I79" i="15"/>
  <c r="J79" i="15"/>
  <c r="I80" i="15"/>
  <c r="J80" i="15"/>
  <c r="I81" i="15"/>
  <c r="J81" i="15"/>
  <c r="I82" i="15"/>
  <c r="J82" i="15"/>
  <c r="I83" i="15"/>
  <c r="J83" i="15"/>
  <c r="I84" i="15"/>
  <c r="J84" i="15"/>
  <c r="I85" i="15"/>
  <c r="J85" i="15"/>
  <c r="I86" i="15"/>
  <c r="J86" i="15"/>
  <c r="I87" i="15"/>
  <c r="J87" i="15"/>
  <c r="I88" i="15"/>
  <c r="J88" i="15"/>
  <c r="I89" i="15"/>
  <c r="J89" i="15"/>
  <c r="I90" i="15"/>
  <c r="J90" i="15"/>
  <c r="I91" i="15"/>
  <c r="J91" i="15"/>
  <c r="I92" i="15"/>
  <c r="J92" i="15"/>
  <c r="I93" i="15"/>
  <c r="J93" i="15"/>
  <c r="I94" i="15"/>
  <c r="J94" i="15"/>
  <c r="I95" i="15"/>
  <c r="J95" i="15"/>
  <c r="I96" i="15"/>
  <c r="J96" i="15"/>
  <c r="I97" i="15"/>
  <c r="J97" i="15"/>
  <c r="I98" i="15"/>
  <c r="J98" i="15"/>
  <c r="I99" i="15"/>
  <c r="J99" i="15"/>
  <c r="I100" i="15"/>
  <c r="J100" i="15"/>
  <c r="I101" i="15"/>
  <c r="J101" i="15"/>
  <c r="I102" i="15"/>
  <c r="J102" i="15"/>
  <c r="I103" i="15"/>
  <c r="J103" i="15"/>
  <c r="I104" i="15"/>
  <c r="J104" i="15"/>
  <c r="I105" i="15"/>
  <c r="J105" i="15"/>
  <c r="I106" i="15"/>
  <c r="J106" i="15"/>
  <c r="I107" i="15"/>
  <c r="J107" i="15"/>
  <c r="I108" i="15"/>
  <c r="J108" i="15"/>
  <c r="I109" i="15"/>
  <c r="J109" i="15"/>
  <c r="I110" i="15"/>
  <c r="J110" i="15"/>
  <c r="I111" i="15"/>
  <c r="J111" i="15"/>
  <c r="I112" i="15"/>
  <c r="J112" i="15"/>
  <c r="I113" i="15"/>
  <c r="J113" i="15"/>
  <c r="I114" i="15"/>
  <c r="J114" i="15"/>
  <c r="I115" i="15"/>
  <c r="J115" i="15"/>
  <c r="I116" i="15"/>
  <c r="J116" i="15"/>
  <c r="I117" i="15"/>
  <c r="J117" i="15"/>
  <c r="I118" i="15"/>
  <c r="J118" i="15"/>
  <c r="I119" i="15"/>
  <c r="J119" i="15"/>
  <c r="I120" i="15"/>
  <c r="J120" i="15"/>
  <c r="I121" i="15"/>
  <c r="J121" i="15"/>
  <c r="I122" i="15"/>
  <c r="J122" i="15"/>
  <c r="I123" i="15"/>
  <c r="J123" i="15"/>
  <c r="I124" i="15"/>
  <c r="J124" i="15"/>
  <c r="I125" i="15"/>
  <c r="J125" i="15"/>
  <c r="I126" i="15"/>
  <c r="J126" i="15"/>
  <c r="I127" i="15"/>
  <c r="J127" i="15"/>
  <c r="I128" i="15"/>
  <c r="J128" i="15"/>
  <c r="I129" i="15"/>
  <c r="J129" i="15"/>
  <c r="I130" i="15"/>
  <c r="J130" i="15"/>
  <c r="I131" i="15"/>
  <c r="J131" i="15"/>
  <c r="I132" i="15"/>
  <c r="J132" i="15"/>
  <c r="I133" i="15"/>
  <c r="J133" i="15"/>
  <c r="I134" i="15"/>
  <c r="J134" i="15"/>
  <c r="I135" i="15"/>
  <c r="J135" i="15"/>
  <c r="I136" i="15"/>
  <c r="J136" i="15"/>
  <c r="I137" i="15"/>
  <c r="J137" i="15"/>
  <c r="I138" i="15"/>
  <c r="J138" i="15"/>
  <c r="I139" i="15"/>
  <c r="J139" i="15"/>
  <c r="I140" i="15"/>
  <c r="J140" i="15"/>
  <c r="I141" i="15"/>
  <c r="J141" i="15"/>
  <c r="I142" i="15"/>
  <c r="J142" i="15"/>
  <c r="I143" i="15"/>
  <c r="J143" i="15"/>
  <c r="I144" i="15"/>
  <c r="J144" i="15"/>
  <c r="I145" i="15"/>
  <c r="J145" i="15"/>
  <c r="I146" i="15"/>
  <c r="J146" i="15"/>
  <c r="I147" i="15"/>
  <c r="J147" i="15"/>
  <c r="I148" i="15"/>
  <c r="J148" i="15"/>
  <c r="I149" i="15"/>
  <c r="J149" i="15"/>
  <c r="I150" i="15"/>
  <c r="J150" i="15"/>
  <c r="I151" i="15"/>
  <c r="J151" i="15"/>
  <c r="I152" i="15"/>
  <c r="J152" i="15"/>
  <c r="I153" i="15"/>
  <c r="J153" i="15"/>
  <c r="I154" i="15"/>
  <c r="J154" i="15"/>
  <c r="I155" i="15"/>
  <c r="J155" i="15"/>
  <c r="I156" i="15"/>
  <c r="J156" i="15"/>
  <c r="I157" i="15"/>
  <c r="J157" i="15"/>
  <c r="I158" i="15"/>
  <c r="J158" i="15"/>
  <c r="I159" i="15"/>
  <c r="J159" i="15"/>
  <c r="I160" i="15"/>
  <c r="J160" i="15"/>
  <c r="I161" i="15"/>
  <c r="J161" i="15"/>
  <c r="I162" i="15"/>
  <c r="J162" i="15"/>
  <c r="I163" i="15"/>
  <c r="J163" i="15"/>
  <c r="I164" i="15"/>
  <c r="J164" i="15"/>
  <c r="I165" i="15"/>
  <c r="J165" i="15"/>
  <c r="I166" i="15"/>
  <c r="J166" i="15"/>
  <c r="I167" i="15"/>
  <c r="J167" i="15"/>
  <c r="I168" i="15"/>
  <c r="J168" i="15"/>
  <c r="I169" i="15"/>
  <c r="J169" i="15"/>
  <c r="I170" i="15"/>
  <c r="J170" i="15"/>
  <c r="I171" i="15"/>
  <c r="J171" i="15"/>
  <c r="I172" i="15"/>
  <c r="J172" i="15"/>
  <c r="I2" i="15"/>
  <c r="J2" i="15"/>
  <c r="B3" i="15"/>
  <c r="C3" i="15"/>
  <c r="B4" i="15"/>
  <c r="C4" i="15"/>
  <c r="B5" i="15"/>
  <c r="C5" i="15"/>
  <c r="B6" i="15"/>
  <c r="C6" i="15"/>
  <c r="B7" i="15"/>
  <c r="C7" i="15"/>
  <c r="B8" i="15"/>
  <c r="C8" i="15"/>
  <c r="B9" i="15"/>
  <c r="C9" i="15"/>
  <c r="B10" i="15"/>
  <c r="C10" i="15"/>
  <c r="B11" i="15"/>
  <c r="C11" i="15"/>
  <c r="B12" i="15"/>
  <c r="C12" i="15"/>
  <c r="B13" i="15"/>
  <c r="C13" i="15"/>
  <c r="B14" i="15"/>
  <c r="C14" i="15"/>
  <c r="B15" i="15"/>
  <c r="C15" i="15"/>
  <c r="B16" i="15"/>
  <c r="C16" i="15"/>
  <c r="B17" i="15"/>
  <c r="C17" i="15"/>
  <c r="B18" i="15"/>
  <c r="C18" i="15"/>
  <c r="B19" i="15"/>
  <c r="C19" i="15"/>
  <c r="B20" i="15"/>
  <c r="C20" i="15"/>
  <c r="B21" i="15"/>
  <c r="C21" i="15"/>
  <c r="B22" i="15"/>
  <c r="C22" i="15"/>
  <c r="B23" i="15"/>
  <c r="C23" i="15"/>
  <c r="B24" i="15"/>
  <c r="C24" i="15"/>
  <c r="B25" i="15"/>
  <c r="C25" i="15"/>
  <c r="B26" i="15"/>
  <c r="C26" i="15"/>
  <c r="B27" i="15"/>
  <c r="C27" i="15"/>
  <c r="B28" i="15"/>
  <c r="C28" i="15"/>
  <c r="B29" i="15"/>
  <c r="C29" i="15"/>
  <c r="B30" i="15"/>
  <c r="C30" i="15"/>
  <c r="B31" i="15"/>
  <c r="C31" i="15"/>
  <c r="B32" i="15"/>
  <c r="C32" i="15"/>
  <c r="B33" i="15"/>
  <c r="C33" i="15"/>
  <c r="B34" i="15"/>
  <c r="C34" i="15"/>
  <c r="B35" i="15"/>
  <c r="C35" i="15"/>
  <c r="B36" i="15"/>
  <c r="C36" i="15"/>
  <c r="B37" i="15"/>
  <c r="C37" i="15"/>
  <c r="B38" i="15"/>
  <c r="C38" i="15"/>
  <c r="B39" i="15"/>
  <c r="C39" i="15"/>
  <c r="B40" i="15"/>
  <c r="C40" i="15"/>
  <c r="B41" i="15"/>
  <c r="C41" i="15"/>
  <c r="B42" i="15"/>
  <c r="C42" i="15"/>
  <c r="B43" i="15"/>
  <c r="C43" i="15"/>
  <c r="B44" i="15"/>
  <c r="C44" i="15"/>
  <c r="B45" i="15"/>
  <c r="C45" i="15"/>
  <c r="B46" i="15"/>
  <c r="C46" i="15"/>
  <c r="B47" i="15"/>
  <c r="C47" i="15"/>
  <c r="B48" i="15"/>
  <c r="C48" i="15"/>
  <c r="B49" i="15"/>
  <c r="C49" i="15"/>
  <c r="B50" i="15"/>
  <c r="C50" i="15"/>
  <c r="B51" i="15"/>
  <c r="C51" i="15"/>
  <c r="B52" i="15"/>
  <c r="C52" i="15"/>
  <c r="B53" i="15"/>
  <c r="C53" i="15"/>
  <c r="B54" i="15"/>
  <c r="C54" i="15"/>
  <c r="B55" i="15"/>
  <c r="C55" i="15"/>
  <c r="B56" i="15"/>
  <c r="C56" i="15"/>
  <c r="B57" i="15"/>
  <c r="C57" i="15"/>
  <c r="B58" i="15"/>
  <c r="C58" i="15"/>
  <c r="B59" i="15"/>
  <c r="C59" i="15"/>
  <c r="B60" i="15"/>
  <c r="C60" i="15"/>
  <c r="B61" i="15"/>
  <c r="C61" i="15"/>
  <c r="B62" i="15"/>
  <c r="C62" i="15"/>
  <c r="B63" i="15"/>
  <c r="C63" i="15"/>
  <c r="B64" i="15"/>
  <c r="C64" i="15"/>
  <c r="B65" i="15"/>
  <c r="C65" i="15"/>
  <c r="B66" i="15"/>
  <c r="C66" i="15"/>
  <c r="B67" i="15"/>
  <c r="C67" i="15"/>
  <c r="B68" i="15"/>
  <c r="C68" i="15"/>
  <c r="B69" i="15"/>
  <c r="C69" i="15"/>
  <c r="B70" i="15"/>
  <c r="C70" i="15"/>
  <c r="B71" i="15"/>
  <c r="C71" i="15"/>
  <c r="B72" i="15"/>
  <c r="C72" i="15"/>
  <c r="B73" i="15"/>
  <c r="C73" i="15"/>
  <c r="B74" i="15"/>
  <c r="C74" i="15"/>
  <c r="B75" i="15"/>
  <c r="C75" i="15"/>
  <c r="B76" i="15"/>
  <c r="C76" i="15"/>
  <c r="B77" i="15"/>
  <c r="C77" i="15"/>
  <c r="B78" i="15"/>
  <c r="C78" i="15"/>
  <c r="B79" i="15"/>
  <c r="C79" i="15"/>
  <c r="B80" i="15"/>
  <c r="C80" i="15"/>
  <c r="B81" i="15"/>
  <c r="C81" i="15"/>
  <c r="B82" i="15"/>
  <c r="C82" i="15"/>
  <c r="B83" i="15"/>
  <c r="C83" i="15"/>
  <c r="B84" i="15"/>
  <c r="C84" i="15"/>
  <c r="B85" i="15"/>
  <c r="C85" i="15"/>
  <c r="B86" i="15"/>
  <c r="C86" i="15"/>
  <c r="B87" i="15"/>
  <c r="C87" i="15"/>
  <c r="B88" i="15"/>
  <c r="C88" i="15"/>
  <c r="B89" i="15"/>
  <c r="C89" i="15"/>
  <c r="B90" i="15"/>
  <c r="C90" i="15"/>
  <c r="B91" i="15"/>
  <c r="C91" i="15"/>
  <c r="B92" i="15"/>
  <c r="C92" i="15"/>
  <c r="B93" i="15"/>
  <c r="C93" i="15"/>
  <c r="B94" i="15"/>
  <c r="C94" i="15"/>
  <c r="B95" i="15"/>
  <c r="C95" i="15"/>
  <c r="B96" i="15"/>
  <c r="C96" i="15"/>
  <c r="B97" i="15"/>
  <c r="C97" i="15"/>
  <c r="B98" i="15"/>
  <c r="C98" i="15"/>
  <c r="B99" i="15"/>
  <c r="C99" i="15"/>
  <c r="B100" i="15"/>
  <c r="C100" i="15"/>
  <c r="B101" i="15"/>
  <c r="C101" i="15"/>
  <c r="B102" i="15"/>
  <c r="C102" i="15"/>
  <c r="B103" i="15"/>
  <c r="C103" i="15"/>
  <c r="B104" i="15"/>
  <c r="C104" i="15"/>
  <c r="B105" i="15"/>
  <c r="C105" i="15"/>
  <c r="B106" i="15"/>
  <c r="C106" i="15"/>
  <c r="B107" i="15"/>
  <c r="C107" i="15"/>
  <c r="B108" i="15"/>
  <c r="C108" i="15"/>
  <c r="B109" i="15"/>
  <c r="C109" i="15"/>
  <c r="B110" i="15"/>
  <c r="C110" i="15"/>
  <c r="B111" i="15"/>
  <c r="C111" i="15"/>
  <c r="B112" i="15"/>
  <c r="C112" i="15"/>
  <c r="B113" i="15"/>
  <c r="C113" i="15"/>
  <c r="B114" i="15"/>
  <c r="C114" i="15"/>
  <c r="B115" i="15"/>
  <c r="C115" i="15"/>
  <c r="B116" i="15"/>
  <c r="C116" i="15"/>
  <c r="B117" i="15"/>
  <c r="C117" i="15"/>
  <c r="B118" i="15"/>
  <c r="C118" i="15"/>
  <c r="B119" i="15"/>
  <c r="C119" i="15"/>
  <c r="B120" i="15"/>
  <c r="C120" i="15"/>
  <c r="B121" i="15"/>
  <c r="C121" i="15"/>
  <c r="B122" i="15"/>
  <c r="C122" i="15"/>
  <c r="B123" i="15"/>
  <c r="C123" i="15"/>
  <c r="B124" i="15"/>
  <c r="C124" i="15"/>
  <c r="B125" i="15"/>
  <c r="C125" i="15"/>
  <c r="B126" i="15"/>
  <c r="C126" i="15"/>
  <c r="B127" i="15"/>
  <c r="C127" i="15"/>
  <c r="B128" i="15"/>
  <c r="C128" i="15"/>
  <c r="B129" i="15"/>
  <c r="C129" i="15"/>
  <c r="B130" i="15"/>
  <c r="C130" i="15"/>
  <c r="B131" i="15"/>
  <c r="C131" i="15"/>
  <c r="B132" i="15"/>
  <c r="C132" i="15"/>
  <c r="B133" i="15"/>
  <c r="C133" i="15"/>
  <c r="B134" i="15"/>
  <c r="C134" i="15"/>
  <c r="B135" i="15"/>
  <c r="C135" i="15"/>
  <c r="B136" i="15"/>
  <c r="C136" i="15"/>
  <c r="B137" i="15"/>
  <c r="C137" i="15"/>
  <c r="B138" i="15"/>
  <c r="C138" i="15"/>
  <c r="B139" i="15"/>
  <c r="C139" i="15"/>
  <c r="B140" i="15"/>
  <c r="C140" i="15"/>
  <c r="B141" i="15"/>
  <c r="C141" i="15"/>
  <c r="B142" i="15"/>
  <c r="C142" i="15"/>
  <c r="B143" i="15"/>
  <c r="C143" i="15"/>
  <c r="B144" i="15"/>
  <c r="C144" i="15"/>
  <c r="B145" i="15"/>
  <c r="C145" i="15"/>
  <c r="B146" i="15"/>
  <c r="C146" i="15"/>
  <c r="B147" i="15"/>
  <c r="C147" i="15"/>
  <c r="B148" i="15"/>
  <c r="C148" i="15"/>
  <c r="B149" i="15"/>
  <c r="C149" i="15"/>
  <c r="B150" i="15"/>
  <c r="C150" i="15"/>
  <c r="B151" i="15"/>
  <c r="C151" i="15"/>
  <c r="B152" i="15"/>
  <c r="C152" i="15"/>
  <c r="B153" i="15"/>
  <c r="C153" i="15"/>
  <c r="B154" i="15"/>
  <c r="C154" i="15"/>
  <c r="B155" i="15"/>
  <c r="C155" i="15"/>
  <c r="B156" i="15"/>
  <c r="C156" i="15"/>
  <c r="B157" i="15"/>
  <c r="C157" i="15"/>
  <c r="B158" i="15"/>
  <c r="C158" i="15"/>
  <c r="B159" i="15"/>
  <c r="C159" i="15"/>
  <c r="B160" i="15"/>
  <c r="C160" i="15"/>
  <c r="B161" i="15"/>
  <c r="C161" i="15"/>
  <c r="B162" i="15"/>
  <c r="C162" i="15"/>
  <c r="B163" i="15"/>
  <c r="C163" i="15"/>
  <c r="B164" i="15"/>
  <c r="C164" i="15"/>
  <c r="B165" i="15"/>
  <c r="C165" i="15"/>
  <c r="B166" i="15"/>
  <c r="C166" i="15"/>
  <c r="B167" i="15"/>
  <c r="C167" i="15"/>
  <c r="B168" i="15"/>
  <c r="C168" i="15"/>
  <c r="B169" i="15"/>
  <c r="C169" i="15"/>
  <c r="B170" i="15"/>
  <c r="C170" i="15"/>
  <c r="B171" i="15"/>
  <c r="C171" i="15"/>
  <c r="B172" i="15"/>
  <c r="C172" i="15"/>
  <c r="B2" i="15"/>
  <c r="C2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2" i="15"/>
  <c r="B37" i="12" l="1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O172" i="13" l="1"/>
  <c r="O172" i="15" s="1"/>
  <c r="N172" i="13"/>
  <c r="N172" i="15" s="1"/>
  <c r="H172" i="13"/>
  <c r="H172" i="15" s="1"/>
  <c r="G172" i="13"/>
  <c r="O171" i="13"/>
  <c r="O171" i="15" s="1"/>
  <c r="N171" i="13"/>
  <c r="N171" i="15" s="1"/>
  <c r="H171" i="13"/>
  <c r="H171" i="15" s="1"/>
  <c r="G171" i="13"/>
  <c r="O170" i="13"/>
  <c r="O170" i="15" s="1"/>
  <c r="N170" i="13"/>
  <c r="N170" i="15" s="1"/>
  <c r="H170" i="13"/>
  <c r="H170" i="15" s="1"/>
  <c r="G170" i="13"/>
  <c r="O169" i="13"/>
  <c r="O169" i="15" s="1"/>
  <c r="N169" i="13"/>
  <c r="N169" i="15" s="1"/>
  <c r="H169" i="13"/>
  <c r="H169" i="15" s="1"/>
  <c r="G169" i="13"/>
  <c r="O168" i="13"/>
  <c r="O168" i="15" s="1"/>
  <c r="N168" i="13"/>
  <c r="N168" i="15" s="1"/>
  <c r="H168" i="13"/>
  <c r="H168" i="15" s="1"/>
  <c r="G168" i="13"/>
  <c r="G168" i="15" s="1"/>
  <c r="O167" i="13"/>
  <c r="O167" i="15" s="1"/>
  <c r="N167" i="13"/>
  <c r="N167" i="15" s="1"/>
  <c r="H167" i="13"/>
  <c r="H167" i="15" s="1"/>
  <c r="G167" i="13"/>
  <c r="O166" i="13"/>
  <c r="O166" i="15" s="1"/>
  <c r="N166" i="13"/>
  <c r="N166" i="15" s="1"/>
  <c r="H166" i="13"/>
  <c r="H166" i="15" s="1"/>
  <c r="G166" i="13"/>
  <c r="O165" i="13"/>
  <c r="O165" i="15" s="1"/>
  <c r="N165" i="13"/>
  <c r="N165" i="15" s="1"/>
  <c r="H165" i="13"/>
  <c r="H165" i="15" s="1"/>
  <c r="G165" i="13"/>
  <c r="O164" i="13"/>
  <c r="O164" i="15" s="1"/>
  <c r="N164" i="13"/>
  <c r="N164" i="15" s="1"/>
  <c r="H164" i="13"/>
  <c r="H164" i="15" s="1"/>
  <c r="G164" i="13"/>
  <c r="G164" i="15" s="1"/>
  <c r="O163" i="13"/>
  <c r="O163" i="15" s="1"/>
  <c r="N163" i="13"/>
  <c r="N163" i="15" s="1"/>
  <c r="H163" i="13"/>
  <c r="H163" i="15" s="1"/>
  <c r="G163" i="13"/>
  <c r="G163" i="15" s="1"/>
  <c r="O162" i="13"/>
  <c r="O162" i="15" s="1"/>
  <c r="N162" i="13"/>
  <c r="N162" i="15" s="1"/>
  <c r="H162" i="13"/>
  <c r="H162" i="15" s="1"/>
  <c r="G162" i="13"/>
  <c r="O161" i="13"/>
  <c r="O161" i="15" s="1"/>
  <c r="N161" i="13"/>
  <c r="N161" i="15" s="1"/>
  <c r="H161" i="13"/>
  <c r="H161" i="15" s="1"/>
  <c r="G161" i="13"/>
  <c r="O160" i="13"/>
  <c r="O160" i="15" s="1"/>
  <c r="N160" i="13"/>
  <c r="N160" i="15" s="1"/>
  <c r="H160" i="13"/>
  <c r="H160" i="15" s="1"/>
  <c r="G160" i="13"/>
  <c r="O159" i="13"/>
  <c r="O159" i="15" s="1"/>
  <c r="N159" i="13"/>
  <c r="N159" i="15" s="1"/>
  <c r="H159" i="13"/>
  <c r="H159" i="15" s="1"/>
  <c r="G159" i="13"/>
  <c r="O158" i="13"/>
  <c r="O158" i="15" s="1"/>
  <c r="N158" i="13"/>
  <c r="N158" i="15" s="1"/>
  <c r="H158" i="13"/>
  <c r="H158" i="15" s="1"/>
  <c r="G158" i="13"/>
  <c r="O157" i="13"/>
  <c r="O157" i="15" s="1"/>
  <c r="N157" i="13"/>
  <c r="N157" i="15" s="1"/>
  <c r="H157" i="13"/>
  <c r="H157" i="15" s="1"/>
  <c r="G157" i="13"/>
  <c r="O156" i="13"/>
  <c r="O156" i="15" s="1"/>
  <c r="N156" i="13"/>
  <c r="N156" i="15" s="1"/>
  <c r="H156" i="13"/>
  <c r="H156" i="15" s="1"/>
  <c r="G156" i="13"/>
  <c r="G156" i="15" s="1"/>
  <c r="O155" i="13"/>
  <c r="O155" i="15" s="1"/>
  <c r="N155" i="13"/>
  <c r="N155" i="15" s="1"/>
  <c r="H155" i="13"/>
  <c r="H155" i="15" s="1"/>
  <c r="G155" i="13"/>
  <c r="G155" i="15" s="1"/>
  <c r="O154" i="13"/>
  <c r="O154" i="15" s="1"/>
  <c r="N154" i="13"/>
  <c r="N154" i="15" s="1"/>
  <c r="H154" i="13"/>
  <c r="H154" i="15" s="1"/>
  <c r="G154" i="13"/>
  <c r="O153" i="13"/>
  <c r="O153" i="15" s="1"/>
  <c r="N153" i="13"/>
  <c r="N153" i="15" s="1"/>
  <c r="H153" i="13"/>
  <c r="H153" i="15" s="1"/>
  <c r="G153" i="13"/>
  <c r="O152" i="13"/>
  <c r="O152" i="15" s="1"/>
  <c r="N152" i="13"/>
  <c r="N152" i="15" s="1"/>
  <c r="H152" i="13"/>
  <c r="H152" i="15" s="1"/>
  <c r="G152" i="13"/>
  <c r="O151" i="13"/>
  <c r="O151" i="15" s="1"/>
  <c r="N151" i="13"/>
  <c r="N151" i="15" s="1"/>
  <c r="H151" i="13"/>
  <c r="H151" i="15" s="1"/>
  <c r="G151" i="13"/>
  <c r="G151" i="15" s="1"/>
  <c r="O150" i="13"/>
  <c r="O150" i="15" s="1"/>
  <c r="N150" i="13"/>
  <c r="N150" i="15" s="1"/>
  <c r="H150" i="13"/>
  <c r="H150" i="15" s="1"/>
  <c r="G150" i="13"/>
  <c r="G150" i="15" s="1"/>
  <c r="O149" i="13"/>
  <c r="O149" i="15" s="1"/>
  <c r="N149" i="13"/>
  <c r="N149" i="15" s="1"/>
  <c r="H149" i="13"/>
  <c r="H149" i="15" s="1"/>
  <c r="G149" i="13"/>
  <c r="G149" i="15" s="1"/>
  <c r="O148" i="13"/>
  <c r="O148" i="15" s="1"/>
  <c r="N148" i="13"/>
  <c r="N148" i="15" s="1"/>
  <c r="H148" i="13"/>
  <c r="H148" i="15" s="1"/>
  <c r="G148" i="13"/>
  <c r="G148" i="15" s="1"/>
  <c r="O147" i="13"/>
  <c r="O147" i="15" s="1"/>
  <c r="N147" i="13"/>
  <c r="N147" i="15" s="1"/>
  <c r="H147" i="13"/>
  <c r="H147" i="15" s="1"/>
  <c r="G147" i="13"/>
  <c r="G147" i="15" s="1"/>
  <c r="O146" i="13"/>
  <c r="O146" i="15" s="1"/>
  <c r="N146" i="13"/>
  <c r="N146" i="15" s="1"/>
  <c r="H146" i="13"/>
  <c r="H146" i="15" s="1"/>
  <c r="G146" i="13"/>
  <c r="G146" i="15" s="1"/>
  <c r="O145" i="13"/>
  <c r="O145" i="15" s="1"/>
  <c r="N145" i="13"/>
  <c r="N145" i="15" s="1"/>
  <c r="H145" i="13"/>
  <c r="H145" i="15" s="1"/>
  <c r="G145" i="13"/>
  <c r="G145" i="15" s="1"/>
  <c r="O144" i="13"/>
  <c r="O144" i="15" s="1"/>
  <c r="N144" i="13"/>
  <c r="N144" i="15" s="1"/>
  <c r="H144" i="13"/>
  <c r="H144" i="15" s="1"/>
  <c r="G144" i="13"/>
  <c r="G144" i="15" s="1"/>
  <c r="O143" i="13"/>
  <c r="O143" i="15" s="1"/>
  <c r="N143" i="13"/>
  <c r="N143" i="15" s="1"/>
  <c r="H143" i="13"/>
  <c r="H143" i="15" s="1"/>
  <c r="G143" i="13"/>
  <c r="G143" i="15" s="1"/>
  <c r="O142" i="13"/>
  <c r="O142" i="15" s="1"/>
  <c r="N142" i="13"/>
  <c r="N142" i="15" s="1"/>
  <c r="H142" i="13"/>
  <c r="H142" i="15" s="1"/>
  <c r="G142" i="13"/>
  <c r="G142" i="15" s="1"/>
  <c r="O141" i="13"/>
  <c r="O141" i="15" s="1"/>
  <c r="N141" i="13"/>
  <c r="N141" i="15" s="1"/>
  <c r="H141" i="13"/>
  <c r="H141" i="15" s="1"/>
  <c r="G141" i="13"/>
  <c r="G141" i="15" s="1"/>
  <c r="O140" i="13"/>
  <c r="O140" i="15" s="1"/>
  <c r="N140" i="13"/>
  <c r="N140" i="15" s="1"/>
  <c r="H140" i="13"/>
  <c r="H140" i="15" s="1"/>
  <c r="G140" i="13"/>
  <c r="G140" i="15" s="1"/>
  <c r="O139" i="13"/>
  <c r="O139" i="15" s="1"/>
  <c r="N139" i="13"/>
  <c r="N139" i="15" s="1"/>
  <c r="H139" i="13"/>
  <c r="H139" i="15" s="1"/>
  <c r="G139" i="13"/>
  <c r="G139" i="15" s="1"/>
  <c r="O138" i="13"/>
  <c r="O138" i="15" s="1"/>
  <c r="N138" i="13"/>
  <c r="N138" i="15" s="1"/>
  <c r="H138" i="13"/>
  <c r="H138" i="15" s="1"/>
  <c r="G138" i="13"/>
  <c r="G138" i="15" s="1"/>
  <c r="O137" i="13"/>
  <c r="O137" i="15" s="1"/>
  <c r="N137" i="13"/>
  <c r="N137" i="15" s="1"/>
  <c r="H137" i="13"/>
  <c r="H137" i="15" s="1"/>
  <c r="G137" i="13"/>
  <c r="G137" i="15" s="1"/>
  <c r="O136" i="13"/>
  <c r="O136" i="15" s="1"/>
  <c r="N136" i="13"/>
  <c r="N136" i="15" s="1"/>
  <c r="H136" i="13"/>
  <c r="H136" i="15" s="1"/>
  <c r="G136" i="13"/>
  <c r="G136" i="15" s="1"/>
  <c r="O135" i="13"/>
  <c r="O135" i="15" s="1"/>
  <c r="N135" i="13"/>
  <c r="N135" i="15" s="1"/>
  <c r="H135" i="13"/>
  <c r="H135" i="15" s="1"/>
  <c r="G135" i="13"/>
  <c r="G135" i="15" s="1"/>
  <c r="O134" i="13"/>
  <c r="O134" i="15" s="1"/>
  <c r="N134" i="13"/>
  <c r="N134" i="15" s="1"/>
  <c r="H134" i="13"/>
  <c r="H134" i="15" s="1"/>
  <c r="G134" i="13"/>
  <c r="G134" i="15" s="1"/>
  <c r="O133" i="13"/>
  <c r="O133" i="15" s="1"/>
  <c r="N133" i="13"/>
  <c r="N133" i="15" s="1"/>
  <c r="H133" i="13"/>
  <c r="H133" i="15" s="1"/>
  <c r="G133" i="13"/>
  <c r="G133" i="15" s="1"/>
  <c r="O132" i="13"/>
  <c r="O132" i="15" s="1"/>
  <c r="N132" i="13"/>
  <c r="N132" i="15" s="1"/>
  <c r="H132" i="13"/>
  <c r="H132" i="15" s="1"/>
  <c r="G132" i="13"/>
  <c r="G132" i="15" s="1"/>
  <c r="O131" i="13"/>
  <c r="O131" i="15" s="1"/>
  <c r="N131" i="13"/>
  <c r="N131" i="15" s="1"/>
  <c r="H131" i="13"/>
  <c r="H131" i="15" s="1"/>
  <c r="G131" i="13"/>
  <c r="G131" i="15" s="1"/>
  <c r="O130" i="13"/>
  <c r="O130" i="15" s="1"/>
  <c r="N130" i="13"/>
  <c r="N130" i="15" s="1"/>
  <c r="H130" i="13"/>
  <c r="H130" i="15" s="1"/>
  <c r="G130" i="13"/>
  <c r="G130" i="15" s="1"/>
  <c r="O129" i="13"/>
  <c r="O129" i="15" s="1"/>
  <c r="N129" i="13"/>
  <c r="N129" i="15" s="1"/>
  <c r="H129" i="13"/>
  <c r="H129" i="15" s="1"/>
  <c r="G129" i="13"/>
  <c r="G129" i="15" s="1"/>
  <c r="O128" i="13"/>
  <c r="O128" i="15" s="1"/>
  <c r="N128" i="13"/>
  <c r="N128" i="15" s="1"/>
  <c r="H128" i="13"/>
  <c r="H128" i="15" s="1"/>
  <c r="G128" i="13"/>
  <c r="G128" i="15" s="1"/>
  <c r="O127" i="13"/>
  <c r="O127" i="15" s="1"/>
  <c r="N127" i="13"/>
  <c r="N127" i="15" s="1"/>
  <c r="H127" i="13"/>
  <c r="H127" i="15" s="1"/>
  <c r="G127" i="13"/>
  <c r="G127" i="15" s="1"/>
  <c r="O126" i="13"/>
  <c r="O126" i="15" s="1"/>
  <c r="N126" i="13"/>
  <c r="N126" i="15" s="1"/>
  <c r="H126" i="13"/>
  <c r="H126" i="15" s="1"/>
  <c r="G126" i="13"/>
  <c r="G126" i="15" s="1"/>
  <c r="O125" i="13"/>
  <c r="O125" i="15" s="1"/>
  <c r="N125" i="13"/>
  <c r="N125" i="15" s="1"/>
  <c r="H125" i="13"/>
  <c r="H125" i="15" s="1"/>
  <c r="G125" i="13"/>
  <c r="G125" i="15" s="1"/>
  <c r="O124" i="13"/>
  <c r="O124" i="15" s="1"/>
  <c r="N124" i="13"/>
  <c r="N124" i="15" s="1"/>
  <c r="H124" i="13"/>
  <c r="H124" i="15" s="1"/>
  <c r="G124" i="13"/>
  <c r="G124" i="15" s="1"/>
  <c r="O123" i="13"/>
  <c r="O123" i="15" s="1"/>
  <c r="N123" i="13"/>
  <c r="N123" i="15" s="1"/>
  <c r="H123" i="13"/>
  <c r="H123" i="15" s="1"/>
  <c r="G123" i="13"/>
  <c r="G123" i="15" s="1"/>
  <c r="O122" i="13"/>
  <c r="O122" i="15" s="1"/>
  <c r="N122" i="13"/>
  <c r="N122" i="15" s="1"/>
  <c r="H122" i="13"/>
  <c r="H122" i="15" s="1"/>
  <c r="G122" i="13"/>
  <c r="G122" i="15" s="1"/>
  <c r="O121" i="13"/>
  <c r="O121" i="15" s="1"/>
  <c r="N121" i="13"/>
  <c r="N121" i="15" s="1"/>
  <c r="H121" i="13"/>
  <c r="H121" i="15" s="1"/>
  <c r="G121" i="13"/>
  <c r="G121" i="15" s="1"/>
  <c r="O120" i="13"/>
  <c r="O120" i="15" s="1"/>
  <c r="N120" i="13"/>
  <c r="N120" i="15" s="1"/>
  <c r="H120" i="13"/>
  <c r="H120" i="15" s="1"/>
  <c r="G120" i="13"/>
  <c r="G120" i="15" s="1"/>
  <c r="O119" i="13"/>
  <c r="O119" i="15" s="1"/>
  <c r="N119" i="13"/>
  <c r="N119" i="15" s="1"/>
  <c r="H119" i="13"/>
  <c r="H119" i="15" s="1"/>
  <c r="G119" i="13"/>
  <c r="G119" i="15" s="1"/>
  <c r="O118" i="13"/>
  <c r="O118" i="15" s="1"/>
  <c r="N118" i="13"/>
  <c r="N118" i="15" s="1"/>
  <c r="H118" i="13"/>
  <c r="H118" i="15" s="1"/>
  <c r="G118" i="13"/>
  <c r="G118" i="15" s="1"/>
  <c r="O117" i="13"/>
  <c r="O117" i="15" s="1"/>
  <c r="N117" i="13"/>
  <c r="N117" i="15" s="1"/>
  <c r="H117" i="13"/>
  <c r="H117" i="15" s="1"/>
  <c r="G117" i="13"/>
  <c r="G117" i="15" s="1"/>
  <c r="O116" i="13"/>
  <c r="O116" i="15" s="1"/>
  <c r="N116" i="13"/>
  <c r="N116" i="15" s="1"/>
  <c r="H116" i="13"/>
  <c r="H116" i="15" s="1"/>
  <c r="G116" i="13"/>
  <c r="G116" i="15" s="1"/>
  <c r="O115" i="13"/>
  <c r="O115" i="15" s="1"/>
  <c r="N115" i="13"/>
  <c r="N115" i="15" s="1"/>
  <c r="H115" i="13"/>
  <c r="H115" i="15" s="1"/>
  <c r="G115" i="13"/>
  <c r="G115" i="15" s="1"/>
  <c r="O114" i="13"/>
  <c r="O114" i="15" s="1"/>
  <c r="N114" i="13"/>
  <c r="N114" i="15" s="1"/>
  <c r="H114" i="13"/>
  <c r="H114" i="15" s="1"/>
  <c r="G114" i="13"/>
  <c r="G114" i="15" s="1"/>
  <c r="O113" i="13"/>
  <c r="O113" i="15" s="1"/>
  <c r="N113" i="13"/>
  <c r="N113" i="15" s="1"/>
  <c r="H113" i="13"/>
  <c r="H113" i="15" s="1"/>
  <c r="G113" i="13"/>
  <c r="G113" i="15" s="1"/>
  <c r="O112" i="13"/>
  <c r="O112" i="15" s="1"/>
  <c r="N112" i="13"/>
  <c r="N112" i="15" s="1"/>
  <c r="H112" i="13"/>
  <c r="H112" i="15" s="1"/>
  <c r="G112" i="13"/>
  <c r="G112" i="15" s="1"/>
  <c r="O111" i="13"/>
  <c r="O111" i="15" s="1"/>
  <c r="N111" i="13"/>
  <c r="N111" i="15" s="1"/>
  <c r="H111" i="13"/>
  <c r="H111" i="15" s="1"/>
  <c r="G111" i="13"/>
  <c r="G111" i="15" s="1"/>
  <c r="O110" i="13"/>
  <c r="O110" i="15" s="1"/>
  <c r="N110" i="13"/>
  <c r="N110" i="15" s="1"/>
  <c r="H110" i="13"/>
  <c r="H110" i="15" s="1"/>
  <c r="G110" i="13"/>
  <c r="G110" i="15" s="1"/>
  <c r="O109" i="13"/>
  <c r="O109" i="15" s="1"/>
  <c r="N109" i="13"/>
  <c r="N109" i="15" s="1"/>
  <c r="H109" i="13"/>
  <c r="H109" i="15" s="1"/>
  <c r="G109" i="13"/>
  <c r="G109" i="15" s="1"/>
  <c r="O108" i="13"/>
  <c r="O108" i="15" s="1"/>
  <c r="N108" i="13"/>
  <c r="N108" i="15" s="1"/>
  <c r="H108" i="13"/>
  <c r="H108" i="15" s="1"/>
  <c r="G108" i="13"/>
  <c r="G108" i="15" s="1"/>
  <c r="O107" i="13"/>
  <c r="O107" i="15" s="1"/>
  <c r="N107" i="13"/>
  <c r="N107" i="15" s="1"/>
  <c r="H107" i="13"/>
  <c r="H107" i="15" s="1"/>
  <c r="G107" i="13"/>
  <c r="G107" i="15" s="1"/>
  <c r="O106" i="13"/>
  <c r="O106" i="15" s="1"/>
  <c r="N106" i="13"/>
  <c r="N106" i="15" s="1"/>
  <c r="H106" i="13"/>
  <c r="H106" i="15" s="1"/>
  <c r="G106" i="13"/>
  <c r="G106" i="15" s="1"/>
  <c r="O105" i="13"/>
  <c r="O105" i="15" s="1"/>
  <c r="N105" i="13"/>
  <c r="N105" i="15" s="1"/>
  <c r="H105" i="13"/>
  <c r="H105" i="15" s="1"/>
  <c r="G105" i="13"/>
  <c r="G105" i="15" s="1"/>
  <c r="O104" i="13"/>
  <c r="O104" i="15" s="1"/>
  <c r="N104" i="13"/>
  <c r="N104" i="15" s="1"/>
  <c r="H104" i="13"/>
  <c r="H104" i="15" s="1"/>
  <c r="G104" i="13"/>
  <c r="G104" i="15" s="1"/>
  <c r="O103" i="13"/>
  <c r="O103" i="15" s="1"/>
  <c r="N103" i="13"/>
  <c r="N103" i="15" s="1"/>
  <c r="H103" i="13"/>
  <c r="H103" i="15" s="1"/>
  <c r="G103" i="13"/>
  <c r="G103" i="15" s="1"/>
  <c r="O102" i="13"/>
  <c r="O102" i="15" s="1"/>
  <c r="N102" i="13"/>
  <c r="N102" i="15" s="1"/>
  <c r="H102" i="13"/>
  <c r="H102" i="15" s="1"/>
  <c r="G102" i="13"/>
  <c r="G102" i="15" s="1"/>
  <c r="O101" i="13"/>
  <c r="O101" i="15" s="1"/>
  <c r="N101" i="13"/>
  <c r="N101" i="15" s="1"/>
  <c r="H101" i="13"/>
  <c r="H101" i="15" s="1"/>
  <c r="G101" i="13"/>
  <c r="G101" i="15" s="1"/>
  <c r="O100" i="13"/>
  <c r="O100" i="15" s="1"/>
  <c r="N100" i="13"/>
  <c r="N100" i="15" s="1"/>
  <c r="H100" i="13"/>
  <c r="H100" i="15" s="1"/>
  <c r="G100" i="13"/>
  <c r="G100" i="15" s="1"/>
  <c r="O99" i="13"/>
  <c r="O99" i="15" s="1"/>
  <c r="N99" i="13"/>
  <c r="N99" i="15" s="1"/>
  <c r="H99" i="13"/>
  <c r="H99" i="15" s="1"/>
  <c r="G99" i="13"/>
  <c r="G99" i="15" s="1"/>
  <c r="O98" i="13"/>
  <c r="O98" i="15" s="1"/>
  <c r="N98" i="13"/>
  <c r="N98" i="15" s="1"/>
  <c r="H98" i="13"/>
  <c r="H98" i="15" s="1"/>
  <c r="G98" i="13"/>
  <c r="G98" i="15" s="1"/>
  <c r="O97" i="13"/>
  <c r="O97" i="15" s="1"/>
  <c r="N97" i="13"/>
  <c r="N97" i="15" s="1"/>
  <c r="H97" i="13"/>
  <c r="H97" i="15" s="1"/>
  <c r="G97" i="13"/>
  <c r="G97" i="15" s="1"/>
  <c r="O96" i="13"/>
  <c r="O96" i="15" s="1"/>
  <c r="N96" i="13"/>
  <c r="N96" i="15" s="1"/>
  <c r="H96" i="13"/>
  <c r="H96" i="15" s="1"/>
  <c r="G96" i="13"/>
  <c r="G96" i="15" s="1"/>
  <c r="O95" i="13"/>
  <c r="O95" i="15" s="1"/>
  <c r="N95" i="13"/>
  <c r="N95" i="15" s="1"/>
  <c r="H95" i="13"/>
  <c r="H95" i="15" s="1"/>
  <c r="G95" i="13"/>
  <c r="G95" i="15" s="1"/>
  <c r="O94" i="13"/>
  <c r="O94" i="15" s="1"/>
  <c r="N94" i="13"/>
  <c r="N94" i="15" s="1"/>
  <c r="H94" i="13"/>
  <c r="H94" i="15" s="1"/>
  <c r="G94" i="13"/>
  <c r="G94" i="15" s="1"/>
  <c r="O93" i="13"/>
  <c r="O93" i="15" s="1"/>
  <c r="N93" i="13"/>
  <c r="N93" i="15" s="1"/>
  <c r="H93" i="13"/>
  <c r="H93" i="15" s="1"/>
  <c r="G93" i="13"/>
  <c r="G93" i="15" s="1"/>
  <c r="O92" i="13"/>
  <c r="O92" i="15" s="1"/>
  <c r="N92" i="13"/>
  <c r="N92" i="15" s="1"/>
  <c r="H92" i="13"/>
  <c r="H92" i="15" s="1"/>
  <c r="G92" i="13"/>
  <c r="G92" i="15" s="1"/>
  <c r="O91" i="13"/>
  <c r="O91" i="15" s="1"/>
  <c r="N91" i="13"/>
  <c r="N91" i="15" s="1"/>
  <c r="H91" i="13"/>
  <c r="H91" i="15" s="1"/>
  <c r="G91" i="13"/>
  <c r="G91" i="15" s="1"/>
  <c r="O90" i="13"/>
  <c r="O90" i="15" s="1"/>
  <c r="N90" i="13"/>
  <c r="N90" i="15" s="1"/>
  <c r="H90" i="13"/>
  <c r="H90" i="15" s="1"/>
  <c r="G90" i="13"/>
  <c r="G90" i="15" s="1"/>
  <c r="O89" i="13"/>
  <c r="O89" i="15" s="1"/>
  <c r="N89" i="13"/>
  <c r="N89" i="15" s="1"/>
  <c r="H89" i="13"/>
  <c r="H89" i="15" s="1"/>
  <c r="G89" i="13"/>
  <c r="G89" i="15" s="1"/>
  <c r="O88" i="13"/>
  <c r="O88" i="15" s="1"/>
  <c r="N88" i="13"/>
  <c r="N88" i="15" s="1"/>
  <c r="H88" i="13"/>
  <c r="H88" i="15" s="1"/>
  <c r="G88" i="13"/>
  <c r="G88" i="15" s="1"/>
  <c r="O87" i="13"/>
  <c r="O87" i="15" s="1"/>
  <c r="N87" i="13"/>
  <c r="N87" i="15" s="1"/>
  <c r="H87" i="13"/>
  <c r="H87" i="15" s="1"/>
  <c r="G87" i="13"/>
  <c r="G87" i="15" s="1"/>
  <c r="O86" i="13"/>
  <c r="O86" i="15" s="1"/>
  <c r="N86" i="13"/>
  <c r="N86" i="15" s="1"/>
  <c r="H86" i="13"/>
  <c r="H86" i="15" s="1"/>
  <c r="G86" i="13"/>
  <c r="G86" i="15" s="1"/>
  <c r="O85" i="13"/>
  <c r="O85" i="15" s="1"/>
  <c r="N85" i="13"/>
  <c r="N85" i="15" s="1"/>
  <c r="H85" i="13"/>
  <c r="H85" i="15" s="1"/>
  <c r="G85" i="13"/>
  <c r="G85" i="15" s="1"/>
  <c r="O84" i="13"/>
  <c r="O84" i="15" s="1"/>
  <c r="N84" i="13"/>
  <c r="N84" i="15" s="1"/>
  <c r="H84" i="13"/>
  <c r="H84" i="15" s="1"/>
  <c r="G84" i="13"/>
  <c r="G84" i="15" s="1"/>
  <c r="O83" i="13"/>
  <c r="O83" i="15" s="1"/>
  <c r="N83" i="13"/>
  <c r="N83" i="15" s="1"/>
  <c r="H83" i="13"/>
  <c r="H83" i="15" s="1"/>
  <c r="G83" i="13"/>
  <c r="G83" i="15" s="1"/>
  <c r="O82" i="13"/>
  <c r="O82" i="15" s="1"/>
  <c r="N82" i="13"/>
  <c r="N82" i="15" s="1"/>
  <c r="H82" i="13"/>
  <c r="H82" i="15" s="1"/>
  <c r="G82" i="13"/>
  <c r="G82" i="15" s="1"/>
  <c r="O81" i="13"/>
  <c r="O81" i="15" s="1"/>
  <c r="N81" i="13"/>
  <c r="N81" i="15" s="1"/>
  <c r="H81" i="13"/>
  <c r="H81" i="15" s="1"/>
  <c r="G81" i="13"/>
  <c r="G81" i="15" s="1"/>
  <c r="O80" i="13"/>
  <c r="O80" i="15" s="1"/>
  <c r="N80" i="13"/>
  <c r="N80" i="15" s="1"/>
  <c r="H80" i="13"/>
  <c r="H80" i="15" s="1"/>
  <c r="G80" i="13"/>
  <c r="G80" i="15" s="1"/>
  <c r="O79" i="13"/>
  <c r="O79" i="15" s="1"/>
  <c r="N79" i="13"/>
  <c r="N79" i="15" s="1"/>
  <c r="H79" i="13"/>
  <c r="H79" i="15" s="1"/>
  <c r="G79" i="13"/>
  <c r="G79" i="15" s="1"/>
  <c r="O78" i="13"/>
  <c r="O78" i="15" s="1"/>
  <c r="N78" i="13"/>
  <c r="N78" i="15" s="1"/>
  <c r="H78" i="13"/>
  <c r="H78" i="15" s="1"/>
  <c r="G78" i="13"/>
  <c r="G78" i="15" s="1"/>
  <c r="O77" i="13"/>
  <c r="O77" i="15" s="1"/>
  <c r="N77" i="13"/>
  <c r="N77" i="15" s="1"/>
  <c r="H77" i="13"/>
  <c r="H77" i="15" s="1"/>
  <c r="G77" i="13"/>
  <c r="G77" i="15" s="1"/>
  <c r="O76" i="13"/>
  <c r="O76" i="15" s="1"/>
  <c r="N76" i="13"/>
  <c r="N76" i="15" s="1"/>
  <c r="H76" i="13"/>
  <c r="H76" i="15" s="1"/>
  <c r="G76" i="13"/>
  <c r="G76" i="15" s="1"/>
  <c r="O75" i="13"/>
  <c r="O75" i="15" s="1"/>
  <c r="N75" i="13"/>
  <c r="N75" i="15" s="1"/>
  <c r="H75" i="13"/>
  <c r="H75" i="15" s="1"/>
  <c r="G75" i="13"/>
  <c r="G75" i="15" s="1"/>
  <c r="O74" i="13"/>
  <c r="O74" i="15" s="1"/>
  <c r="N74" i="13"/>
  <c r="N74" i="15" s="1"/>
  <c r="H74" i="13"/>
  <c r="H74" i="15" s="1"/>
  <c r="G74" i="13"/>
  <c r="G74" i="15" s="1"/>
  <c r="O73" i="13"/>
  <c r="O73" i="15" s="1"/>
  <c r="N73" i="13"/>
  <c r="N73" i="15" s="1"/>
  <c r="H73" i="13"/>
  <c r="H73" i="15" s="1"/>
  <c r="G73" i="13"/>
  <c r="G73" i="15" s="1"/>
  <c r="O72" i="13"/>
  <c r="O72" i="15" s="1"/>
  <c r="N72" i="13"/>
  <c r="N72" i="15" s="1"/>
  <c r="H72" i="13"/>
  <c r="H72" i="15" s="1"/>
  <c r="G72" i="13"/>
  <c r="G72" i="15" s="1"/>
  <c r="O71" i="13"/>
  <c r="O71" i="15" s="1"/>
  <c r="N71" i="13"/>
  <c r="N71" i="15" s="1"/>
  <c r="H71" i="13"/>
  <c r="H71" i="15" s="1"/>
  <c r="G71" i="13"/>
  <c r="G71" i="15" s="1"/>
  <c r="O70" i="13"/>
  <c r="O70" i="15" s="1"/>
  <c r="N70" i="13"/>
  <c r="N70" i="15" s="1"/>
  <c r="H70" i="13"/>
  <c r="H70" i="15" s="1"/>
  <c r="G70" i="13"/>
  <c r="G70" i="15" s="1"/>
  <c r="O69" i="13"/>
  <c r="O69" i="15" s="1"/>
  <c r="N69" i="13"/>
  <c r="N69" i="15" s="1"/>
  <c r="H69" i="13"/>
  <c r="H69" i="15" s="1"/>
  <c r="G69" i="13"/>
  <c r="G69" i="15" s="1"/>
  <c r="O68" i="13"/>
  <c r="O68" i="15" s="1"/>
  <c r="N68" i="13"/>
  <c r="N68" i="15" s="1"/>
  <c r="H68" i="13"/>
  <c r="H68" i="15" s="1"/>
  <c r="G68" i="13"/>
  <c r="G68" i="15" s="1"/>
  <c r="O67" i="13"/>
  <c r="O67" i="15" s="1"/>
  <c r="N67" i="13"/>
  <c r="N67" i="15" s="1"/>
  <c r="H67" i="13"/>
  <c r="H67" i="15" s="1"/>
  <c r="G67" i="13"/>
  <c r="G67" i="15" s="1"/>
  <c r="O66" i="13"/>
  <c r="O66" i="15" s="1"/>
  <c r="N66" i="13"/>
  <c r="N66" i="15" s="1"/>
  <c r="H66" i="13"/>
  <c r="H66" i="15" s="1"/>
  <c r="G66" i="13"/>
  <c r="G66" i="15" s="1"/>
  <c r="O65" i="13"/>
  <c r="O65" i="15" s="1"/>
  <c r="N65" i="13"/>
  <c r="N65" i="15" s="1"/>
  <c r="H65" i="13"/>
  <c r="H65" i="15" s="1"/>
  <c r="G65" i="13"/>
  <c r="G65" i="15" s="1"/>
  <c r="O64" i="13"/>
  <c r="O64" i="15" s="1"/>
  <c r="N64" i="13"/>
  <c r="N64" i="15" s="1"/>
  <c r="H64" i="13"/>
  <c r="H64" i="15" s="1"/>
  <c r="G64" i="13"/>
  <c r="G64" i="15" s="1"/>
  <c r="O63" i="13"/>
  <c r="O63" i="15" s="1"/>
  <c r="N63" i="13"/>
  <c r="N63" i="15" s="1"/>
  <c r="H63" i="13"/>
  <c r="H63" i="15" s="1"/>
  <c r="G63" i="13"/>
  <c r="G63" i="15" s="1"/>
  <c r="O62" i="13"/>
  <c r="O62" i="15" s="1"/>
  <c r="N62" i="13"/>
  <c r="N62" i="15" s="1"/>
  <c r="H62" i="13"/>
  <c r="H62" i="15" s="1"/>
  <c r="G62" i="13"/>
  <c r="G62" i="15" s="1"/>
  <c r="O61" i="13"/>
  <c r="O61" i="15" s="1"/>
  <c r="N61" i="13"/>
  <c r="N61" i="15" s="1"/>
  <c r="H61" i="13"/>
  <c r="H61" i="15" s="1"/>
  <c r="G61" i="13"/>
  <c r="G61" i="15" s="1"/>
  <c r="O60" i="13"/>
  <c r="O60" i="15" s="1"/>
  <c r="N60" i="13"/>
  <c r="N60" i="15" s="1"/>
  <c r="H60" i="13"/>
  <c r="H60" i="15" s="1"/>
  <c r="G60" i="13"/>
  <c r="G60" i="15" s="1"/>
  <c r="O59" i="13"/>
  <c r="O59" i="15" s="1"/>
  <c r="N59" i="13"/>
  <c r="N59" i="15" s="1"/>
  <c r="H59" i="13"/>
  <c r="H59" i="15" s="1"/>
  <c r="G59" i="13"/>
  <c r="G59" i="15" s="1"/>
  <c r="O58" i="13"/>
  <c r="O58" i="15" s="1"/>
  <c r="N58" i="13"/>
  <c r="N58" i="15" s="1"/>
  <c r="H58" i="13"/>
  <c r="H58" i="15" s="1"/>
  <c r="G58" i="13"/>
  <c r="G58" i="15" s="1"/>
  <c r="O57" i="13"/>
  <c r="O57" i="15" s="1"/>
  <c r="N57" i="13"/>
  <c r="N57" i="15" s="1"/>
  <c r="H57" i="13"/>
  <c r="H57" i="15" s="1"/>
  <c r="G57" i="13"/>
  <c r="G57" i="15" s="1"/>
  <c r="O56" i="13"/>
  <c r="O56" i="15" s="1"/>
  <c r="N56" i="13"/>
  <c r="N56" i="15" s="1"/>
  <c r="H56" i="13"/>
  <c r="H56" i="15" s="1"/>
  <c r="G56" i="13"/>
  <c r="G56" i="15" s="1"/>
  <c r="O55" i="13"/>
  <c r="O55" i="15" s="1"/>
  <c r="N55" i="13"/>
  <c r="N55" i="15" s="1"/>
  <c r="H55" i="13"/>
  <c r="H55" i="15" s="1"/>
  <c r="G55" i="13"/>
  <c r="G55" i="15" s="1"/>
  <c r="O54" i="13"/>
  <c r="O54" i="15" s="1"/>
  <c r="N54" i="13"/>
  <c r="N54" i="15" s="1"/>
  <c r="H54" i="13"/>
  <c r="H54" i="15" s="1"/>
  <c r="G54" i="13"/>
  <c r="G54" i="15" s="1"/>
  <c r="O53" i="13"/>
  <c r="O53" i="15" s="1"/>
  <c r="N53" i="13"/>
  <c r="N53" i="15" s="1"/>
  <c r="H53" i="13"/>
  <c r="H53" i="15" s="1"/>
  <c r="G53" i="13"/>
  <c r="G53" i="15" s="1"/>
  <c r="O52" i="13"/>
  <c r="O52" i="15" s="1"/>
  <c r="N52" i="13"/>
  <c r="N52" i="15" s="1"/>
  <c r="H52" i="13"/>
  <c r="H52" i="15" s="1"/>
  <c r="G52" i="13"/>
  <c r="G52" i="15" s="1"/>
  <c r="O51" i="13"/>
  <c r="O51" i="15" s="1"/>
  <c r="N51" i="13"/>
  <c r="N51" i="15" s="1"/>
  <c r="H51" i="13"/>
  <c r="H51" i="15" s="1"/>
  <c r="G51" i="13"/>
  <c r="G51" i="15" s="1"/>
  <c r="O50" i="13"/>
  <c r="O50" i="15" s="1"/>
  <c r="N50" i="13"/>
  <c r="N50" i="15" s="1"/>
  <c r="H50" i="13"/>
  <c r="H50" i="15" s="1"/>
  <c r="G50" i="13"/>
  <c r="G50" i="15" s="1"/>
  <c r="O49" i="13"/>
  <c r="O49" i="15" s="1"/>
  <c r="N49" i="13"/>
  <c r="N49" i="15" s="1"/>
  <c r="H49" i="13"/>
  <c r="H49" i="15" s="1"/>
  <c r="G49" i="13"/>
  <c r="G49" i="15" s="1"/>
  <c r="O48" i="13"/>
  <c r="O48" i="15" s="1"/>
  <c r="N48" i="13"/>
  <c r="N48" i="15" s="1"/>
  <c r="H48" i="13"/>
  <c r="H48" i="15" s="1"/>
  <c r="G48" i="13"/>
  <c r="G48" i="15" s="1"/>
  <c r="O47" i="13"/>
  <c r="O47" i="15" s="1"/>
  <c r="N47" i="13"/>
  <c r="N47" i="15" s="1"/>
  <c r="H47" i="13"/>
  <c r="H47" i="15" s="1"/>
  <c r="G47" i="13"/>
  <c r="G47" i="15" s="1"/>
  <c r="O46" i="13"/>
  <c r="O46" i="15" s="1"/>
  <c r="N46" i="13"/>
  <c r="N46" i="15" s="1"/>
  <c r="H46" i="13"/>
  <c r="H46" i="15" s="1"/>
  <c r="G46" i="13"/>
  <c r="G46" i="15" s="1"/>
  <c r="O45" i="13"/>
  <c r="O45" i="15" s="1"/>
  <c r="N45" i="13"/>
  <c r="N45" i="15" s="1"/>
  <c r="H45" i="13"/>
  <c r="H45" i="15" s="1"/>
  <c r="G45" i="13"/>
  <c r="G45" i="15" s="1"/>
  <c r="O44" i="13"/>
  <c r="O44" i="15" s="1"/>
  <c r="N44" i="13"/>
  <c r="N44" i="15" s="1"/>
  <c r="H44" i="13"/>
  <c r="H44" i="15" s="1"/>
  <c r="G44" i="13"/>
  <c r="G44" i="15" s="1"/>
  <c r="O43" i="13"/>
  <c r="O43" i="15" s="1"/>
  <c r="N43" i="13"/>
  <c r="N43" i="15" s="1"/>
  <c r="H43" i="13"/>
  <c r="H43" i="15" s="1"/>
  <c r="G43" i="13"/>
  <c r="G43" i="15" s="1"/>
  <c r="O42" i="13"/>
  <c r="O42" i="15" s="1"/>
  <c r="N42" i="13"/>
  <c r="N42" i="15" s="1"/>
  <c r="H42" i="13"/>
  <c r="H42" i="15" s="1"/>
  <c r="G42" i="13"/>
  <c r="G42" i="15" s="1"/>
  <c r="O41" i="13"/>
  <c r="O41" i="15" s="1"/>
  <c r="N41" i="13"/>
  <c r="N41" i="15" s="1"/>
  <c r="H41" i="13"/>
  <c r="H41" i="15" s="1"/>
  <c r="G41" i="13"/>
  <c r="G41" i="15" s="1"/>
  <c r="O40" i="13"/>
  <c r="O40" i="15" s="1"/>
  <c r="N40" i="13"/>
  <c r="N40" i="15" s="1"/>
  <c r="H40" i="13"/>
  <c r="H40" i="15" s="1"/>
  <c r="G40" i="13"/>
  <c r="G40" i="15" s="1"/>
  <c r="O39" i="13"/>
  <c r="O39" i="15" s="1"/>
  <c r="N39" i="13"/>
  <c r="N39" i="15" s="1"/>
  <c r="H39" i="13"/>
  <c r="H39" i="15" s="1"/>
  <c r="G39" i="13"/>
  <c r="G39" i="15" s="1"/>
  <c r="O38" i="13"/>
  <c r="O38" i="15" s="1"/>
  <c r="N38" i="13"/>
  <c r="N38" i="15" s="1"/>
  <c r="H38" i="13"/>
  <c r="H38" i="15" s="1"/>
  <c r="G38" i="13"/>
  <c r="G38" i="15" s="1"/>
  <c r="O37" i="13"/>
  <c r="O37" i="15" s="1"/>
  <c r="N37" i="13"/>
  <c r="N37" i="15" s="1"/>
  <c r="H37" i="13"/>
  <c r="H37" i="15" s="1"/>
  <c r="G37" i="13"/>
  <c r="G37" i="15" s="1"/>
  <c r="O36" i="13"/>
  <c r="O36" i="15" s="1"/>
  <c r="N36" i="13"/>
  <c r="N36" i="15" s="1"/>
  <c r="H36" i="13"/>
  <c r="H36" i="15" s="1"/>
  <c r="G36" i="13"/>
  <c r="G36" i="15" s="1"/>
  <c r="O35" i="13"/>
  <c r="O35" i="15" s="1"/>
  <c r="N35" i="13"/>
  <c r="N35" i="15" s="1"/>
  <c r="H35" i="13"/>
  <c r="H35" i="15" s="1"/>
  <c r="G35" i="13"/>
  <c r="G35" i="15" s="1"/>
  <c r="O34" i="13"/>
  <c r="O34" i="15" s="1"/>
  <c r="N34" i="13"/>
  <c r="N34" i="15" s="1"/>
  <c r="H34" i="13"/>
  <c r="H34" i="15" s="1"/>
  <c r="G34" i="13"/>
  <c r="G34" i="15" s="1"/>
  <c r="O33" i="13"/>
  <c r="O33" i="15" s="1"/>
  <c r="N33" i="13"/>
  <c r="N33" i="15" s="1"/>
  <c r="H33" i="13"/>
  <c r="H33" i="15" s="1"/>
  <c r="G33" i="13"/>
  <c r="G33" i="15" s="1"/>
  <c r="O32" i="13"/>
  <c r="O32" i="15" s="1"/>
  <c r="N32" i="13"/>
  <c r="N32" i="15" s="1"/>
  <c r="H32" i="13"/>
  <c r="H32" i="15" s="1"/>
  <c r="G32" i="13"/>
  <c r="G32" i="15" s="1"/>
  <c r="O31" i="13"/>
  <c r="O31" i="15" s="1"/>
  <c r="N31" i="13"/>
  <c r="N31" i="15" s="1"/>
  <c r="H31" i="13"/>
  <c r="H31" i="15" s="1"/>
  <c r="G31" i="13"/>
  <c r="G31" i="15" s="1"/>
  <c r="O30" i="13"/>
  <c r="O30" i="15" s="1"/>
  <c r="N30" i="13"/>
  <c r="N30" i="15" s="1"/>
  <c r="H30" i="13"/>
  <c r="H30" i="15" s="1"/>
  <c r="G30" i="13"/>
  <c r="G30" i="15" s="1"/>
  <c r="O29" i="13"/>
  <c r="O29" i="15" s="1"/>
  <c r="N29" i="13"/>
  <c r="N29" i="15" s="1"/>
  <c r="H29" i="13"/>
  <c r="H29" i="15" s="1"/>
  <c r="G29" i="13"/>
  <c r="G29" i="15" s="1"/>
  <c r="O28" i="13"/>
  <c r="O28" i="15" s="1"/>
  <c r="N28" i="13"/>
  <c r="N28" i="15" s="1"/>
  <c r="H28" i="13"/>
  <c r="H28" i="15" s="1"/>
  <c r="G28" i="13"/>
  <c r="G28" i="15" s="1"/>
  <c r="O27" i="13"/>
  <c r="O27" i="15" s="1"/>
  <c r="N27" i="13"/>
  <c r="N27" i="15" s="1"/>
  <c r="H27" i="13"/>
  <c r="H27" i="15" s="1"/>
  <c r="G27" i="13"/>
  <c r="G27" i="15" s="1"/>
  <c r="O26" i="13"/>
  <c r="O26" i="15" s="1"/>
  <c r="N26" i="13"/>
  <c r="N26" i="15" s="1"/>
  <c r="H26" i="13"/>
  <c r="H26" i="15" s="1"/>
  <c r="G26" i="13"/>
  <c r="G26" i="15" s="1"/>
  <c r="O25" i="13"/>
  <c r="O25" i="15" s="1"/>
  <c r="N25" i="13"/>
  <c r="N25" i="15" s="1"/>
  <c r="H25" i="13"/>
  <c r="H25" i="15" s="1"/>
  <c r="G25" i="13"/>
  <c r="G25" i="15" s="1"/>
  <c r="O24" i="13"/>
  <c r="O24" i="15" s="1"/>
  <c r="N24" i="13"/>
  <c r="N24" i="15" s="1"/>
  <c r="H24" i="13"/>
  <c r="H24" i="15" s="1"/>
  <c r="G24" i="13"/>
  <c r="G24" i="15" s="1"/>
  <c r="O23" i="13"/>
  <c r="O23" i="15" s="1"/>
  <c r="N23" i="13"/>
  <c r="N23" i="15" s="1"/>
  <c r="H23" i="13"/>
  <c r="H23" i="15" s="1"/>
  <c r="G23" i="13"/>
  <c r="G23" i="15" s="1"/>
  <c r="O22" i="13"/>
  <c r="O22" i="15" s="1"/>
  <c r="N22" i="13"/>
  <c r="N22" i="15" s="1"/>
  <c r="H22" i="13"/>
  <c r="H22" i="15" s="1"/>
  <c r="G22" i="13"/>
  <c r="G22" i="15" s="1"/>
  <c r="O21" i="13"/>
  <c r="O21" i="15" s="1"/>
  <c r="N21" i="13"/>
  <c r="N21" i="15" s="1"/>
  <c r="H21" i="13"/>
  <c r="H21" i="15" s="1"/>
  <c r="G21" i="13"/>
  <c r="G21" i="15" s="1"/>
  <c r="O20" i="13"/>
  <c r="O20" i="15" s="1"/>
  <c r="N20" i="13"/>
  <c r="N20" i="15" s="1"/>
  <c r="H20" i="13"/>
  <c r="H20" i="15" s="1"/>
  <c r="G20" i="13"/>
  <c r="G20" i="15" s="1"/>
  <c r="O19" i="13"/>
  <c r="O19" i="15" s="1"/>
  <c r="N19" i="13"/>
  <c r="N19" i="15" s="1"/>
  <c r="H19" i="13"/>
  <c r="H19" i="15" s="1"/>
  <c r="G19" i="13"/>
  <c r="G19" i="15" s="1"/>
  <c r="O18" i="13"/>
  <c r="O18" i="15" s="1"/>
  <c r="N18" i="13"/>
  <c r="N18" i="15" s="1"/>
  <c r="H18" i="13"/>
  <c r="H18" i="15" s="1"/>
  <c r="G18" i="13"/>
  <c r="G18" i="15" s="1"/>
  <c r="O17" i="13"/>
  <c r="O17" i="15" s="1"/>
  <c r="N17" i="13"/>
  <c r="N17" i="15" s="1"/>
  <c r="H17" i="13"/>
  <c r="H17" i="15" s="1"/>
  <c r="G17" i="13"/>
  <c r="G17" i="15" s="1"/>
  <c r="O16" i="13"/>
  <c r="O16" i="15" s="1"/>
  <c r="N16" i="13"/>
  <c r="N16" i="15" s="1"/>
  <c r="H16" i="13"/>
  <c r="H16" i="15" s="1"/>
  <c r="G16" i="13"/>
  <c r="G16" i="15" s="1"/>
  <c r="O15" i="13"/>
  <c r="O15" i="15" s="1"/>
  <c r="N15" i="13"/>
  <c r="N15" i="15" s="1"/>
  <c r="H15" i="13"/>
  <c r="H15" i="15" s="1"/>
  <c r="G15" i="13"/>
  <c r="G15" i="15" s="1"/>
  <c r="O14" i="13"/>
  <c r="O14" i="15" s="1"/>
  <c r="N14" i="13"/>
  <c r="N14" i="15" s="1"/>
  <c r="H14" i="13"/>
  <c r="H14" i="15" s="1"/>
  <c r="G14" i="13"/>
  <c r="G14" i="15" s="1"/>
  <c r="O13" i="13"/>
  <c r="O13" i="15" s="1"/>
  <c r="N13" i="13"/>
  <c r="N13" i="15" s="1"/>
  <c r="H13" i="13"/>
  <c r="H13" i="15" s="1"/>
  <c r="G13" i="13"/>
  <c r="G13" i="15" s="1"/>
  <c r="O12" i="13"/>
  <c r="O12" i="15" s="1"/>
  <c r="N12" i="13"/>
  <c r="N12" i="15" s="1"/>
  <c r="H12" i="13"/>
  <c r="H12" i="15" s="1"/>
  <c r="G12" i="13"/>
  <c r="G12" i="15" s="1"/>
  <c r="O11" i="13"/>
  <c r="O11" i="15" s="1"/>
  <c r="N11" i="13"/>
  <c r="N11" i="15" s="1"/>
  <c r="H11" i="13"/>
  <c r="H11" i="15" s="1"/>
  <c r="G11" i="13"/>
  <c r="G11" i="15" s="1"/>
  <c r="O10" i="13"/>
  <c r="O10" i="15" s="1"/>
  <c r="N10" i="13"/>
  <c r="N10" i="15" s="1"/>
  <c r="H10" i="13"/>
  <c r="H10" i="15" s="1"/>
  <c r="G10" i="13"/>
  <c r="G10" i="15" s="1"/>
  <c r="O9" i="13"/>
  <c r="O9" i="15" s="1"/>
  <c r="N9" i="13"/>
  <c r="N9" i="15" s="1"/>
  <c r="H9" i="13"/>
  <c r="H9" i="15" s="1"/>
  <c r="G9" i="13"/>
  <c r="G9" i="15" s="1"/>
  <c r="O8" i="13"/>
  <c r="O8" i="15" s="1"/>
  <c r="N8" i="13"/>
  <c r="N8" i="15" s="1"/>
  <c r="H8" i="13"/>
  <c r="H8" i="15" s="1"/>
  <c r="G8" i="13"/>
  <c r="G8" i="15" s="1"/>
  <c r="O7" i="13"/>
  <c r="O7" i="15" s="1"/>
  <c r="N7" i="13"/>
  <c r="N7" i="15" s="1"/>
  <c r="H7" i="13"/>
  <c r="H7" i="15" s="1"/>
  <c r="G7" i="13"/>
  <c r="G7" i="15" s="1"/>
  <c r="O6" i="13"/>
  <c r="O6" i="15" s="1"/>
  <c r="N6" i="13"/>
  <c r="N6" i="15" s="1"/>
  <c r="H6" i="13"/>
  <c r="H6" i="15" s="1"/>
  <c r="G6" i="13"/>
  <c r="G6" i="15" s="1"/>
  <c r="O5" i="13"/>
  <c r="O5" i="15" s="1"/>
  <c r="N5" i="13"/>
  <c r="N5" i="15" s="1"/>
  <c r="H5" i="13"/>
  <c r="H5" i="15" s="1"/>
  <c r="G5" i="13"/>
  <c r="G5" i="15" s="1"/>
  <c r="O4" i="13"/>
  <c r="O4" i="15" s="1"/>
  <c r="N4" i="13"/>
  <c r="N4" i="15" s="1"/>
  <c r="H4" i="13"/>
  <c r="H4" i="15" s="1"/>
  <c r="G4" i="13"/>
  <c r="G4" i="15" s="1"/>
  <c r="O3" i="13"/>
  <c r="O3" i="15" s="1"/>
  <c r="N3" i="13"/>
  <c r="N3" i="15" s="1"/>
  <c r="H3" i="13"/>
  <c r="H3" i="15" s="1"/>
  <c r="G3" i="13"/>
  <c r="G3" i="15" s="1"/>
  <c r="Q152" i="13" l="1"/>
  <c r="Q152" i="15" s="1"/>
  <c r="G152" i="15"/>
  <c r="Q153" i="13"/>
  <c r="Q153" i="15" s="1"/>
  <c r="G153" i="15"/>
  <c r="Q154" i="13"/>
  <c r="Q154" i="15" s="1"/>
  <c r="G154" i="15"/>
  <c r="Q157" i="13"/>
  <c r="Q157" i="15" s="1"/>
  <c r="G157" i="15"/>
  <c r="Q158" i="13"/>
  <c r="Q158" i="15" s="1"/>
  <c r="G158" i="15"/>
  <c r="Q159" i="13"/>
  <c r="Q159" i="15" s="1"/>
  <c r="G159" i="15"/>
  <c r="Q160" i="13"/>
  <c r="Q160" i="15" s="1"/>
  <c r="G160" i="15"/>
  <c r="Q161" i="13"/>
  <c r="Q161" i="15" s="1"/>
  <c r="G161" i="15"/>
  <c r="Q162" i="13"/>
  <c r="Q162" i="15" s="1"/>
  <c r="G162" i="15"/>
  <c r="Q165" i="13"/>
  <c r="Q165" i="15" s="1"/>
  <c r="G165" i="15"/>
  <c r="Q166" i="13"/>
  <c r="Q166" i="15" s="1"/>
  <c r="G166" i="15"/>
  <c r="Q167" i="13"/>
  <c r="Q167" i="15" s="1"/>
  <c r="G167" i="15"/>
  <c r="Q169" i="13"/>
  <c r="Q169" i="15" s="1"/>
  <c r="G169" i="15"/>
  <c r="Q170" i="13"/>
  <c r="Q170" i="15" s="1"/>
  <c r="G170" i="15"/>
  <c r="Q171" i="13"/>
  <c r="Q171" i="15" s="1"/>
  <c r="G171" i="15"/>
  <c r="Q172" i="13"/>
  <c r="Q172" i="15" s="1"/>
  <c r="G172" i="15"/>
  <c r="R55" i="13"/>
  <c r="R55" i="15" s="1"/>
  <c r="R87" i="13"/>
  <c r="R87" i="15" s="1"/>
  <c r="R119" i="13"/>
  <c r="R119" i="15" s="1"/>
  <c r="R124" i="13"/>
  <c r="R124" i="15" s="1"/>
  <c r="R125" i="13"/>
  <c r="R125" i="15" s="1"/>
  <c r="R130" i="13"/>
  <c r="R130" i="15" s="1"/>
  <c r="R135" i="13"/>
  <c r="R135" i="15" s="1"/>
  <c r="R144" i="13"/>
  <c r="R144" i="15" s="1"/>
  <c r="R145" i="13"/>
  <c r="R145" i="15" s="1"/>
  <c r="R146" i="13"/>
  <c r="R146" i="15" s="1"/>
  <c r="R151" i="13"/>
  <c r="R151" i="15" s="1"/>
  <c r="R160" i="13"/>
  <c r="R160" i="15" s="1"/>
  <c r="R161" i="13"/>
  <c r="R161" i="15" s="1"/>
  <c r="R166" i="13"/>
  <c r="R166" i="15" s="1"/>
  <c r="R167" i="13"/>
  <c r="R167" i="15" s="1"/>
  <c r="R171" i="13"/>
  <c r="R171" i="15" s="1"/>
  <c r="Q24" i="13"/>
  <c r="Q24" i="15" s="1"/>
  <c r="Q25" i="13"/>
  <c r="Q25" i="15" s="1"/>
  <c r="Q26" i="13"/>
  <c r="Q26" i="15" s="1"/>
  <c r="Q29" i="13"/>
  <c r="Q29" i="15" s="1"/>
  <c r="Q30" i="13"/>
  <c r="Q30" i="15" s="1"/>
  <c r="Q31" i="13"/>
  <c r="Q31" i="15" s="1"/>
  <c r="Q32" i="13"/>
  <c r="Q32" i="15" s="1"/>
  <c r="Q33" i="13"/>
  <c r="Q33" i="15" s="1"/>
  <c r="Q34" i="13"/>
  <c r="Q34" i="15" s="1"/>
  <c r="Q37" i="13"/>
  <c r="Q37" i="15" s="1"/>
  <c r="Q38" i="13"/>
  <c r="Q38" i="15" s="1"/>
  <c r="Q39" i="13"/>
  <c r="Q39" i="15" s="1"/>
  <c r="Q40" i="13"/>
  <c r="Q40" i="15" s="1"/>
  <c r="Q41" i="13"/>
  <c r="Q41" i="15" s="1"/>
  <c r="Q42" i="13"/>
  <c r="Q42" i="15" s="1"/>
  <c r="Q45" i="13"/>
  <c r="Q45" i="15" s="1"/>
  <c r="Q46" i="13"/>
  <c r="Q46" i="15" s="1"/>
  <c r="Q47" i="13"/>
  <c r="Q47" i="15" s="1"/>
  <c r="Q48" i="13"/>
  <c r="Q48" i="15" s="1"/>
  <c r="Q49" i="13"/>
  <c r="Q49" i="15" s="1"/>
  <c r="Q50" i="13"/>
  <c r="Q50" i="15" s="1"/>
  <c r="Q53" i="13"/>
  <c r="Q53" i="15" s="1"/>
  <c r="Q54" i="13"/>
  <c r="Q54" i="15" s="1"/>
  <c r="Q55" i="13"/>
  <c r="Q55" i="15" s="1"/>
  <c r="R63" i="13"/>
  <c r="R63" i="15" s="1"/>
  <c r="R75" i="13"/>
  <c r="R75" i="15" s="1"/>
  <c r="R83" i="13"/>
  <c r="R83" i="15" s="1"/>
  <c r="R91" i="13"/>
  <c r="R91" i="15" s="1"/>
  <c r="R99" i="13"/>
  <c r="R99" i="15" s="1"/>
  <c r="R107" i="13"/>
  <c r="R107" i="15" s="1"/>
  <c r="R32" i="13"/>
  <c r="R32" i="15" s="1"/>
  <c r="R33" i="13"/>
  <c r="R33" i="15" s="1"/>
  <c r="R38" i="13"/>
  <c r="R38" i="15" s="1"/>
  <c r="R39" i="13"/>
  <c r="R39" i="15" s="1"/>
  <c r="R44" i="13"/>
  <c r="R44" i="15" s="1"/>
  <c r="R45" i="13"/>
  <c r="R45" i="15" s="1"/>
  <c r="R54" i="13"/>
  <c r="R54" i="15" s="1"/>
  <c r="Q57" i="13"/>
  <c r="Q57" i="15" s="1"/>
  <c r="Q58" i="13"/>
  <c r="Q58" i="15" s="1"/>
  <c r="Q59" i="13"/>
  <c r="Q59" i="15" s="1"/>
  <c r="Q60" i="13"/>
  <c r="Q60" i="15" s="1"/>
  <c r="Q61" i="13"/>
  <c r="Q61" i="15" s="1"/>
  <c r="Q62" i="13"/>
  <c r="Q62" i="15" s="1"/>
  <c r="Q65" i="13"/>
  <c r="Q65" i="15" s="1"/>
  <c r="Q66" i="13"/>
  <c r="Q66" i="15" s="1"/>
  <c r="Q67" i="13"/>
  <c r="Q67" i="15" s="1"/>
  <c r="Q68" i="13"/>
  <c r="Q68" i="15" s="1"/>
  <c r="Q69" i="13"/>
  <c r="Q69" i="15" s="1"/>
  <c r="Q70" i="13"/>
  <c r="Q70" i="15" s="1"/>
  <c r="Q73" i="13"/>
  <c r="Q73" i="15" s="1"/>
  <c r="Q74" i="13"/>
  <c r="Q74" i="15" s="1"/>
  <c r="Q75" i="13"/>
  <c r="Q75" i="15" s="1"/>
  <c r="Q76" i="13"/>
  <c r="Q76" i="15" s="1"/>
  <c r="Q77" i="13"/>
  <c r="Q77" i="15" s="1"/>
  <c r="Q78" i="13"/>
  <c r="Q78" i="15" s="1"/>
  <c r="Q81" i="13"/>
  <c r="Q81" i="15" s="1"/>
  <c r="Q82" i="13"/>
  <c r="Q82" i="15" s="1"/>
  <c r="Q83" i="13"/>
  <c r="Q83" i="15" s="1"/>
  <c r="Q84" i="13"/>
  <c r="Q84" i="15" s="1"/>
  <c r="Q85" i="13"/>
  <c r="Q85" i="15" s="1"/>
  <c r="Q86" i="13"/>
  <c r="Q86" i="15" s="1"/>
  <c r="R60" i="13"/>
  <c r="R60" i="15" s="1"/>
  <c r="R61" i="13"/>
  <c r="R61" i="15" s="1"/>
  <c r="R66" i="13"/>
  <c r="R66" i="15" s="1"/>
  <c r="R71" i="13"/>
  <c r="R71" i="15" s="1"/>
  <c r="R80" i="13"/>
  <c r="R80" i="15" s="1"/>
  <c r="R81" i="13"/>
  <c r="R81" i="15" s="1"/>
  <c r="R82" i="13"/>
  <c r="R82" i="15" s="1"/>
  <c r="Q88" i="13"/>
  <c r="Q88" i="15" s="1"/>
  <c r="Q89" i="13"/>
  <c r="Q89" i="15" s="1"/>
  <c r="Q90" i="13"/>
  <c r="Q90" i="15" s="1"/>
  <c r="Q93" i="13"/>
  <c r="Q93" i="15" s="1"/>
  <c r="Q94" i="13"/>
  <c r="Q94" i="15" s="1"/>
  <c r="Q95" i="13"/>
  <c r="Q95" i="15" s="1"/>
  <c r="Q96" i="13"/>
  <c r="Q96" i="15" s="1"/>
  <c r="Q97" i="13"/>
  <c r="Q97" i="15" s="1"/>
  <c r="Q98" i="13"/>
  <c r="Q98" i="15" s="1"/>
  <c r="Q101" i="13"/>
  <c r="Q101" i="15" s="1"/>
  <c r="Q102" i="13"/>
  <c r="Q102" i="15" s="1"/>
  <c r="Q103" i="13"/>
  <c r="Q103" i="15" s="1"/>
  <c r="Q104" i="13"/>
  <c r="Q104" i="15" s="1"/>
  <c r="Q105" i="13"/>
  <c r="Q105" i="15" s="1"/>
  <c r="Q106" i="13"/>
  <c r="Q106" i="15" s="1"/>
  <c r="Q109" i="13"/>
  <c r="Q109" i="15" s="1"/>
  <c r="Q110" i="13"/>
  <c r="Q110" i="15" s="1"/>
  <c r="Q111" i="13"/>
  <c r="Q111" i="15" s="1"/>
  <c r="Q112" i="13"/>
  <c r="Q112" i="15" s="1"/>
  <c r="Q113" i="13"/>
  <c r="Q113" i="15" s="1"/>
  <c r="Q114" i="13"/>
  <c r="Q114" i="15" s="1"/>
  <c r="Q117" i="13"/>
  <c r="Q117" i="15" s="1"/>
  <c r="Q118" i="13"/>
  <c r="Q118" i="15" s="1"/>
  <c r="Q119" i="13"/>
  <c r="Q119" i="15" s="1"/>
  <c r="R127" i="13"/>
  <c r="R127" i="15" s="1"/>
  <c r="R139" i="13"/>
  <c r="R139" i="15" s="1"/>
  <c r="R147" i="13"/>
  <c r="R147" i="15" s="1"/>
  <c r="R27" i="13"/>
  <c r="R27" i="15" s="1"/>
  <c r="R35" i="13"/>
  <c r="R35" i="15" s="1"/>
  <c r="R47" i="13"/>
  <c r="R47" i="15" s="1"/>
  <c r="R96" i="13"/>
  <c r="R96" i="15" s="1"/>
  <c r="R97" i="13"/>
  <c r="R97" i="15" s="1"/>
  <c r="R102" i="13"/>
  <c r="R102" i="15" s="1"/>
  <c r="R103" i="13"/>
  <c r="R103" i="15" s="1"/>
  <c r="R112" i="13"/>
  <c r="R112" i="15" s="1"/>
  <c r="R118" i="13"/>
  <c r="R118" i="15" s="1"/>
  <c r="Q121" i="13"/>
  <c r="Q121" i="15" s="1"/>
  <c r="Q122" i="13"/>
  <c r="Q122" i="15" s="1"/>
  <c r="Q123" i="13"/>
  <c r="Q123" i="15" s="1"/>
  <c r="Q124" i="13"/>
  <c r="Q124" i="15" s="1"/>
  <c r="Q125" i="13"/>
  <c r="Q125" i="15" s="1"/>
  <c r="Q126" i="13"/>
  <c r="Q126" i="15" s="1"/>
  <c r="Q129" i="13"/>
  <c r="Q129" i="15" s="1"/>
  <c r="Q130" i="13"/>
  <c r="Q130" i="15" s="1"/>
  <c r="Q131" i="13"/>
  <c r="Q131" i="15" s="1"/>
  <c r="Q132" i="13"/>
  <c r="Q132" i="15" s="1"/>
  <c r="Q133" i="13"/>
  <c r="Q133" i="15" s="1"/>
  <c r="Q134" i="13"/>
  <c r="Q134" i="15" s="1"/>
  <c r="Q137" i="13"/>
  <c r="Q137" i="15" s="1"/>
  <c r="Q138" i="13"/>
  <c r="Q138" i="15" s="1"/>
  <c r="Q139" i="13"/>
  <c r="Q139" i="15" s="1"/>
  <c r="Q140" i="13"/>
  <c r="Q140" i="15" s="1"/>
  <c r="Q141" i="13"/>
  <c r="Q141" i="15" s="1"/>
  <c r="Q142" i="13"/>
  <c r="Q142" i="15" s="1"/>
  <c r="Q145" i="13"/>
  <c r="Q145" i="15" s="1"/>
  <c r="Q146" i="13"/>
  <c r="Q146" i="15" s="1"/>
  <c r="Q147" i="13"/>
  <c r="Q147" i="15" s="1"/>
  <c r="Q148" i="13"/>
  <c r="Q148" i="15" s="1"/>
  <c r="Q149" i="13"/>
  <c r="Q149" i="15" s="1"/>
  <c r="Q150" i="13"/>
  <c r="Q150" i="15" s="1"/>
  <c r="R155" i="13"/>
  <c r="R155" i="15" s="1"/>
  <c r="R28" i="13"/>
  <c r="R28" i="15" s="1"/>
  <c r="R29" i="13"/>
  <c r="R29" i="15" s="1"/>
  <c r="R31" i="13"/>
  <c r="R31" i="15" s="1"/>
  <c r="Q43" i="13"/>
  <c r="Q43" i="15" s="1"/>
  <c r="Q44" i="13"/>
  <c r="Q44" i="15" s="1"/>
  <c r="R50" i="13"/>
  <c r="R50" i="15" s="1"/>
  <c r="Q51" i="13"/>
  <c r="Q51" i="15" s="1"/>
  <c r="Q52" i="13"/>
  <c r="Q52" i="15" s="1"/>
  <c r="R59" i="13"/>
  <c r="R59" i="15" s="1"/>
  <c r="R64" i="13"/>
  <c r="R64" i="15" s="1"/>
  <c r="R65" i="13"/>
  <c r="R65" i="15" s="1"/>
  <c r="R67" i="13"/>
  <c r="R67" i="15" s="1"/>
  <c r="Q72" i="13"/>
  <c r="Q72" i="15" s="1"/>
  <c r="Q79" i="13"/>
  <c r="Q79" i="15" s="1"/>
  <c r="Q80" i="13"/>
  <c r="Q80" i="15" s="1"/>
  <c r="R86" i="13"/>
  <c r="R86" i="15" s="1"/>
  <c r="Q87" i="13"/>
  <c r="Q87" i="15" s="1"/>
  <c r="R92" i="13"/>
  <c r="R92" i="15" s="1"/>
  <c r="R93" i="13"/>
  <c r="R93" i="15" s="1"/>
  <c r="R95" i="13"/>
  <c r="R95" i="15" s="1"/>
  <c r="Q107" i="13"/>
  <c r="Q107" i="15" s="1"/>
  <c r="Q108" i="13"/>
  <c r="Q108" i="15" s="1"/>
  <c r="R114" i="13"/>
  <c r="R114" i="15" s="1"/>
  <c r="Q115" i="13"/>
  <c r="Q115" i="15" s="1"/>
  <c r="Q116" i="13"/>
  <c r="Q116" i="15" s="1"/>
  <c r="R123" i="13"/>
  <c r="R123" i="15" s="1"/>
  <c r="R128" i="13"/>
  <c r="R128" i="15" s="1"/>
  <c r="R129" i="13"/>
  <c r="R129" i="15" s="1"/>
  <c r="R131" i="13"/>
  <c r="R131" i="15" s="1"/>
  <c r="Q136" i="13"/>
  <c r="Q136" i="15" s="1"/>
  <c r="Q143" i="13"/>
  <c r="Q143" i="15" s="1"/>
  <c r="Q144" i="13"/>
  <c r="Q144" i="15" s="1"/>
  <c r="R150" i="13"/>
  <c r="R150" i="15" s="1"/>
  <c r="Q151" i="13"/>
  <c r="Q151" i="15" s="1"/>
  <c r="R156" i="13"/>
  <c r="R156" i="15" s="1"/>
  <c r="R157" i="13"/>
  <c r="R157" i="15" s="1"/>
  <c r="R159" i="13"/>
  <c r="R159" i="15" s="1"/>
  <c r="R108" i="13"/>
  <c r="R108" i="15" s="1"/>
  <c r="R109" i="13"/>
  <c r="R109" i="15" s="1"/>
  <c r="R111" i="13"/>
  <c r="R111" i="15" s="1"/>
  <c r="R172" i="13"/>
  <c r="R172" i="15" s="1"/>
  <c r="R163" i="13"/>
  <c r="R163" i="15" s="1"/>
  <c r="Q168" i="13"/>
  <c r="Q168" i="15" s="1"/>
  <c r="Q27" i="13"/>
  <c r="Q27" i="15" s="1"/>
  <c r="Q28" i="13"/>
  <c r="Q28" i="15" s="1"/>
  <c r="R34" i="13"/>
  <c r="R34" i="15" s="1"/>
  <c r="Q35" i="13"/>
  <c r="Q35" i="15" s="1"/>
  <c r="Q36" i="13"/>
  <c r="Q36" i="15" s="1"/>
  <c r="R43" i="13"/>
  <c r="R43" i="15" s="1"/>
  <c r="R48" i="13"/>
  <c r="R48" i="15" s="1"/>
  <c r="R49" i="13"/>
  <c r="R49" i="15" s="1"/>
  <c r="R51" i="13"/>
  <c r="R51" i="15" s="1"/>
  <c r="Q56" i="13"/>
  <c r="Q56" i="15" s="1"/>
  <c r="Q63" i="13"/>
  <c r="Q63" i="15" s="1"/>
  <c r="Q64" i="13"/>
  <c r="Q64" i="15" s="1"/>
  <c r="R70" i="13"/>
  <c r="R70" i="15" s="1"/>
  <c r="Q71" i="13"/>
  <c r="Q71" i="15" s="1"/>
  <c r="R76" i="13"/>
  <c r="R76" i="15" s="1"/>
  <c r="R77" i="13"/>
  <c r="R77" i="15" s="1"/>
  <c r="R79" i="13"/>
  <c r="R79" i="15" s="1"/>
  <c r="Q91" i="13"/>
  <c r="Q91" i="15" s="1"/>
  <c r="Q92" i="13"/>
  <c r="Q92" i="15" s="1"/>
  <c r="R98" i="13"/>
  <c r="R98" i="15" s="1"/>
  <c r="Q99" i="13"/>
  <c r="Q99" i="15" s="1"/>
  <c r="Q100" i="13"/>
  <c r="Q100" i="15" s="1"/>
  <c r="R113" i="13"/>
  <c r="R113" i="15" s="1"/>
  <c r="R115" i="13"/>
  <c r="R115" i="15" s="1"/>
  <c r="Q120" i="13"/>
  <c r="Q120" i="15" s="1"/>
  <c r="Q127" i="13"/>
  <c r="Q127" i="15" s="1"/>
  <c r="Q128" i="13"/>
  <c r="Q128" i="15" s="1"/>
  <c r="R134" i="13"/>
  <c r="R134" i="15" s="1"/>
  <c r="Q135" i="13"/>
  <c r="Q135" i="15" s="1"/>
  <c r="R140" i="13"/>
  <c r="R140" i="15" s="1"/>
  <c r="R141" i="13"/>
  <c r="R141" i="15" s="1"/>
  <c r="R143" i="13"/>
  <c r="R143" i="15" s="1"/>
  <c r="Q155" i="13"/>
  <c r="Q155" i="15" s="1"/>
  <c r="Q156" i="13"/>
  <c r="Q156" i="15" s="1"/>
  <c r="R162" i="13"/>
  <c r="R162" i="15" s="1"/>
  <c r="Q163" i="13"/>
  <c r="Q163" i="15" s="1"/>
  <c r="Q164" i="13"/>
  <c r="Q164" i="15" s="1"/>
  <c r="R10" i="13"/>
  <c r="R10" i="15" s="1"/>
  <c r="R12" i="13"/>
  <c r="R12" i="15" s="1"/>
  <c r="R19" i="13"/>
  <c r="R19" i="15" s="1"/>
  <c r="R24" i="13"/>
  <c r="R24" i="15" s="1"/>
  <c r="R30" i="13"/>
  <c r="R30" i="15" s="1"/>
  <c r="R40" i="13"/>
  <c r="R40" i="15" s="1"/>
  <c r="R41" i="13"/>
  <c r="R41" i="15" s="1"/>
  <c r="R46" i="13"/>
  <c r="R46" i="15" s="1"/>
  <c r="R56" i="13"/>
  <c r="R56" i="15" s="1"/>
  <c r="R57" i="13"/>
  <c r="R57" i="15" s="1"/>
  <c r="R62" i="13"/>
  <c r="R62" i="15" s="1"/>
  <c r="R72" i="13"/>
  <c r="R72" i="15" s="1"/>
  <c r="R73" i="13"/>
  <c r="R73" i="15" s="1"/>
  <c r="R78" i="13"/>
  <c r="R78" i="15" s="1"/>
  <c r="R88" i="13"/>
  <c r="R88" i="15" s="1"/>
  <c r="R89" i="13"/>
  <c r="R89" i="15" s="1"/>
  <c r="R94" i="13"/>
  <c r="R94" i="15" s="1"/>
  <c r="R104" i="13"/>
  <c r="R104" i="15" s="1"/>
  <c r="R105" i="13"/>
  <c r="R105" i="15" s="1"/>
  <c r="R110" i="13"/>
  <c r="R110" i="15" s="1"/>
  <c r="R120" i="13"/>
  <c r="R120" i="15" s="1"/>
  <c r="R121" i="13"/>
  <c r="R121" i="15" s="1"/>
  <c r="R126" i="13"/>
  <c r="R126" i="15" s="1"/>
  <c r="R136" i="13"/>
  <c r="R136" i="15" s="1"/>
  <c r="R137" i="13"/>
  <c r="R137" i="15" s="1"/>
  <c r="R142" i="13"/>
  <c r="R142" i="15" s="1"/>
  <c r="R152" i="13"/>
  <c r="R152" i="15" s="1"/>
  <c r="R153" i="13"/>
  <c r="R153" i="15" s="1"/>
  <c r="R158" i="13"/>
  <c r="R158" i="15" s="1"/>
  <c r="R168" i="13"/>
  <c r="R168" i="15" s="1"/>
  <c r="R169" i="13"/>
  <c r="R169" i="15" s="1"/>
  <c r="R14" i="13"/>
  <c r="R14" i="15" s="1"/>
  <c r="R18" i="13"/>
  <c r="R18" i="15" s="1"/>
  <c r="R20" i="13"/>
  <c r="R20" i="15" s="1"/>
  <c r="R22" i="13"/>
  <c r="R22" i="15" s="1"/>
  <c r="R25" i="13"/>
  <c r="R25" i="15" s="1"/>
  <c r="R26" i="13"/>
  <c r="R26" i="15" s="1"/>
  <c r="R36" i="13"/>
  <c r="R36" i="15" s="1"/>
  <c r="R37" i="13"/>
  <c r="R37" i="15" s="1"/>
  <c r="R42" i="13"/>
  <c r="R42" i="15" s="1"/>
  <c r="R52" i="13"/>
  <c r="R52" i="15" s="1"/>
  <c r="R53" i="13"/>
  <c r="R53" i="15" s="1"/>
  <c r="R58" i="13"/>
  <c r="R58" i="15" s="1"/>
  <c r="R68" i="13"/>
  <c r="R68" i="15" s="1"/>
  <c r="R69" i="13"/>
  <c r="R69" i="15" s="1"/>
  <c r="R74" i="13"/>
  <c r="R74" i="15" s="1"/>
  <c r="R84" i="13"/>
  <c r="R84" i="15" s="1"/>
  <c r="R85" i="13"/>
  <c r="R85" i="15" s="1"/>
  <c r="R90" i="13"/>
  <c r="R90" i="15" s="1"/>
  <c r="R100" i="13"/>
  <c r="R100" i="15" s="1"/>
  <c r="R101" i="13"/>
  <c r="R101" i="15" s="1"/>
  <c r="R106" i="13"/>
  <c r="R106" i="15" s="1"/>
  <c r="R116" i="13"/>
  <c r="R116" i="15" s="1"/>
  <c r="R117" i="13"/>
  <c r="R117" i="15" s="1"/>
  <c r="R122" i="13"/>
  <c r="R122" i="15" s="1"/>
  <c r="R132" i="13"/>
  <c r="R132" i="15" s="1"/>
  <c r="R133" i="13"/>
  <c r="R133" i="15" s="1"/>
  <c r="R138" i="13"/>
  <c r="R138" i="15" s="1"/>
  <c r="R148" i="13"/>
  <c r="R148" i="15" s="1"/>
  <c r="R149" i="13"/>
  <c r="R149" i="15" s="1"/>
  <c r="R154" i="13"/>
  <c r="R154" i="15" s="1"/>
  <c r="R164" i="13"/>
  <c r="R164" i="15" s="1"/>
  <c r="R165" i="13"/>
  <c r="R165" i="15" s="1"/>
  <c r="R170" i="13"/>
  <c r="R170" i="15" s="1"/>
  <c r="R23" i="13"/>
  <c r="R23" i="15" s="1"/>
  <c r="Q23" i="13"/>
  <c r="Q23" i="15" s="1"/>
  <c r="Q22" i="13"/>
  <c r="Q22" i="15" s="1"/>
  <c r="R21" i="13"/>
  <c r="R21" i="15" s="1"/>
  <c r="Q21" i="13"/>
  <c r="Q21" i="15" s="1"/>
  <c r="Q20" i="13"/>
  <c r="Q20" i="15" s="1"/>
  <c r="Q19" i="13"/>
  <c r="Q19" i="15" s="1"/>
  <c r="Q18" i="13"/>
  <c r="Q18" i="15" s="1"/>
  <c r="R17" i="13"/>
  <c r="R17" i="15" s="1"/>
  <c r="Q17" i="13"/>
  <c r="Q17" i="15" s="1"/>
  <c r="R16" i="13"/>
  <c r="R16" i="15" s="1"/>
  <c r="Q16" i="13"/>
  <c r="Q16" i="15" s="1"/>
  <c r="R15" i="13"/>
  <c r="R15" i="15" s="1"/>
  <c r="R11" i="13"/>
  <c r="R11" i="15" s="1"/>
  <c r="R8" i="13"/>
  <c r="R8" i="15" s="1"/>
  <c r="Q12" i="13"/>
  <c r="Q12" i="15" s="1"/>
  <c r="Q8" i="13"/>
  <c r="Q8" i="15" s="1"/>
  <c r="R7" i="13"/>
  <c r="R7" i="15" s="1"/>
  <c r="R4" i="13"/>
  <c r="R4" i="15" s="1"/>
  <c r="Q4" i="13"/>
  <c r="Q4" i="15" s="1"/>
  <c r="R6" i="13"/>
  <c r="R6" i="15" s="1"/>
  <c r="Q15" i="13"/>
  <c r="Q15" i="15" s="1"/>
  <c r="Q14" i="13"/>
  <c r="Q14" i="15" s="1"/>
  <c r="R13" i="13"/>
  <c r="R13" i="15" s="1"/>
  <c r="Q13" i="13"/>
  <c r="Q13" i="15" s="1"/>
  <c r="Q11" i="13"/>
  <c r="Q11" i="15" s="1"/>
  <c r="Q10" i="13"/>
  <c r="Q10" i="15" s="1"/>
  <c r="R9" i="13"/>
  <c r="R9" i="15" s="1"/>
  <c r="Q9" i="13"/>
  <c r="Q9" i="15" s="1"/>
  <c r="Q7" i="13"/>
  <c r="Q7" i="15" s="1"/>
  <c r="Q6" i="13"/>
  <c r="Q6" i="15" s="1"/>
  <c r="R5" i="13"/>
  <c r="R5" i="15" s="1"/>
  <c r="Q5" i="13"/>
  <c r="Q5" i="15" s="1"/>
  <c r="R3" i="13"/>
  <c r="R3" i="15" s="1"/>
  <c r="Q3" i="13"/>
  <c r="Q3" i="15" s="1"/>
  <c r="O2" i="13"/>
  <c r="O2" i="15" s="1"/>
  <c r="G2" i="13"/>
  <c r="G2" i="15" s="1"/>
  <c r="N2" i="13"/>
  <c r="N2" i="15" s="1"/>
  <c r="H2" i="13"/>
  <c r="H2" i="15" s="1"/>
  <c r="R2" i="13" l="1"/>
  <c r="R2" i="15" s="1"/>
  <c r="Q2" i="13"/>
  <c r="Q2" i="15" s="1"/>
  <c r="H37" i="12"/>
  <c r="I37" i="12" s="1"/>
  <c r="H36" i="12"/>
  <c r="I36" i="12" s="1"/>
  <c r="H35" i="12"/>
  <c r="I35" i="12" s="1"/>
  <c r="H34" i="12"/>
  <c r="I34" i="12" s="1"/>
  <c r="H33" i="12"/>
  <c r="I33" i="12" s="1"/>
  <c r="H32" i="12"/>
  <c r="I32" i="12" s="1"/>
  <c r="H31" i="12"/>
  <c r="I31" i="12" s="1"/>
  <c r="H30" i="12"/>
  <c r="I30" i="12" s="1"/>
  <c r="H29" i="12"/>
  <c r="I29" i="12" s="1"/>
  <c r="H28" i="12"/>
  <c r="I28" i="12" s="1"/>
  <c r="H27" i="12"/>
  <c r="I27" i="12" s="1"/>
  <c r="H26" i="12"/>
  <c r="I26" i="12" s="1"/>
  <c r="H25" i="12"/>
  <c r="I25" i="12" s="1"/>
  <c r="H24" i="12"/>
  <c r="I24" i="12" s="1"/>
  <c r="H23" i="12"/>
  <c r="I23" i="12" s="1"/>
  <c r="H22" i="12"/>
  <c r="I22" i="12" s="1"/>
  <c r="H21" i="12"/>
  <c r="I21" i="12" s="1"/>
  <c r="H20" i="12"/>
  <c r="I20" i="12" s="1"/>
  <c r="H19" i="12"/>
  <c r="I19" i="12" s="1"/>
  <c r="H18" i="12"/>
  <c r="I18" i="12" s="1"/>
  <c r="H17" i="12"/>
  <c r="I17" i="12" s="1"/>
  <c r="H16" i="12"/>
  <c r="I16" i="12" s="1"/>
  <c r="H15" i="12"/>
  <c r="I15" i="12" s="1"/>
  <c r="H14" i="12"/>
  <c r="I14" i="12" s="1"/>
  <c r="H13" i="12"/>
  <c r="I13" i="12" s="1"/>
  <c r="H12" i="12"/>
  <c r="I12" i="12" s="1"/>
  <c r="H11" i="12"/>
  <c r="I11" i="12" s="1"/>
  <c r="H10" i="12"/>
  <c r="I10" i="12" s="1"/>
  <c r="H9" i="12"/>
  <c r="I9" i="12" s="1"/>
  <c r="H8" i="12"/>
  <c r="I8" i="12" s="1"/>
  <c r="H7" i="12"/>
  <c r="I7" i="12" s="1"/>
  <c r="H6" i="12"/>
  <c r="I6" i="12" s="1"/>
  <c r="H5" i="12"/>
  <c r="I5" i="12" s="1"/>
  <c r="H4" i="12"/>
  <c r="I4" i="12" s="1"/>
  <c r="H3" i="12"/>
  <c r="I3" i="12" s="1"/>
  <c r="H2" i="12"/>
  <c r="I2" i="12" s="1"/>
  <c r="CM3" i="10" l="1"/>
  <c r="CM4" i="10"/>
  <c r="CM5" i="10"/>
  <c r="CM6" i="10"/>
  <c r="CM7" i="10"/>
  <c r="CM8" i="10"/>
  <c r="CM9" i="10"/>
  <c r="CM10" i="10"/>
  <c r="CM11" i="10"/>
  <c r="CM12" i="10"/>
  <c r="CM13" i="10"/>
  <c r="CM14" i="10"/>
  <c r="CM15" i="10"/>
  <c r="CM16" i="10"/>
  <c r="CM17" i="10"/>
  <c r="CM18" i="10"/>
  <c r="CM19" i="10"/>
  <c r="CM20" i="10"/>
  <c r="CM21" i="10"/>
  <c r="CM22" i="10"/>
  <c r="CM23" i="10"/>
  <c r="CM24" i="10"/>
  <c r="CM25" i="10"/>
  <c r="CM26" i="10"/>
  <c r="CM27" i="10"/>
  <c r="CM28" i="10"/>
  <c r="CM29" i="10"/>
  <c r="CM30" i="10"/>
  <c r="CO30" i="10" s="1"/>
  <c r="CM31" i="10"/>
  <c r="CO31" i="10" s="1"/>
  <c r="CM32" i="10"/>
  <c r="CO32" i="10" s="1"/>
  <c r="CM33" i="10"/>
  <c r="CO33" i="10" s="1"/>
  <c r="CM34" i="10"/>
  <c r="CO34" i="10" s="1"/>
  <c r="CM35" i="10"/>
  <c r="CO35" i="10" s="1"/>
  <c r="CM36" i="10"/>
  <c r="CO36" i="10" s="1"/>
  <c r="CM37" i="10"/>
  <c r="CO37" i="10" s="1"/>
  <c r="CM38" i="10"/>
  <c r="CO38" i="10" s="1"/>
  <c r="CM39" i="10"/>
  <c r="CO39" i="10" s="1"/>
  <c r="CM40" i="10"/>
  <c r="CO40" i="10" s="1"/>
  <c r="CM41" i="10"/>
  <c r="CO41" i="10" s="1"/>
  <c r="CM42" i="10"/>
  <c r="CO42" i="10" s="1"/>
  <c r="CM43" i="10"/>
  <c r="CO43" i="10" s="1"/>
  <c r="CM2" i="10"/>
  <c r="CJ3" i="10" l="1"/>
  <c r="CJ4" i="10"/>
  <c r="CJ5" i="10"/>
  <c r="CJ6" i="10"/>
  <c r="CJ7" i="10"/>
  <c r="CJ8" i="10"/>
  <c r="CJ9" i="10"/>
  <c r="CJ10" i="10"/>
  <c r="CJ11" i="10"/>
  <c r="CJ12" i="10"/>
  <c r="CJ13" i="10"/>
  <c r="CJ14" i="10"/>
  <c r="CJ15" i="10"/>
  <c r="CJ16" i="10"/>
  <c r="CJ17" i="10"/>
  <c r="CJ18" i="10"/>
  <c r="CJ19" i="10"/>
  <c r="CJ20" i="10"/>
  <c r="CJ21" i="10"/>
  <c r="CJ22" i="10"/>
  <c r="CJ23" i="10"/>
  <c r="CJ24" i="10"/>
  <c r="CJ25" i="10"/>
  <c r="CJ26" i="10"/>
  <c r="CJ27" i="10"/>
  <c r="CJ28" i="10"/>
  <c r="CJ29" i="10"/>
  <c r="CJ30" i="10"/>
  <c r="CJ31" i="10"/>
  <c r="CJ32" i="10"/>
  <c r="CJ33" i="10"/>
  <c r="CJ34" i="10"/>
  <c r="CJ35" i="10"/>
  <c r="CJ36" i="10"/>
  <c r="CJ37" i="10"/>
  <c r="CJ38" i="10"/>
  <c r="CJ39" i="10"/>
  <c r="CJ40" i="10"/>
  <c r="CJ41" i="10"/>
  <c r="CJ42" i="10"/>
  <c r="CJ43" i="10"/>
  <c r="CJ2" i="10"/>
  <c r="CG3" i="10"/>
  <c r="CG4" i="10"/>
  <c r="CG5" i="10"/>
  <c r="CG6" i="10"/>
  <c r="CG7" i="10"/>
  <c r="CG8" i="10"/>
  <c r="CG9" i="10"/>
  <c r="CG10" i="10"/>
  <c r="CG11" i="10"/>
  <c r="CG12" i="10"/>
  <c r="CG13" i="10"/>
  <c r="CG14" i="10"/>
  <c r="CG15" i="10"/>
  <c r="CG16" i="10"/>
  <c r="CG17" i="10"/>
  <c r="CG18" i="10"/>
  <c r="CG19" i="10"/>
  <c r="CG20" i="10"/>
  <c r="CG21" i="10"/>
  <c r="CG22" i="10"/>
  <c r="CG23" i="10"/>
  <c r="CG24" i="10"/>
  <c r="CG25" i="10"/>
  <c r="CG26" i="10"/>
  <c r="CG27" i="10"/>
  <c r="CG28" i="10"/>
  <c r="CG29" i="10"/>
  <c r="CG30" i="10"/>
  <c r="CG31" i="10"/>
  <c r="CG32" i="10"/>
  <c r="CG33" i="10"/>
  <c r="CG34" i="10"/>
  <c r="CG35" i="10"/>
  <c r="CG36" i="10"/>
  <c r="CG37" i="10"/>
  <c r="CG38" i="10"/>
  <c r="CG39" i="10"/>
  <c r="CG40" i="10"/>
  <c r="CG41" i="10"/>
  <c r="CG42" i="10"/>
  <c r="CG43" i="10"/>
  <c r="CG2" i="10"/>
  <c r="CD3" i="10"/>
  <c r="CD4" i="10"/>
  <c r="CD5" i="10"/>
  <c r="CD6" i="10"/>
  <c r="CD7" i="10"/>
  <c r="CD8" i="10"/>
  <c r="CD9" i="10"/>
  <c r="CD10" i="10"/>
  <c r="CD11" i="10"/>
  <c r="CD12" i="10"/>
  <c r="CD13" i="10"/>
  <c r="CD14" i="10"/>
  <c r="CD15" i="10"/>
  <c r="CD16" i="10"/>
  <c r="CD17" i="10"/>
  <c r="CD18" i="10"/>
  <c r="CD19" i="10"/>
  <c r="CD20" i="10"/>
  <c r="CD21" i="10"/>
  <c r="CD22" i="10"/>
  <c r="CD23" i="10"/>
  <c r="CD24" i="10"/>
  <c r="CD25" i="10"/>
  <c r="CD26" i="10"/>
  <c r="CD27" i="10"/>
  <c r="CD28" i="10"/>
  <c r="CD29" i="10"/>
  <c r="CD30" i="10"/>
  <c r="CD31" i="10"/>
  <c r="CD32" i="10"/>
  <c r="CD33" i="10"/>
  <c r="CD34" i="10"/>
  <c r="CD35" i="10"/>
  <c r="CD36" i="10"/>
  <c r="CD37" i="10"/>
  <c r="CD38" i="10"/>
  <c r="CD39" i="10"/>
  <c r="CD40" i="10"/>
  <c r="CD41" i="10"/>
  <c r="CD42" i="10"/>
  <c r="CD43" i="10"/>
  <c r="CD2" i="10"/>
  <c r="CA3" i="10"/>
  <c r="CA4" i="10"/>
  <c r="CA5" i="10"/>
  <c r="CA6" i="10"/>
  <c r="CA7" i="10"/>
  <c r="CA8" i="10"/>
  <c r="CA9" i="10"/>
  <c r="CA10" i="10"/>
  <c r="CA11" i="10"/>
  <c r="CA12" i="10"/>
  <c r="CA13" i="10"/>
  <c r="CA14" i="10"/>
  <c r="CA15" i="10"/>
  <c r="CA16" i="10"/>
  <c r="CA17" i="10"/>
  <c r="CA18" i="10"/>
  <c r="CA19" i="10"/>
  <c r="CA20" i="10"/>
  <c r="CA21" i="10"/>
  <c r="CA22" i="10"/>
  <c r="CA23" i="10"/>
  <c r="CA24" i="10"/>
  <c r="CA25" i="10"/>
  <c r="CA26" i="10"/>
  <c r="CA27" i="10"/>
  <c r="CA28" i="10"/>
  <c r="CA29" i="10"/>
  <c r="CA30" i="10"/>
  <c r="CA31" i="10"/>
  <c r="CA32" i="10"/>
  <c r="CA33" i="10"/>
  <c r="CA34" i="10"/>
  <c r="CA35" i="10"/>
  <c r="CA36" i="10"/>
  <c r="CA37" i="10"/>
  <c r="CA38" i="10"/>
  <c r="CA39" i="10"/>
  <c r="CA40" i="10"/>
  <c r="CA41" i="10"/>
  <c r="CA42" i="10"/>
  <c r="CA43" i="10"/>
  <c r="CA2" i="10"/>
  <c r="BX3" i="10"/>
  <c r="BZ3" i="10" s="1"/>
  <c r="BX4" i="10"/>
  <c r="BZ4" i="10" s="1"/>
  <c r="BX5" i="10"/>
  <c r="BZ5" i="10" s="1"/>
  <c r="BX6" i="10"/>
  <c r="BZ6" i="10" s="1"/>
  <c r="BX7" i="10"/>
  <c r="BZ7" i="10" s="1"/>
  <c r="BX8" i="10"/>
  <c r="BZ8" i="10" s="1"/>
  <c r="BX9" i="10"/>
  <c r="BZ9" i="10" s="1"/>
  <c r="BX10" i="10"/>
  <c r="BZ10" i="10" s="1"/>
  <c r="BX11" i="10"/>
  <c r="BZ11" i="10" s="1"/>
  <c r="BX12" i="10"/>
  <c r="BZ12" i="10" s="1"/>
  <c r="BX13" i="10"/>
  <c r="BZ13" i="10" s="1"/>
  <c r="BX14" i="10"/>
  <c r="BZ14" i="10" s="1"/>
  <c r="BX15" i="10"/>
  <c r="BZ15" i="10" s="1"/>
  <c r="BX16" i="10"/>
  <c r="BZ16" i="10" s="1"/>
  <c r="BX17" i="10"/>
  <c r="BZ17" i="10" s="1"/>
  <c r="BX18" i="10"/>
  <c r="BZ18" i="10" s="1"/>
  <c r="BX19" i="10"/>
  <c r="BZ19" i="10" s="1"/>
  <c r="BX20" i="10"/>
  <c r="BZ20" i="10" s="1"/>
  <c r="BX21" i="10"/>
  <c r="BZ21" i="10" s="1"/>
  <c r="BX22" i="10"/>
  <c r="BZ22" i="10" s="1"/>
  <c r="BX23" i="10"/>
  <c r="BZ23" i="10" s="1"/>
  <c r="BX24" i="10"/>
  <c r="BZ24" i="10" s="1"/>
  <c r="BX25" i="10"/>
  <c r="BZ25" i="10" s="1"/>
  <c r="BX26" i="10"/>
  <c r="BZ26" i="10" s="1"/>
  <c r="BX27" i="10"/>
  <c r="BZ27" i="10" s="1"/>
  <c r="BX28" i="10"/>
  <c r="BZ28" i="10" s="1"/>
  <c r="BX29" i="10"/>
  <c r="BZ29" i="10" s="1"/>
  <c r="BX30" i="10"/>
  <c r="BZ30" i="10" s="1"/>
  <c r="BX31" i="10"/>
  <c r="BZ31" i="10" s="1"/>
  <c r="BX32" i="10"/>
  <c r="BZ32" i="10" s="1"/>
  <c r="BX33" i="10"/>
  <c r="BZ33" i="10" s="1"/>
  <c r="BX34" i="10"/>
  <c r="BZ34" i="10" s="1"/>
  <c r="BX35" i="10"/>
  <c r="BZ35" i="10" s="1"/>
  <c r="BX36" i="10"/>
  <c r="BZ36" i="10" s="1"/>
  <c r="BX37" i="10"/>
  <c r="BZ37" i="10" s="1"/>
  <c r="BX38" i="10"/>
  <c r="BZ38" i="10" s="1"/>
  <c r="BX39" i="10"/>
  <c r="BZ39" i="10" s="1"/>
  <c r="BX40" i="10"/>
  <c r="BZ40" i="10" s="1"/>
  <c r="BX41" i="10"/>
  <c r="BZ41" i="10" s="1"/>
  <c r="BX42" i="10"/>
  <c r="BZ42" i="10" s="1"/>
  <c r="BX43" i="10"/>
  <c r="BZ43" i="10" s="1"/>
  <c r="BX2" i="10"/>
  <c r="BZ2" i="10" s="1"/>
  <c r="BU3" i="10"/>
  <c r="BW3" i="10" s="1"/>
  <c r="BU4" i="10"/>
  <c r="BW4" i="10" s="1"/>
  <c r="BU5" i="10"/>
  <c r="BW5" i="10" s="1"/>
  <c r="BU6" i="10"/>
  <c r="BW6" i="10" s="1"/>
  <c r="BU7" i="10"/>
  <c r="BW7" i="10" s="1"/>
  <c r="BU8" i="10"/>
  <c r="BW8" i="10" s="1"/>
  <c r="BU9" i="10"/>
  <c r="BW9" i="10" s="1"/>
  <c r="BU10" i="10"/>
  <c r="BW10" i="10" s="1"/>
  <c r="BU11" i="10"/>
  <c r="BW11" i="10" s="1"/>
  <c r="BU12" i="10"/>
  <c r="BW12" i="10" s="1"/>
  <c r="BU13" i="10"/>
  <c r="BW13" i="10" s="1"/>
  <c r="BU14" i="10"/>
  <c r="BW14" i="10" s="1"/>
  <c r="BU15" i="10"/>
  <c r="BW15" i="10" s="1"/>
  <c r="BU16" i="10"/>
  <c r="BW16" i="10" s="1"/>
  <c r="BU17" i="10"/>
  <c r="BW17" i="10" s="1"/>
  <c r="BU18" i="10"/>
  <c r="BW18" i="10" s="1"/>
  <c r="BU19" i="10"/>
  <c r="BW19" i="10" s="1"/>
  <c r="BU20" i="10"/>
  <c r="BW20" i="10" s="1"/>
  <c r="BU21" i="10"/>
  <c r="BW21" i="10" s="1"/>
  <c r="BU22" i="10"/>
  <c r="BW22" i="10" s="1"/>
  <c r="BU23" i="10"/>
  <c r="BW23" i="10" s="1"/>
  <c r="BU24" i="10"/>
  <c r="BW24" i="10" s="1"/>
  <c r="BU25" i="10"/>
  <c r="BW25" i="10" s="1"/>
  <c r="BU26" i="10"/>
  <c r="BW26" i="10" s="1"/>
  <c r="BU27" i="10"/>
  <c r="BW27" i="10" s="1"/>
  <c r="BU28" i="10"/>
  <c r="BW28" i="10" s="1"/>
  <c r="BU29" i="10"/>
  <c r="BW29" i="10" s="1"/>
  <c r="BU30" i="10"/>
  <c r="BW30" i="10" s="1"/>
  <c r="BU31" i="10"/>
  <c r="BW31" i="10" s="1"/>
  <c r="BU32" i="10"/>
  <c r="BW32" i="10" s="1"/>
  <c r="BU33" i="10"/>
  <c r="BW33" i="10" s="1"/>
  <c r="BU34" i="10"/>
  <c r="BW34" i="10" s="1"/>
  <c r="BU35" i="10"/>
  <c r="BW35" i="10" s="1"/>
  <c r="BU36" i="10"/>
  <c r="BW36" i="10" s="1"/>
  <c r="BU37" i="10"/>
  <c r="BW37" i="10" s="1"/>
  <c r="BU38" i="10"/>
  <c r="BW38" i="10" s="1"/>
  <c r="BU39" i="10"/>
  <c r="BW39" i="10" s="1"/>
  <c r="BU40" i="10"/>
  <c r="BW40" i="10" s="1"/>
  <c r="BU41" i="10"/>
  <c r="BW41" i="10" s="1"/>
  <c r="BU42" i="10"/>
  <c r="BW42" i="10" s="1"/>
  <c r="BU43" i="10"/>
  <c r="BW43" i="10" s="1"/>
  <c r="BU2" i="10"/>
  <c r="BW2" i="10" s="1"/>
  <c r="BR3" i="10"/>
  <c r="BR4" i="10"/>
  <c r="BR5" i="10"/>
  <c r="BR6" i="10"/>
  <c r="BR7" i="10"/>
  <c r="BR8" i="10"/>
  <c r="BR9" i="10"/>
  <c r="BR10" i="10"/>
  <c r="BR11" i="10"/>
  <c r="BR12" i="10"/>
  <c r="BR13" i="10"/>
  <c r="BR14" i="10"/>
  <c r="BR15" i="10"/>
  <c r="BR16" i="10"/>
  <c r="BR17" i="10"/>
  <c r="BR18" i="10"/>
  <c r="BR19" i="10"/>
  <c r="BR20" i="10"/>
  <c r="BR21" i="10"/>
  <c r="BR22" i="10"/>
  <c r="BR23" i="10"/>
  <c r="BR24" i="10"/>
  <c r="BR25" i="10"/>
  <c r="BR26" i="10"/>
  <c r="BR27" i="10"/>
  <c r="BR28" i="10"/>
  <c r="BR29" i="10"/>
  <c r="BR30" i="10"/>
  <c r="BR31" i="10"/>
  <c r="BR32" i="10"/>
  <c r="BR33" i="10"/>
  <c r="BR34" i="10"/>
  <c r="BR35" i="10"/>
  <c r="BR36" i="10"/>
  <c r="BR37" i="10"/>
  <c r="BR38" i="10"/>
  <c r="BR39" i="10"/>
  <c r="BR40" i="10"/>
  <c r="BR41" i="10"/>
  <c r="BR42" i="10"/>
  <c r="BR43" i="10"/>
  <c r="BR2" i="10"/>
  <c r="BO3" i="10"/>
  <c r="BQ3" i="10" s="1"/>
  <c r="BO4" i="10"/>
  <c r="BQ4" i="10" s="1"/>
  <c r="BO5" i="10"/>
  <c r="BQ5" i="10" s="1"/>
  <c r="BO6" i="10"/>
  <c r="BQ6" i="10" s="1"/>
  <c r="BO7" i="10"/>
  <c r="BQ7" i="10" s="1"/>
  <c r="BO8" i="10"/>
  <c r="BQ8" i="10" s="1"/>
  <c r="BO9" i="10"/>
  <c r="BQ9" i="10" s="1"/>
  <c r="BO10" i="10"/>
  <c r="BQ10" i="10" s="1"/>
  <c r="BO11" i="10"/>
  <c r="BQ11" i="10" s="1"/>
  <c r="BO12" i="10"/>
  <c r="BQ12" i="10" s="1"/>
  <c r="BO13" i="10"/>
  <c r="BQ13" i="10" s="1"/>
  <c r="BO14" i="10"/>
  <c r="BQ14" i="10" s="1"/>
  <c r="BO15" i="10"/>
  <c r="BQ15" i="10" s="1"/>
  <c r="BO16" i="10"/>
  <c r="BQ16" i="10" s="1"/>
  <c r="BO17" i="10"/>
  <c r="BQ17" i="10" s="1"/>
  <c r="BO18" i="10"/>
  <c r="BQ18" i="10" s="1"/>
  <c r="BO19" i="10"/>
  <c r="BQ19" i="10" s="1"/>
  <c r="BO20" i="10"/>
  <c r="BQ20" i="10" s="1"/>
  <c r="BO21" i="10"/>
  <c r="BQ21" i="10" s="1"/>
  <c r="BO22" i="10"/>
  <c r="BQ22" i="10" s="1"/>
  <c r="BO23" i="10"/>
  <c r="BQ23" i="10" s="1"/>
  <c r="BO24" i="10"/>
  <c r="BQ24" i="10" s="1"/>
  <c r="BO25" i="10"/>
  <c r="BQ25" i="10" s="1"/>
  <c r="BO26" i="10"/>
  <c r="BQ26" i="10" s="1"/>
  <c r="BO27" i="10"/>
  <c r="BQ27" i="10" s="1"/>
  <c r="BO28" i="10"/>
  <c r="BQ28" i="10" s="1"/>
  <c r="BO29" i="10"/>
  <c r="BQ29" i="10" s="1"/>
  <c r="BO30" i="10"/>
  <c r="BQ30" i="10" s="1"/>
  <c r="BO31" i="10"/>
  <c r="BQ31" i="10" s="1"/>
  <c r="BO32" i="10"/>
  <c r="BQ32" i="10" s="1"/>
  <c r="BO33" i="10"/>
  <c r="BQ33" i="10" s="1"/>
  <c r="BO34" i="10"/>
  <c r="BQ34" i="10" s="1"/>
  <c r="BO35" i="10"/>
  <c r="BQ35" i="10" s="1"/>
  <c r="BO36" i="10"/>
  <c r="BQ36" i="10" s="1"/>
  <c r="BO37" i="10"/>
  <c r="BQ37" i="10" s="1"/>
  <c r="BO38" i="10"/>
  <c r="BQ38" i="10" s="1"/>
  <c r="BO39" i="10"/>
  <c r="BQ39" i="10" s="1"/>
  <c r="BO40" i="10"/>
  <c r="BQ40" i="10" s="1"/>
  <c r="BO41" i="10"/>
  <c r="BQ41" i="10" s="1"/>
  <c r="BO42" i="10"/>
  <c r="BQ42" i="10" s="1"/>
  <c r="BO43" i="10"/>
  <c r="BQ43" i="10" s="1"/>
  <c r="BO2" i="10"/>
  <c r="BQ2" i="10" s="1"/>
  <c r="BL3" i="10"/>
  <c r="BN3" i="10" s="1"/>
  <c r="BL4" i="10"/>
  <c r="BN4" i="10" s="1"/>
  <c r="BL5" i="10"/>
  <c r="BN5" i="10" s="1"/>
  <c r="BL6" i="10"/>
  <c r="BN6" i="10" s="1"/>
  <c r="BL7" i="10"/>
  <c r="BN7" i="10" s="1"/>
  <c r="BL8" i="10"/>
  <c r="BN8" i="10" s="1"/>
  <c r="BL9" i="10"/>
  <c r="BN9" i="10" s="1"/>
  <c r="BL10" i="10"/>
  <c r="BN10" i="10" s="1"/>
  <c r="BL11" i="10"/>
  <c r="BN11" i="10" s="1"/>
  <c r="BL12" i="10"/>
  <c r="BN12" i="10" s="1"/>
  <c r="BL13" i="10"/>
  <c r="BN13" i="10" s="1"/>
  <c r="BL14" i="10"/>
  <c r="BN14" i="10" s="1"/>
  <c r="BL15" i="10"/>
  <c r="BN15" i="10" s="1"/>
  <c r="BL16" i="10"/>
  <c r="BN16" i="10" s="1"/>
  <c r="BL17" i="10"/>
  <c r="BN17" i="10" s="1"/>
  <c r="BL18" i="10"/>
  <c r="BN18" i="10" s="1"/>
  <c r="BL19" i="10"/>
  <c r="BN19" i="10" s="1"/>
  <c r="BL20" i="10"/>
  <c r="BN20" i="10" s="1"/>
  <c r="BL21" i="10"/>
  <c r="BN21" i="10" s="1"/>
  <c r="BL22" i="10"/>
  <c r="BN22" i="10" s="1"/>
  <c r="BL23" i="10"/>
  <c r="BN23" i="10" s="1"/>
  <c r="BL24" i="10"/>
  <c r="BN24" i="10" s="1"/>
  <c r="BL25" i="10"/>
  <c r="BN25" i="10" s="1"/>
  <c r="BL26" i="10"/>
  <c r="BN26" i="10" s="1"/>
  <c r="BL27" i="10"/>
  <c r="BN27" i="10" s="1"/>
  <c r="BL28" i="10"/>
  <c r="BN28" i="10" s="1"/>
  <c r="BL29" i="10"/>
  <c r="BN29" i="10" s="1"/>
  <c r="BL30" i="10"/>
  <c r="BN30" i="10" s="1"/>
  <c r="BL31" i="10"/>
  <c r="BN31" i="10" s="1"/>
  <c r="BL32" i="10"/>
  <c r="BN32" i="10" s="1"/>
  <c r="BL33" i="10"/>
  <c r="BN33" i="10" s="1"/>
  <c r="BL34" i="10"/>
  <c r="BN34" i="10" s="1"/>
  <c r="BL35" i="10"/>
  <c r="BN35" i="10" s="1"/>
  <c r="BL36" i="10"/>
  <c r="BN36" i="10" s="1"/>
  <c r="BL37" i="10"/>
  <c r="BN37" i="10" s="1"/>
  <c r="BL38" i="10"/>
  <c r="BN38" i="10" s="1"/>
  <c r="BL39" i="10"/>
  <c r="BN39" i="10" s="1"/>
  <c r="BL40" i="10"/>
  <c r="BN40" i="10" s="1"/>
  <c r="BL41" i="10"/>
  <c r="BN41" i="10" s="1"/>
  <c r="BL42" i="10"/>
  <c r="BN42" i="10" s="1"/>
  <c r="BL43" i="10"/>
  <c r="BN43" i="10" s="1"/>
  <c r="BL2" i="10"/>
  <c r="BN2" i="10" s="1"/>
  <c r="BI43" i="10"/>
  <c r="BK43" i="10" s="1"/>
  <c r="BI3" i="10"/>
  <c r="BK3" i="10" s="1"/>
  <c r="BI4" i="10"/>
  <c r="BK4" i="10" s="1"/>
  <c r="BI5" i="10"/>
  <c r="BK5" i="10" s="1"/>
  <c r="BI6" i="10"/>
  <c r="BK6" i="10" s="1"/>
  <c r="BI7" i="10"/>
  <c r="BK7" i="10" s="1"/>
  <c r="BI8" i="10"/>
  <c r="BK8" i="10" s="1"/>
  <c r="BI9" i="10"/>
  <c r="BK9" i="10" s="1"/>
  <c r="BI10" i="10"/>
  <c r="BK10" i="10" s="1"/>
  <c r="BI11" i="10"/>
  <c r="BK11" i="10" s="1"/>
  <c r="BI12" i="10"/>
  <c r="BK12" i="10" s="1"/>
  <c r="BI13" i="10"/>
  <c r="BK13" i="10" s="1"/>
  <c r="BI14" i="10"/>
  <c r="BK14" i="10" s="1"/>
  <c r="BI15" i="10"/>
  <c r="BK15" i="10" s="1"/>
  <c r="BI16" i="10"/>
  <c r="BK16" i="10" s="1"/>
  <c r="BI17" i="10"/>
  <c r="BK17" i="10" s="1"/>
  <c r="BI18" i="10"/>
  <c r="BK18" i="10" s="1"/>
  <c r="BI19" i="10"/>
  <c r="BK19" i="10" s="1"/>
  <c r="BI20" i="10"/>
  <c r="BK20" i="10" s="1"/>
  <c r="BI21" i="10"/>
  <c r="BK21" i="10" s="1"/>
  <c r="BI22" i="10"/>
  <c r="BK22" i="10" s="1"/>
  <c r="BI23" i="10"/>
  <c r="BK23" i="10" s="1"/>
  <c r="BI24" i="10"/>
  <c r="BK24" i="10" s="1"/>
  <c r="BI25" i="10"/>
  <c r="BK25" i="10" s="1"/>
  <c r="BI26" i="10"/>
  <c r="BK26" i="10" s="1"/>
  <c r="BI27" i="10"/>
  <c r="BK27" i="10" s="1"/>
  <c r="BI28" i="10"/>
  <c r="BK28" i="10" s="1"/>
  <c r="BI29" i="10"/>
  <c r="BK29" i="10" s="1"/>
  <c r="BI30" i="10"/>
  <c r="BK30" i="10" s="1"/>
  <c r="BI31" i="10"/>
  <c r="BK31" i="10" s="1"/>
  <c r="BI32" i="10"/>
  <c r="BK32" i="10" s="1"/>
  <c r="BI33" i="10"/>
  <c r="BK33" i="10" s="1"/>
  <c r="BI34" i="10"/>
  <c r="BK34" i="10" s="1"/>
  <c r="BI35" i="10"/>
  <c r="BK35" i="10" s="1"/>
  <c r="BI36" i="10"/>
  <c r="BK36" i="10" s="1"/>
  <c r="BI37" i="10"/>
  <c r="BK37" i="10" s="1"/>
  <c r="BI38" i="10"/>
  <c r="BK38" i="10" s="1"/>
  <c r="BI39" i="10"/>
  <c r="BK39" i="10" s="1"/>
  <c r="BI40" i="10"/>
  <c r="BK40" i="10" s="1"/>
  <c r="BI41" i="10"/>
  <c r="BK41" i="10" s="1"/>
  <c r="BI42" i="10"/>
  <c r="BK42" i="10" s="1"/>
  <c r="BI2" i="10"/>
  <c r="BK2" i="10" s="1"/>
  <c r="CO29" i="10" l="1"/>
  <c r="CO28" i="10"/>
  <c r="CO27" i="10"/>
  <c r="CO23" i="10"/>
  <c r="CO15" i="10"/>
  <c r="CO12" i="10"/>
  <c r="CO7" i="10"/>
  <c r="CO4" i="10"/>
  <c r="CO3" i="10"/>
  <c r="CO2" i="10"/>
  <c r="CO13" i="10" l="1"/>
  <c r="CO21" i="10"/>
  <c r="CO16" i="10"/>
  <c r="CO22" i="10"/>
  <c r="CO9" i="10"/>
  <c r="CO26" i="10"/>
  <c r="CO24" i="10"/>
  <c r="CO25" i="10"/>
  <c r="CO20" i="10"/>
  <c r="CO19" i="10"/>
  <c r="CL18" i="10"/>
  <c r="CO18" i="10"/>
  <c r="CO17" i="10"/>
  <c r="CL10" i="10"/>
  <c r="CO10" i="10"/>
  <c r="CO11" i="10"/>
  <c r="CO14" i="10"/>
  <c r="CO5" i="10"/>
  <c r="CO8" i="10"/>
  <c r="CO6" i="10"/>
  <c r="CC11" i="10"/>
  <c r="BT11" i="10"/>
  <c r="CI11" i="10"/>
  <c r="CL11" i="10"/>
  <c r="CF11" i="10"/>
  <c r="CC27" i="10"/>
  <c r="CL27" i="10"/>
  <c r="BT27" i="10"/>
  <c r="CI27" i="10"/>
  <c r="CF27" i="10"/>
  <c r="CF22" i="10"/>
  <c r="CC22" i="10"/>
  <c r="BT22" i="10"/>
  <c r="CL22" i="10"/>
  <c r="CI22" i="10"/>
  <c r="CI9" i="10"/>
  <c r="CL9" i="10"/>
  <c r="CF9" i="10"/>
  <c r="CC9" i="10"/>
  <c r="BT9" i="10"/>
  <c r="CI17" i="10"/>
  <c r="CL17" i="10"/>
  <c r="CC17" i="10"/>
  <c r="CF17" i="10"/>
  <c r="BT17" i="10"/>
  <c r="CL25" i="10"/>
  <c r="CI25" i="10"/>
  <c r="CF25" i="10"/>
  <c r="CC25" i="10"/>
  <c r="BT25" i="10"/>
  <c r="CI33" i="10"/>
  <c r="CF33" i="10"/>
  <c r="CC33" i="10"/>
  <c r="CL33" i="10"/>
  <c r="BT33" i="10"/>
  <c r="CI41" i="10"/>
  <c r="CL41" i="10"/>
  <c r="CC41" i="10"/>
  <c r="CF41" i="10"/>
  <c r="BT41" i="10"/>
  <c r="CL35" i="10"/>
  <c r="CC35" i="10"/>
  <c r="BT35" i="10"/>
  <c r="CI35" i="10"/>
  <c r="CF35" i="10"/>
  <c r="CF14" i="10"/>
  <c r="CC14" i="10"/>
  <c r="BT14" i="10"/>
  <c r="CI14" i="10"/>
  <c r="CL14" i="10"/>
  <c r="CC12" i="10"/>
  <c r="BT12" i="10"/>
  <c r="CI12" i="10"/>
  <c r="CF12" i="10"/>
  <c r="CL12" i="10"/>
  <c r="CC20" i="10"/>
  <c r="BT20" i="10"/>
  <c r="CF20" i="10"/>
  <c r="CL20" i="10"/>
  <c r="CI20" i="10"/>
  <c r="CC28" i="10"/>
  <c r="CL28" i="10"/>
  <c r="BT28" i="10"/>
  <c r="CI28" i="10"/>
  <c r="CF28" i="10"/>
  <c r="CL36" i="10"/>
  <c r="CC36" i="10"/>
  <c r="BT36" i="10"/>
  <c r="CI36" i="10"/>
  <c r="CF36" i="10"/>
  <c r="CC19" i="10"/>
  <c r="BT19" i="10"/>
  <c r="CL19" i="10"/>
  <c r="CI19" i="10"/>
  <c r="CF19" i="10"/>
  <c r="CF38" i="10"/>
  <c r="CL38" i="10"/>
  <c r="CC38" i="10"/>
  <c r="BT38" i="10"/>
  <c r="CI38" i="10"/>
  <c r="CF15" i="10"/>
  <c r="CC15" i="10"/>
  <c r="BT15" i="10"/>
  <c r="CI15" i="10"/>
  <c r="CL15" i="10"/>
  <c r="CF23" i="10"/>
  <c r="CL23" i="10"/>
  <c r="CI23" i="10"/>
  <c r="CC23" i="10"/>
  <c r="BT23" i="10"/>
  <c r="CF31" i="10"/>
  <c r="CI31" i="10"/>
  <c r="CC31" i="10"/>
  <c r="CL31" i="10"/>
  <c r="BT31" i="10"/>
  <c r="CF39" i="10"/>
  <c r="CL39" i="10"/>
  <c r="CC39" i="10"/>
  <c r="BT39" i="10"/>
  <c r="CI39" i="10"/>
  <c r="BT10" i="10"/>
  <c r="CI10" i="10"/>
  <c r="CF10" i="10"/>
  <c r="CC10" i="10"/>
  <c r="BT18" i="10"/>
  <c r="CI18" i="10"/>
  <c r="CF18" i="10"/>
  <c r="CC18" i="10"/>
  <c r="BT26" i="10"/>
  <c r="CI26" i="10"/>
  <c r="CF26" i="10"/>
  <c r="CC26" i="10"/>
  <c r="BT34" i="10"/>
  <c r="CI34" i="10"/>
  <c r="CF34" i="10"/>
  <c r="CC34" i="10"/>
  <c r="BT42" i="10"/>
  <c r="CI42" i="10"/>
  <c r="CF42" i="10"/>
  <c r="CC42" i="10"/>
  <c r="CL26" i="10"/>
  <c r="CC43" i="10"/>
  <c r="BT43" i="10"/>
  <c r="CI43" i="10"/>
  <c r="CF43" i="10"/>
  <c r="CL43" i="10"/>
  <c r="CF30" i="10"/>
  <c r="CC30" i="10"/>
  <c r="CL30" i="10"/>
  <c r="BT30" i="10"/>
  <c r="CI30" i="10"/>
  <c r="CC13" i="10"/>
  <c r="BT13" i="10"/>
  <c r="CI13" i="10"/>
  <c r="CL13" i="10"/>
  <c r="CF13" i="10"/>
  <c r="CC21" i="10"/>
  <c r="BT21" i="10"/>
  <c r="CL21" i="10"/>
  <c r="CI21" i="10"/>
  <c r="CF21" i="10"/>
  <c r="CC29" i="10"/>
  <c r="CL29" i="10"/>
  <c r="BT29" i="10"/>
  <c r="CI29" i="10"/>
  <c r="CF29" i="10"/>
  <c r="CL37" i="10"/>
  <c r="CC37" i="10"/>
  <c r="BT37" i="10"/>
  <c r="CI37" i="10"/>
  <c r="CF37" i="10"/>
  <c r="CL34" i="10"/>
  <c r="CL16" i="10"/>
  <c r="CF16" i="10"/>
  <c r="BT16" i="10"/>
  <c r="CC16" i="10"/>
  <c r="CI16" i="10"/>
  <c r="CF24" i="10"/>
  <c r="CC24" i="10"/>
  <c r="BT24" i="10"/>
  <c r="CL24" i="10"/>
  <c r="CI24" i="10"/>
  <c r="CF32" i="10"/>
  <c r="BT32" i="10"/>
  <c r="CL32" i="10"/>
  <c r="CC32" i="10"/>
  <c r="CI32" i="10"/>
  <c r="CF40" i="10"/>
  <c r="BT40" i="10"/>
  <c r="CL40" i="10"/>
  <c r="CC40" i="10"/>
  <c r="CI40" i="10"/>
  <c r="CL42" i="10"/>
  <c r="CL2" i="10"/>
  <c r="CI8" i="10"/>
  <c r="CC8" i="10"/>
  <c r="CL8" i="10"/>
  <c r="CF8" i="10"/>
  <c r="BT8" i="10"/>
  <c r="CF7" i="10"/>
  <c r="CL7" i="10"/>
  <c r="CI7" i="10"/>
  <c r="BT7" i="10"/>
  <c r="CC7" i="10"/>
  <c r="CF6" i="10"/>
  <c r="BT6" i="10"/>
  <c r="CL6" i="10"/>
  <c r="CI6" i="10"/>
  <c r="CC6" i="10"/>
  <c r="CL5" i="10"/>
  <c r="CC5" i="10"/>
  <c r="CF5" i="10"/>
  <c r="CI5" i="10"/>
  <c r="BT5" i="10"/>
  <c r="CL4" i="10"/>
  <c r="CI4" i="10"/>
  <c r="CF4" i="10"/>
  <c r="CC4" i="10"/>
  <c r="BT4" i="10"/>
  <c r="CC3" i="10"/>
  <c r="CF3" i="10"/>
  <c r="CL3" i="10"/>
  <c r="BT3" i="10"/>
  <c r="CI3" i="10"/>
  <c r="CF2" i="10"/>
  <c r="BT2" i="10"/>
  <c r="CI2" i="10"/>
  <c r="CC2" i="10"/>
</calcChain>
</file>

<file path=xl/sharedStrings.xml><?xml version="1.0" encoding="utf-8"?>
<sst xmlns="http://schemas.openxmlformats.org/spreadsheetml/2006/main" count="164" uniqueCount="137">
  <si>
    <t>Nº Recepcion</t>
  </si>
  <si>
    <t>P
(g)</t>
  </si>
  <si>
    <t>V
(ml)</t>
  </si>
  <si>
    <t>F.C.</t>
  </si>
  <si>
    <t>Na
(mg/l)</t>
  </si>
  <si>
    <t>F.D.
Na</t>
  </si>
  <si>
    <t>F.D.
K</t>
  </si>
  <si>
    <t>B1
Na</t>
  </si>
  <si>
    <t>B2
Na</t>
  </si>
  <si>
    <t>B3
Na</t>
  </si>
  <si>
    <t>B4
Na</t>
  </si>
  <si>
    <t>B
Na</t>
  </si>
  <si>
    <t>B1
K</t>
  </si>
  <si>
    <t>B2
K</t>
  </si>
  <si>
    <t>B3
K</t>
  </si>
  <si>
    <t>B4
K</t>
  </si>
  <si>
    <t>F.D.
Ca</t>
  </si>
  <si>
    <t>B1
Ca</t>
  </si>
  <si>
    <t>B2
Ca</t>
  </si>
  <si>
    <t>B3
Ca</t>
  </si>
  <si>
    <t>B4
Ca</t>
  </si>
  <si>
    <t>F.D.
Mg</t>
  </si>
  <si>
    <t>B1
Mg</t>
  </si>
  <si>
    <t>B2
Mg</t>
  </si>
  <si>
    <t>B3
Mg</t>
  </si>
  <si>
    <t>B4
Mg</t>
  </si>
  <si>
    <t>B
K</t>
  </si>
  <si>
    <t>B
Ca</t>
  </si>
  <si>
    <t>B
Mg</t>
  </si>
  <si>
    <t>K
(mg/l)</t>
  </si>
  <si>
    <t>Ca
(mg/l)</t>
  </si>
  <si>
    <t>Mg
(mg/l)</t>
  </si>
  <si>
    <t>Fecha Análisis</t>
  </si>
  <si>
    <t>DATOS DE CONEXIÓN</t>
  </si>
  <si>
    <t>Com Port</t>
  </si>
  <si>
    <t>Baud Rate</t>
  </si>
  <si>
    <t>Parity</t>
  </si>
  <si>
    <t>N</t>
  </si>
  <si>
    <t>Data Bits</t>
  </si>
  <si>
    <t>Stop Bits</t>
  </si>
  <si>
    <t>Cerrado</t>
  </si>
  <si>
    <t>Zn
(mg/l)</t>
  </si>
  <si>
    <t>Cu
(mg/l)</t>
  </si>
  <si>
    <t>S
(mg/l)</t>
  </si>
  <si>
    <t>P
(mg/l)</t>
  </si>
  <si>
    <t>Fe
(mg/l)</t>
  </si>
  <si>
    <t>B
(mg/l)</t>
  </si>
  <si>
    <t>Mn
(mg/l)</t>
  </si>
  <si>
    <t>B1
Zn</t>
  </si>
  <si>
    <t>B2
Zn</t>
  </si>
  <si>
    <t>B3
Zn</t>
  </si>
  <si>
    <t>B4
Zn</t>
  </si>
  <si>
    <t>B1
Cu</t>
  </si>
  <si>
    <t>B2
Cu</t>
  </si>
  <si>
    <t>B3
Cu</t>
  </si>
  <si>
    <t>B4
Cu</t>
  </si>
  <si>
    <t>B
Zn</t>
  </si>
  <si>
    <t>B
Cu</t>
  </si>
  <si>
    <t>F.D.
Zn</t>
  </si>
  <si>
    <t>Zn
mg/kg</t>
  </si>
  <si>
    <t>F.D.
Cu</t>
  </si>
  <si>
    <t>Cu
mg/kg</t>
  </si>
  <si>
    <t>B1
S</t>
  </si>
  <si>
    <t>B2
S</t>
  </si>
  <si>
    <t>B3
S</t>
  </si>
  <si>
    <t>B4
S</t>
  </si>
  <si>
    <t>B1
P</t>
  </si>
  <si>
    <t>B2
P</t>
  </si>
  <si>
    <t>B3
P</t>
  </si>
  <si>
    <t>B4
P</t>
  </si>
  <si>
    <t>B1
Fe</t>
  </si>
  <si>
    <t>B2
Fe</t>
  </si>
  <si>
    <t>B3
Fe</t>
  </si>
  <si>
    <t>B4
Fe</t>
  </si>
  <si>
    <t>B1
B</t>
  </si>
  <si>
    <t>B2
B</t>
  </si>
  <si>
    <t>B3
B</t>
  </si>
  <si>
    <t>B4
B</t>
  </si>
  <si>
    <t>B1
Mn</t>
  </si>
  <si>
    <t>B2
Mn</t>
  </si>
  <si>
    <t>B3
Mn</t>
  </si>
  <si>
    <t>B4
Mn</t>
  </si>
  <si>
    <t>Na
mg/kg</t>
  </si>
  <si>
    <t>B
S</t>
  </si>
  <si>
    <t>F.D.
S</t>
  </si>
  <si>
    <t>B
P</t>
  </si>
  <si>
    <t>F.D.
P</t>
  </si>
  <si>
    <t>B
Fe</t>
  </si>
  <si>
    <t>F.D.
Fe</t>
  </si>
  <si>
    <t>Fe
mg/kg</t>
  </si>
  <si>
    <t>B
B</t>
  </si>
  <si>
    <t>F.D.
B</t>
  </si>
  <si>
    <t>B
mg/kg</t>
  </si>
  <si>
    <t>B
Mn</t>
  </si>
  <si>
    <t>F.D.
Mn</t>
  </si>
  <si>
    <t>Mn
mg/kg</t>
  </si>
  <si>
    <t>Nº de Registro</t>
  </si>
  <si>
    <t>Fecha</t>
  </si>
  <si>
    <t>Analista</t>
  </si>
  <si>
    <t>Cápsula</t>
  </si>
  <si>
    <t>Tara (g)</t>
  </si>
  <si>
    <t>Po (g)</t>
  </si>
  <si>
    <t>P (g)</t>
  </si>
  <si>
    <t>H (g/100g) a
105 ºC s.s.s.</t>
  </si>
  <si>
    <t>RANGOS</t>
  </si>
  <si>
    <t>C (&gt;)</t>
  </si>
  <si>
    <t>N (&gt;)</t>
  </si>
  <si>
    <t>F.C.
(105)</t>
  </si>
  <si>
    <t>C total A
(g/100 g)</t>
  </si>
  <si>
    <t>Fecha
CA</t>
  </si>
  <si>
    <t>C total B
(g/100 g)</t>
  </si>
  <si>
    <t>Fecha
CB</t>
  </si>
  <si>
    <t>Fecha
C</t>
  </si>
  <si>
    <t>Observaciones
CT</t>
  </si>
  <si>
    <t>N total A
(g/100 g)</t>
  </si>
  <si>
    <t>Fecha
NA</t>
  </si>
  <si>
    <t>N total B
(g/100 g)</t>
  </si>
  <si>
    <t>Fecha
NB</t>
  </si>
  <si>
    <t>Fecha
N</t>
  </si>
  <si>
    <t>Observaciones
NT</t>
  </si>
  <si>
    <t>Relación C/N</t>
  </si>
  <si>
    <t>Fecha
Relación CN</t>
  </si>
  <si>
    <t>FC</t>
  </si>
  <si>
    <t>K
g/kg</t>
  </si>
  <si>
    <t>Ca
g/kg</t>
  </si>
  <si>
    <t>Mg
g/kg</t>
  </si>
  <si>
    <t>S
g/kg</t>
  </si>
  <si>
    <t>P
g/kg</t>
  </si>
  <si>
    <t>Pesada muestra humeda</t>
  </si>
  <si>
    <t>Balanza</t>
  </si>
  <si>
    <t>Pesada muestra seca</t>
  </si>
  <si>
    <t>Equipos</t>
  </si>
  <si>
    <t>Estufa</t>
  </si>
  <si>
    <t>SU030</t>
  </si>
  <si>
    <t>SU095</t>
  </si>
  <si>
    <t>Carbono total
g/Kg sms 105°C
(013)</t>
  </si>
  <si>
    <t>Nitrógeno total
g/Kg sms 105°C
(013)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</si>
</sst>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dd:mm:yy"/>
    <numFmt numFmtId="167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63">
    <xf numFmtId="0" fontId="0" fillId="0" borderId="0" xfId="0"/>
    <xf numFmtId="0" fontId="0" fillId="0" borderId="0" xfId="0" applyFont="1" applyAlignment="1" applyProtection="1">
      <alignment vertical="top"/>
      <protection locked="0"/>
    </xf>
    <xf numFmtId="0" fontId="0" fillId="0" borderId="0" xfId="0" applyNumberFormat="1" applyFont="1" applyProtection="1">
      <protection locked="0"/>
    </xf>
    <xf numFmtId="14" fontId="0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Font="1" applyProtection="1">
      <protection locked="0"/>
    </xf>
    <xf numFmtId="1" fontId="0" fillId="0" borderId="0" xfId="0" applyNumberFormat="1" applyFont="1" applyProtection="1">
      <protection locked="0"/>
    </xf>
    <xf numFmtId="164" fontId="0" fillId="0" borderId="0" xfId="0" applyNumberFormat="1" applyFont="1" applyProtection="1">
      <protection locked="0"/>
    </xf>
    <xf numFmtId="0" fontId="0" fillId="0" borderId="0" xfId="0" applyFont="1" applyProtection="1">
      <protection locked="0"/>
    </xf>
    <xf numFmtId="165" fontId="0" fillId="0" borderId="0" xfId="0" applyNumberFormat="1" applyFont="1" applyProtection="1"/>
    <xf numFmtId="2" fontId="0" fillId="0" borderId="0" xfId="0" applyNumberFormat="1" applyFont="1" applyProtection="1"/>
    <xf numFmtId="14" fontId="1" fillId="2" borderId="1" xfId="0" applyNumberFormat="1" applyFont="1" applyFill="1" applyBorder="1" applyAlignment="1">
      <alignment horizontal="center" vertical="top"/>
    </xf>
    <xf numFmtId="165" fontId="1" fillId="2" borderId="1" xfId="0" applyNumberFormat="1" applyFont="1" applyFill="1" applyBorder="1" applyAlignment="1">
      <alignment horizontal="center" vertical="top" wrapText="1"/>
    </xf>
    <xf numFmtId="1" fontId="1" fillId="2" borderId="1" xfId="0" applyNumberFormat="1" applyFont="1" applyFill="1" applyBorder="1" applyAlignment="1">
      <alignment horizontal="center" vertical="top" wrapText="1"/>
    </xf>
    <xf numFmtId="2" fontId="1" fillId="2" borderId="1" xfId="0" applyNumberFormat="1" applyFont="1" applyFill="1" applyBorder="1" applyAlignment="1">
      <alignment horizontal="center" vertical="top" wrapText="1"/>
    </xf>
    <xf numFmtId="0" fontId="1" fillId="2" borderId="2" xfId="0" applyNumberFormat="1" applyFont="1" applyFill="1" applyBorder="1" applyAlignment="1">
      <alignment horizontal="center" vertical="top"/>
    </xf>
    <xf numFmtId="164" fontId="1" fillId="2" borderId="1" xfId="0" applyNumberFormat="1" applyFont="1" applyFill="1" applyBorder="1" applyAlignment="1">
      <alignment horizontal="center" vertical="top" wrapText="1"/>
    </xf>
    <xf numFmtId="165" fontId="0" fillId="0" borderId="3" xfId="0" applyNumberFormat="1" applyFont="1" applyFill="1" applyBorder="1"/>
    <xf numFmtId="0" fontId="2" fillId="0" borderId="3" xfId="0" applyFont="1" applyBorder="1" applyAlignment="1">
      <alignment horizontal="center"/>
    </xf>
    <xf numFmtId="1" fontId="0" fillId="0" borderId="3" xfId="0" applyNumberFormat="1" applyFont="1" applyFill="1" applyBorder="1" applyProtection="1">
      <protection locked="0"/>
    </xf>
    <xf numFmtId="165" fontId="0" fillId="0" borderId="3" xfId="0" applyNumberFormat="1" applyFont="1" applyFill="1" applyBorder="1" applyProtection="1">
      <protection locked="0"/>
    </xf>
    <xf numFmtId="0" fontId="3" fillId="3" borderId="3" xfId="0" applyFont="1" applyFill="1" applyBorder="1" applyAlignment="1" applyProtection="1">
      <alignment horizontal="center"/>
      <protection locked="0"/>
    </xf>
    <xf numFmtId="0" fontId="5" fillId="2" borderId="2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 wrapText="1"/>
    </xf>
    <xf numFmtId="0" fontId="4" fillId="0" borderId="0" xfId="1"/>
    <xf numFmtId="0" fontId="6" fillId="0" borderId="3" xfId="1" applyFont="1" applyBorder="1" applyAlignment="1" applyProtection="1">
      <alignment horizontal="center" vertical="center"/>
      <protection locked="0"/>
    </xf>
    <xf numFmtId="14" fontId="7" fillId="0" borderId="3" xfId="1" applyNumberFormat="1" applyFont="1" applyBorder="1" applyAlignment="1" applyProtection="1">
      <alignment horizontal="center" vertical="center"/>
      <protection locked="0"/>
    </xf>
    <xf numFmtId="0" fontId="7" fillId="0" borderId="3" xfId="1" applyFont="1" applyBorder="1" applyAlignment="1" applyProtection="1">
      <alignment horizontal="center" vertical="center"/>
      <protection locked="0"/>
    </xf>
    <xf numFmtId="0" fontId="7" fillId="0" borderId="3" xfId="1" applyNumberFormat="1" applyFont="1" applyBorder="1" applyAlignment="1" applyProtection="1">
      <alignment horizontal="center" vertical="center"/>
      <protection locked="0"/>
    </xf>
    <xf numFmtId="2" fontId="7" fillId="0" borderId="3" xfId="1" applyNumberFormat="1" applyFont="1" applyBorder="1" applyAlignment="1">
      <alignment horizontal="center" vertical="center"/>
    </xf>
    <xf numFmtId="0" fontId="8" fillId="0" borderId="0" xfId="1" applyFont="1" applyProtection="1">
      <protection locked="0"/>
    </xf>
    <xf numFmtId="0" fontId="4" fillId="0" borderId="0" xfId="1" applyProtection="1"/>
    <xf numFmtId="0" fontId="8" fillId="0" borderId="0" xfId="1" applyFont="1"/>
    <xf numFmtId="0" fontId="2" fillId="0" borderId="0" xfId="1" applyFont="1" applyAlignment="1">
      <alignment vertical="center" wrapText="1"/>
    </xf>
    <xf numFmtId="0" fontId="0" fillId="0" borderId="3" xfId="0" applyBorder="1"/>
    <xf numFmtId="166" fontId="1" fillId="2" borderId="2" xfId="0" applyNumberFormat="1" applyFont="1" applyFill="1" applyBorder="1" applyAlignment="1">
      <alignment horizontal="center" vertical="top"/>
    </xf>
    <xf numFmtId="166" fontId="1" fillId="2" borderId="1" xfId="0" applyNumberFormat="1" applyFont="1" applyFill="1" applyBorder="1" applyAlignment="1">
      <alignment horizontal="center" vertical="top" wrapText="1"/>
    </xf>
    <xf numFmtId="166" fontId="1" fillId="2" borderId="1" xfId="0" applyNumberFormat="1" applyFont="1" applyFill="1" applyBorder="1" applyAlignment="1">
      <alignment horizontal="center" vertical="top"/>
    </xf>
    <xf numFmtId="166" fontId="1" fillId="2" borderId="4" xfId="0" applyNumberFormat="1" applyFont="1" applyFill="1" applyBorder="1" applyAlignment="1">
      <alignment horizontal="center" vertical="top" wrapText="1"/>
    </xf>
    <xf numFmtId="0" fontId="0" fillId="4" borderId="2" xfId="0" applyFont="1" applyFill="1" applyBorder="1" applyProtection="1">
      <protection locked="0"/>
    </xf>
    <xf numFmtId="0" fontId="0" fillId="0" borderId="2" xfId="0" applyFont="1" applyBorder="1" applyProtection="1">
      <protection locked="0"/>
    </xf>
    <xf numFmtId="165" fontId="7" fillId="0" borderId="3" xfId="1" applyNumberFormat="1" applyFont="1" applyBorder="1" applyAlignment="1">
      <alignment horizontal="center" vertical="center"/>
    </xf>
    <xf numFmtId="14" fontId="0" fillId="4" borderId="2" xfId="0" applyNumberFormat="1" applyFont="1" applyFill="1" applyBorder="1" applyProtection="1">
      <protection locked="0"/>
    </xf>
    <xf numFmtId="14" fontId="0" fillId="0" borderId="2" xfId="0" applyNumberFormat="1" applyFont="1" applyBorder="1" applyProtection="1">
      <protection locked="0"/>
    </xf>
    <xf numFmtId="14" fontId="0" fillId="4" borderId="2" xfId="0" applyNumberFormat="1" applyFont="1" applyFill="1" applyBorder="1" applyProtection="1"/>
    <xf numFmtId="14" fontId="0" fillId="0" borderId="2" xfId="0" applyNumberFormat="1" applyFont="1" applyBorder="1" applyProtection="1"/>
    <xf numFmtId="2" fontId="0" fillId="4" borderId="2" xfId="0" applyNumberFormat="1" applyFont="1" applyFill="1" applyBorder="1" applyProtection="1"/>
    <xf numFmtId="2" fontId="0" fillId="0" borderId="2" xfId="0" applyNumberFormat="1" applyFont="1" applyBorder="1" applyProtection="1"/>
    <xf numFmtId="167" fontId="0" fillId="4" borderId="2" xfId="0" applyNumberFormat="1" applyFont="1" applyFill="1" applyBorder="1" applyProtection="1"/>
    <xf numFmtId="167" fontId="0" fillId="0" borderId="2" xfId="0" applyNumberFormat="1" applyFont="1" applyBorder="1" applyProtection="1"/>
    <xf numFmtId="0" fontId="0" fillId="0" borderId="3" xfId="0" applyNumberFormat="1" applyFont="1" applyFill="1" applyBorder="1" applyAlignment="1" applyProtection="1">
      <alignment horizontal="center"/>
      <protection locked="0"/>
    </xf>
    <xf numFmtId="14" fontId="0" fillId="0" borderId="3" xfId="0" applyNumberFormat="1" applyFont="1" applyFill="1" applyBorder="1" applyAlignment="1" applyProtection="1">
      <alignment horizontal="center"/>
      <protection locked="0"/>
    </xf>
    <xf numFmtId="0" fontId="4" fillId="0" borderId="0" xfId="1" applyProtection="1">
      <protection locked="0"/>
    </xf>
    <xf numFmtId="2" fontId="9" fillId="0" borderId="3" xfId="0" applyNumberFormat="1" applyFont="1" applyFill="1" applyBorder="1"/>
    <xf numFmtId="0" fontId="9" fillId="0" borderId="3" xfId="0" applyFont="1" applyBorder="1"/>
    <xf numFmtId="0" fontId="6" fillId="0" borderId="3" xfId="1" applyFont="1" applyBorder="1" applyAlignment="1" applyProtection="1">
      <alignment horizontal="center" vertical="center"/>
    </xf>
    <xf numFmtId="14" fontId="6" fillId="0" borderId="3" xfId="1" applyNumberFormat="1" applyFont="1" applyBorder="1" applyAlignment="1" applyProtection="1">
      <alignment horizontal="center" vertical="center"/>
      <protection locked="0"/>
    </xf>
    <xf numFmtId="0" fontId="0" fillId="4" borderId="2" xfId="0" applyFont="1" applyFill="1" applyBorder="1" applyProtection="1"/>
    <xf numFmtId="0" fontId="0" fillId="0" borderId="2" xfId="0" applyFont="1" applyBorder="1" applyProtection="1"/>
    <xf numFmtId="0" fontId="5" fillId="2" borderId="3" xfId="1" applyFont="1" applyFill="1" applyBorder="1" applyAlignment="1" applyProtection="1">
      <alignment horizontal="center" vertical="center"/>
    </xf>
    <xf numFmtId="0" fontId="5" fillId="2" borderId="5" xfId="1" applyFont="1" applyFill="1" applyBorder="1" applyAlignment="1" applyProtection="1">
      <alignment horizontal="center" vertical="center"/>
    </xf>
    <xf numFmtId="0" fontId="5" fillId="2" borderId="6" xfId="1" applyFont="1" applyFill="1" applyBorder="1" applyAlignment="1" applyProtection="1">
      <alignment horizontal="center" vertical="center"/>
    </xf>
    <xf numFmtId="0" fontId="2" fillId="0" borderId="3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M37"/>
  <sheetViews>
    <sheetView tabSelected="1" zoomScaleNormal="100" workbookViewId="0">
      <selection activeCell="A2" sqref="A2"/>
    </sheetView>
  </sheetViews>
  <sheetFormatPr baseColWidth="10" defaultColWidth="10.85546875" defaultRowHeight="12.75" x14ac:dyDescent="0.2"/>
  <cols>
    <col min="1" max="1" width="15.85546875" style="24" bestFit="1" customWidth="1"/>
    <col min="2" max="2" width="10.7109375" style="24" hidden="1" customWidth="1"/>
    <col min="3" max="3" width="12.28515625" style="24" bestFit="1" customWidth="1"/>
    <col min="4" max="7" width="10.85546875" style="24"/>
    <col min="8" max="8" width="11.28515625" style="24" bestFit="1" customWidth="1"/>
    <col min="9" max="9" width="10.85546875" style="24"/>
    <col min="10" max="10" width="7.7109375" style="24" bestFit="1" customWidth="1"/>
    <col min="11" max="11" width="16.140625" style="24" customWidth="1"/>
    <col min="12" max="16384" width="10.85546875" style="24"/>
  </cols>
  <sheetData>
    <row r="1" spans="1:13" ht="51" x14ac:dyDescent="0.2">
      <c r="A1" s="21" t="s">
        <v>96</v>
      </c>
      <c r="B1" s="22" t="s">
        <v>97</v>
      </c>
      <c r="C1" s="22" t="s">
        <v>98</v>
      </c>
      <c r="D1" s="22" t="s">
        <v>99</v>
      </c>
      <c r="E1" s="22" t="s">
        <v>100</v>
      </c>
      <c r="F1" s="22" t="s">
        <v>101</v>
      </c>
      <c r="G1" s="22" t="s">
        <v>102</v>
      </c>
      <c r="H1" s="23" t="s">
        <v>103</v>
      </c>
      <c r="I1" s="23" t="s">
        <v>122</v>
      </c>
    </row>
    <row r="2" spans="1:13" x14ac:dyDescent="0.2">
      <c r="A2" s="25"/>
      <c r="B2" s="26" t="str">
        <f>IF(K17="","",K17)</f>
        <v/>
      </c>
      <c r="C2" s="27"/>
      <c r="D2" s="25"/>
      <c r="E2" s="28"/>
      <c r="F2" s="28"/>
      <c r="G2" s="28"/>
      <c r="H2" s="29" t="str">
        <f>IF(OR(Humedad!$A2="",Humedad!$B2="",Humedad!$C2="",Humedad!$D2="",Humedad!$E2="",Humedad!$F2="",Humedad!$G2=""),"",(Humedad!$F2-(Humedad!$G2-Humedad!$E2))*100/(Humedad!$G2-Humedad!$E2))</f>
        <v/>
      </c>
      <c r="I2" s="41" t="str">
        <f>IF(H2="","",(H2+100)/100)</f>
        <v/>
      </c>
    </row>
    <row r="3" spans="1:13" x14ac:dyDescent="0.2">
      <c r="A3" s="25"/>
      <c r="B3" s="26" t="str">
        <f>IF(K17="","",K17)</f>
        <v/>
      </c>
      <c r="C3" s="27"/>
      <c r="D3" s="25"/>
      <c r="E3" s="28"/>
      <c r="F3" s="28"/>
      <c r="G3" s="28"/>
      <c r="H3" s="29" t="str">
        <f>IF(OR(Humedad!$A3="",Humedad!$B3="",Humedad!$C3="",Humedad!$D3="",Humedad!$E3="",Humedad!$F3="",Humedad!$G3=""),"",(Humedad!$F3-(Humedad!$G3-Humedad!$E3))*100/(Humedad!$G3-Humedad!$E3))</f>
        <v/>
      </c>
      <c r="I3" s="41" t="str">
        <f t="shared" ref="I3:I37" si="0">IF(H3="","",(H3+100)/100)</f>
        <v/>
      </c>
    </row>
    <row r="4" spans="1:13" x14ac:dyDescent="0.2">
      <c r="A4" s="25"/>
      <c r="B4" s="26" t="str">
        <f>IF(K17="","",K17)</f>
        <v/>
      </c>
      <c r="C4" s="27"/>
      <c r="D4" s="25"/>
      <c r="E4" s="28"/>
      <c r="F4" s="28"/>
      <c r="G4" s="28"/>
      <c r="H4" s="29" t="str">
        <f>IF(OR(Humedad!$A4="",Humedad!$B4="",Humedad!$C4="",Humedad!$D4="",Humedad!$E4="",Humedad!$F4="",Humedad!$G4=""),"",(Humedad!$F4-(Humedad!$G4-Humedad!$E4))*100/(Humedad!$G4-Humedad!$E4))</f>
        <v/>
      </c>
      <c r="I4" s="41" t="str">
        <f t="shared" si="0"/>
        <v/>
      </c>
    </row>
    <row r="5" spans="1:13" x14ac:dyDescent="0.2">
      <c r="A5" s="25"/>
      <c r="B5" s="26" t="str">
        <f>IF(K17="","",K17)</f>
        <v/>
      </c>
      <c r="C5" s="27"/>
      <c r="D5" s="25"/>
      <c r="E5" s="28"/>
      <c r="F5" s="28"/>
      <c r="G5" s="28"/>
      <c r="H5" s="29" t="str">
        <f>IF(OR(Humedad!$A5="",Humedad!$B5="",Humedad!$C5="",Humedad!$D5="",Humedad!$E5="",Humedad!$F5="",Humedad!$G5=""),"",(Humedad!$F5-(Humedad!$G5-Humedad!$E5))*100/(Humedad!$G5-Humedad!$E5))</f>
        <v/>
      </c>
      <c r="I5" s="41" t="str">
        <f t="shared" si="0"/>
        <v/>
      </c>
    </row>
    <row r="6" spans="1:13" x14ac:dyDescent="0.2">
      <c r="A6" s="25"/>
      <c r="B6" s="26" t="str">
        <f>IF(K17="","",K17)</f>
        <v/>
      </c>
      <c r="C6" s="27"/>
      <c r="D6" s="25"/>
      <c r="E6" s="28"/>
      <c r="F6" s="28"/>
      <c r="G6" s="28"/>
      <c r="H6" s="29" t="str">
        <f>IF(OR(Humedad!$A6="",Humedad!$B6="",Humedad!$C6="",Humedad!$D6="",Humedad!$E6="",Humedad!$F6="",Humedad!$G6=""),"",(Humedad!$F6-(Humedad!$G6-Humedad!$E6))*100/(Humedad!$G6-Humedad!$E6))</f>
        <v/>
      </c>
      <c r="I6" s="41" t="str">
        <f t="shared" si="0"/>
        <v/>
      </c>
    </row>
    <row r="7" spans="1:13" x14ac:dyDescent="0.2">
      <c r="A7" s="25"/>
      <c r="B7" s="26" t="str">
        <f>IF(K17="","",K17)</f>
        <v/>
      </c>
      <c r="C7" s="27"/>
      <c r="D7" s="25"/>
      <c r="E7" s="28"/>
      <c r="F7" s="28"/>
      <c r="G7" s="28"/>
      <c r="H7" s="29" t="str">
        <f>IF(OR(Humedad!$A7="",Humedad!$B7="",Humedad!$C7="",Humedad!$D7="",Humedad!$E7="",Humedad!$F7="",Humedad!$G7=""),"",(Humedad!$F7-(Humedad!$G7-Humedad!$E7))*100/(Humedad!$G7-Humedad!$E7))</f>
        <v/>
      </c>
      <c r="I7" s="41" t="str">
        <f t="shared" si="0"/>
        <v/>
      </c>
      <c r="M7" s="52"/>
    </row>
    <row r="8" spans="1:13" x14ac:dyDescent="0.2">
      <c r="A8" s="25"/>
      <c r="B8" s="26" t="str">
        <f>IF(K17="","",K17)</f>
        <v/>
      </c>
      <c r="C8" s="27"/>
      <c r="D8" s="25"/>
      <c r="E8" s="28"/>
      <c r="F8" s="28"/>
      <c r="G8" s="28"/>
      <c r="H8" s="29" t="str">
        <f>IF(OR(Humedad!$A8="",Humedad!$B8="",Humedad!$C8="",Humedad!$D8="",Humedad!$E8="",Humedad!$F8="",Humedad!$G8=""),"",(Humedad!$F8-(Humedad!$G8-Humedad!$E8))*100/(Humedad!$G8-Humedad!$E8))</f>
        <v/>
      </c>
      <c r="I8" s="41" t="str">
        <f t="shared" si="0"/>
        <v/>
      </c>
      <c r="M8" s="52"/>
    </row>
    <row r="9" spans="1:13" x14ac:dyDescent="0.2">
      <c r="A9" s="25"/>
      <c r="B9" s="26" t="str">
        <f>IF(K17="","",K17)</f>
        <v/>
      </c>
      <c r="C9" s="27"/>
      <c r="D9" s="25"/>
      <c r="E9" s="28"/>
      <c r="F9" s="28"/>
      <c r="G9" s="28"/>
      <c r="H9" s="29" t="str">
        <f>IF(OR(Humedad!$A9="",Humedad!$B9="",Humedad!$C9="",Humedad!$D9="",Humedad!$E9="",Humedad!$F9="",Humedad!$G9=""),"",(Humedad!$F9-(Humedad!$G9-Humedad!$E9))*100/(Humedad!$G9-Humedad!$E9))</f>
        <v/>
      </c>
      <c r="I9" s="41" t="str">
        <f t="shared" si="0"/>
        <v/>
      </c>
      <c r="J9" s="30" t="s">
        <v>40</v>
      </c>
      <c r="M9" s="52" t="s">
        <v>40</v>
      </c>
    </row>
    <row r="10" spans="1:13" x14ac:dyDescent="0.2">
      <c r="A10" s="25"/>
      <c r="B10" s="26" t="str">
        <f>IF(K17="","",K17)</f>
        <v/>
      </c>
      <c r="C10" s="27"/>
      <c r="D10" s="25"/>
      <c r="E10" s="28"/>
      <c r="F10" s="28"/>
      <c r="G10" s="28"/>
      <c r="H10" s="29" t="str">
        <f>IF(OR(Humedad!$A10="",Humedad!$B10="",Humedad!$C10="",Humedad!$D10="",Humedad!$E10="",Humedad!$F10="",Humedad!$G10=""),"",(Humedad!$F10-(Humedad!$G10-Humedad!$E10))*100/(Humedad!$G10-Humedad!$E10))</f>
        <v/>
      </c>
      <c r="I10" s="41" t="str">
        <f t="shared" si="0"/>
        <v/>
      </c>
      <c r="J10" s="31"/>
      <c r="M10" s="52"/>
    </row>
    <row r="11" spans="1:13" ht="15" x14ac:dyDescent="0.25">
      <c r="A11" s="25"/>
      <c r="B11" s="26" t="str">
        <f>IF(K17="","",K17)</f>
        <v/>
      </c>
      <c r="C11" s="27"/>
      <c r="D11" s="25"/>
      <c r="E11" s="28"/>
      <c r="F11" s="28"/>
      <c r="G11" s="28"/>
      <c r="H11" s="29" t="str">
        <f>IF(OR(Humedad!$A11="",Humedad!$B11="",Humedad!$C11="",Humedad!$D11="",Humedad!$E11="",Humedad!$F11="",Humedad!$G11=""),"",(Humedad!$F11-(Humedad!$G11-Humedad!$E11))*100/(Humedad!$G11-Humedad!$E11))</f>
        <v/>
      </c>
      <c r="I11" s="41" t="str">
        <f t="shared" si="0"/>
        <v/>
      </c>
      <c r="K11" s="32"/>
      <c r="M11"/>
    </row>
    <row r="12" spans="1:13" x14ac:dyDescent="0.2">
      <c r="A12" s="25"/>
      <c r="B12" s="26" t="str">
        <f>IF(K17="","",K17)</f>
        <v/>
      </c>
      <c r="C12" s="27"/>
      <c r="D12" s="25"/>
      <c r="E12" s="28"/>
      <c r="F12" s="28"/>
      <c r="G12" s="28"/>
      <c r="H12" s="29" t="str">
        <f>IF(OR(Humedad!$A12="",Humedad!$B12="",Humedad!$C12="",Humedad!$D12="",Humedad!$E12="",Humedad!$F12="",Humedad!$G12=""),"",(Humedad!$F12-(Humedad!$G12-Humedad!$E12))*100/(Humedad!$G12-Humedad!$E12))</f>
        <v/>
      </c>
      <c r="I12" s="41" t="str">
        <f t="shared" si="0"/>
        <v/>
      </c>
      <c r="J12" s="31"/>
      <c r="M12" s="52"/>
    </row>
    <row r="13" spans="1:13" x14ac:dyDescent="0.2">
      <c r="A13" s="25"/>
      <c r="B13" s="26" t="str">
        <f>IF(K17="","",K17)</f>
        <v/>
      </c>
      <c r="C13" s="27"/>
      <c r="D13" s="25"/>
      <c r="E13" s="28"/>
      <c r="F13" s="28"/>
      <c r="G13" s="28"/>
      <c r="H13" s="29" t="str">
        <f>IF(OR(Humedad!$A13="",Humedad!$B13="",Humedad!$C13="",Humedad!$D13="",Humedad!$E13="",Humedad!$F13="",Humedad!$G13=""),"",(Humedad!$F13-(Humedad!$G13-Humedad!$E13))*100/(Humedad!$G13-Humedad!$E13))</f>
        <v/>
      </c>
      <c r="I13" s="41" t="str">
        <f t="shared" si="0"/>
        <v/>
      </c>
      <c r="M13" s="52"/>
    </row>
    <row r="14" spans="1:13" ht="13.15" customHeight="1" x14ac:dyDescent="0.2">
      <c r="A14" s="25"/>
      <c r="B14" s="26" t="str">
        <f>IF(K17="","",K17)</f>
        <v/>
      </c>
      <c r="C14" s="27"/>
      <c r="D14" s="25"/>
      <c r="E14" s="28"/>
      <c r="F14" s="28"/>
      <c r="G14" s="28"/>
      <c r="H14" s="29" t="str">
        <f>IF(OR(Humedad!$A14="",Humedad!$B14="",Humedad!$C14="",Humedad!$D14="",Humedad!$E14="",Humedad!$F14="",Humedad!$G14=""),"",(Humedad!$F14-(Humedad!$G14-Humedad!$E14))*100/(Humedad!$G14-Humedad!$E14))</f>
        <v/>
      </c>
      <c r="I14" s="41" t="str">
        <f t="shared" si="0"/>
        <v/>
      </c>
      <c r="J14" s="33"/>
      <c r="K14" s="33"/>
    </row>
    <row r="15" spans="1:13" ht="13.15" customHeight="1" x14ac:dyDescent="0.2">
      <c r="A15" s="25"/>
      <c r="B15" s="26" t="str">
        <f>IF(K17="","",K17)</f>
        <v/>
      </c>
      <c r="C15" s="27"/>
      <c r="D15" s="25"/>
      <c r="E15" s="28"/>
      <c r="F15" s="28"/>
      <c r="G15" s="28"/>
      <c r="H15" s="29" t="str">
        <f>IF(OR(Humedad!$A15="",Humedad!$B15="",Humedad!$C15="",Humedad!$D15="",Humedad!$E15="",Humedad!$F15="",Humedad!$G15=""),"",(Humedad!$F15-(Humedad!$G15-Humedad!$E15))*100/(Humedad!$G15-Humedad!$E15))</f>
        <v/>
      </c>
      <c r="I15" s="41" t="str">
        <f t="shared" si="0"/>
        <v/>
      </c>
      <c r="J15" s="59" t="s">
        <v>128</v>
      </c>
      <c r="K15" s="59"/>
    </row>
    <row r="16" spans="1:13" ht="13.15" customHeight="1" x14ac:dyDescent="0.2">
      <c r="A16" s="25"/>
      <c r="B16" s="26" t="str">
        <f>IF(K17="","",K17)</f>
        <v/>
      </c>
      <c r="C16" s="27"/>
      <c r="D16" s="25"/>
      <c r="E16" s="28"/>
      <c r="F16" s="28"/>
      <c r="G16" s="28"/>
      <c r="H16" s="29" t="str">
        <f>IF(OR(Humedad!$A16="",Humedad!$B16="",Humedad!$C16="",Humedad!$D16="",Humedad!$E16="",Humedad!$F16="",Humedad!$G16=""),"",(Humedad!$F16-(Humedad!$G16-Humedad!$E16))*100/(Humedad!$G16-Humedad!$E16))</f>
        <v/>
      </c>
      <c r="I16" s="41" t="str">
        <f t="shared" si="0"/>
        <v/>
      </c>
      <c r="J16" s="55" t="s">
        <v>129</v>
      </c>
      <c r="K16" s="25"/>
    </row>
    <row r="17" spans="1:11" ht="12.4" customHeight="1" x14ac:dyDescent="0.2">
      <c r="A17" s="25"/>
      <c r="B17" s="26" t="str">
        <f>IF(K17="","",K17)</f>
        <v/>
      </c>
      <c r="C17" s="27"/>
      <c r="D17" s="25"/>
      <c r="E17" s="28"/>
      <c r="F17" s="28"/>
      <c r="G17" s="28"/>
      <c r="H17" s="29" t="str">
        <f>IF(OR(Humedad!$A17="",Humedad!$B17="",Humedad!$C17="",Humedad!$D17="",Humedad!$E17="",Humedad!$F17="",Humedad!$G17=""),"",(Humedad!$F17-(Humedad!$G17-Humedad!$E17))*100/(Humedad!$G17-Humedad!$E17))</f>
        <v/>
      </c>
      <c r="I17" s="41" t="str">
        <f t="shared" si="0"/>
        <v/>
      </c>
      <c r="J17" s="55" t="s">
        <v>97</v>
      </c>
      <c r="K17" s="56"/>
    </row>
    <row r="18" spans="1:11" ht="12.4" customHeight="1" x14ac:dyDescent="0.2">
      <c r="A18" s="25"/>
      <c r="B18" s="26" t="str">
        <f>IF(K17="","",K17)</f>
        <v/>
      </c>
      <c r="C18" s="27"/>
      <c r="D18" s="25"/>
      <c r="E18" s="28"/>
      <c r="F18" s="28"/>
      <c r="G18" s="28"/>
      <c r="H18" s="29" t="str">
        <f>IF(OR(Humedad!$A18="",Humedad!$B18="",Humedad!$C18="",Humedad!$D18="",Humedad!$E18="",Humedad!$F18="",Humedad!$G18=""),"",(Humedad!$F18-(Humedad!$G18-Humedad!$E18))*100/(Humedad!$G18-Humedad!$E18))</f>
        <v/>
      </c>
      <c r="I18" s="41" t="str">
        <f t="shared" si="0"/>
        <v/>
      </c>
      <c r="J18" s="55" t="s">
        <v>98</v>
      </c>
      <c r="K18" s="25"/>
    </row>
    <row r="19" spans="1:11" ht="12.4" customHeight="1" x14ac:dyDescent="0.2">
      <c r="A19" s="25"/>
      <c r="B19" s="26" t="str">
        <f>IF(K17="","",K17)</f>
        <v/>
      </c>
      <c r="C19" s="27"/>
      <c r="D19" s="25"/>
      <c r="E19" s="28"/>
      <c r="F19" s="28"/>
      <c r="G19" s="28"/>
      <c r="H19" s="29" t="str">
        <f>IF(OR(Humedad!$A19="",Humedad!$B19="",Humedad!$C19="",Humedad!$D19="",Humedad!$E19="",Humedad!$F19="",Humedad!$G19=""),"",(Humedad!$F19-(Humedad!$G19-Humedad!$E19))*100/(Humedad!$G19-Humedad!$E19))</f>
        <v/>
      </c>
      <c r="I19" s="41" t="str">
        <f t="shared" si="0"/>
        <v/>
      </c>
      <c r="J19" s="60" t="s">
        <v>130</v>
      </c>
      <c r="K19" s="61"/>
    </row>
    <row r="20" spans="1:11" ht="12.4" customHeight="1" x14ac:dyDescent="0.2">
      <c r="A20" s="25"/>
      <c r="B20" s="26" t="str">
        <f>IF(K17="","",K17)</f>
        <v/>
      </c>
      <c r="C20" s="27"/>
      <c r="D20" s="25"/>
      <c r="E20" s="28"/>
      <c r="F20" s="28"/>
      <c r="G20" s="28"/>
      <c r="H20" s="29" t="str">
        <f>IF(OR(Humedad!$A20="",Humedad!$B20="",Humedad!$C20="",Humedad!$D20="",Humedad!$E20="",Humedad!$F20="",Humedad!$G20=""),"",(Humedad!$F20-(Humedad!$G20-Humedad!$E20))*100/(Humedad!$G20-Humedad!$E20))</f>
        <v/>
      </c>
      <c r="I20" s="41" t="str">
        <f t="shared" si="0"/>
        <v/>
      </c>
      <c r="J20" s="55" t="s">
        <v>129</v>
      </c>
      <c r="K20" s="25"/>
    </row>
    <row r="21" spans="1:11" ht="12.4" customHeight="1" x14ac:dyDescent="0.2">
      <c r="A21" s="25"/>
      <c r="B21" s="26" t="str">
        <f>IF(K17="","",K17)</f>
        <v/>
      </c>
      <c r="C21" s="27"/>
      <c r="D21" s="25"/>
      <c r="E21" s="28"/>
      <c r="F21" s="28"/>
      <c r="G21" s="28"/>
      <c r="H21" s="29" t="str">
        <f>IF(OR(Humedad!$A21="",Humedad!$B21="",Humedad!$C21="",Humedad!$D21="",Humedad!$E21="",Humedad!$F21="",Humedad!$G21=""),"",(Humedad!$F21-(Humedad!$G21-Humedad!$E21))*100/(Humedad!$G21-Humedad!$E21))</f>
        <v/>
      </c>
      <c r="I21" s="41" t="str">
        <f t="shared" si="0"/>
        <v/>
      </c>
      <c r="J21" s="55" t="s">
        <v>97</v>
      </c>
      <c r="K21" s="56"/>
    </row>
    <row r="22" spans="1:11" ht="13.15" customHeight="1" x14ac:dyDescent="0.2">
      <c r="A22" s="25"/>
      <c r="B22" s="26" t="str">
        <f>IF(K17="","",K17)</f>
        <v/>
      </c>
      <c r="C22" s="27"/>
      <c r="D22" s="25"/>
      <c r="E22" s="28"/>
      <c r="F22" s="28"/>
      <c r="G22" s="28"/>
      <c r="H22" s="29" t="str">
        <f>IF(OR(Humedad!$A22="",Humedad!$B22="",Humedad!$C22="",Humedad!$D22="",Humedad!$E22="",Humedad!$F22="",Humedad!$G22=""),"",(Humedad!$F22-(Humedad!$G22-Humedad!$E22))*100/(Humedad!$G22-Humedad!$E22))</f>
        <v/>
      </c>
      <c r="I22" s="41" t="str">
        <f t="shared" si="0"/>
        <v/>
      </c>
      <c r="J22" s="55" t="s">
        <v>98</v>
      </c>
      <c r="K22" s="25"/>
    </row>
    <row r="23" spans="1:11" x14ac:dyDescent="0.2">
      <c r="A23" s="25"/>
      <c r="B23" s="26" t="str">
        <f>IF(K17="","",K17)</f>
        <v/>
      </c>
      <c r="C23" s="27"/>
      <c r="D23" s="25"/>
      <c r="E23" s="28"/>
      <c r="F23" s="28"/>
      <c r="G23" s="28"/>
      <c r="H23" s="29" t="str">
        <f>IF(OR(Humedad!$A23="",Humedad!$B23="",Humedad!$C23="",Humedad!$D23="",Humedad!$E23="",Humedad!$F23="",Humedad!$G23=""),"",(Humedad!$F23-(Humedad!$G23-Humedad!$E23))*100/(Humedad!$G23-Humedad!$E23))</f>
        <v/>
      </c>
      <c r="I23" s="41" t="str">
        <f t="shared" si="0"/>
        <v/>
      </c>
      <c r="J23" s="59" t="s">
        <v>131</v>
      </c>
      <c r="K23" s="59"/>
    </row>
    <row r="24" spans="1:11" x14ac:dyDescent="0.2">
      <c r="A24" s="25"/>
      <c r="B24" s="26" t="str">
        <f>IF(K17="","",K17)</f>
        <v/>
      </c>
      <c r="C24" s="27"/>
      <c r="D24" s="25"/>
      <c r="E24" s="28"/>
      <c r="F24" s="28"/>
      <c r="G24" s="28"/>
      <c r="H24" s="29" t="str">
        <f>IF(OR(Humedad!$A24="",Humedad!$B24="",Humedad!$C24="",Humedad!$D24="",Humedad!$E24="",Humedad!$F24="",Humedad!$G24=""),"",(Humedad!$F24-(Humedad!$G24-Humedad!$E24))*100/(Humedad!$G24-Humedad!$E24))</f>
        <v/>
      </c>
      <c r="I24" s="41" t="str">
        <f t="shared" si="0"/>
        <v/>
      </c>
      <c r="J24" s="55" t="s">
        <v>132</v>
      </c>
      <c r="K24" s="25"/>
    </row>
    <row r="25" spans="1:11" x14ac:dyDescent="0.2">
      <c r="A25" s="25"/>
      <c r="B25" s="26" t="str">
        <f>IF(K17="","",K17)</f>
        <v/>
      </c>
      <c r="C25" s="27"/>
      <c r="D25" s="25"/>
      <c r="E25" s="28"/>
      <c r="F25" s="28"/>
      <c r="G25" s="28"/>
      <c r="H25" s="29" t="str">
        <f>IF(OR(Humedad!$A25="",Humedad!$B25="",Humedad!$C25="",Humedad!$D25="",Humedad!$E25="",Humedad!$F25="",Humedad!$G25=""),"",(Humedad!$F25-(Humedad!$G25-Humedad!$E25))*100/(Humedad!$G25-Humedad!$E25))</f>
        <v/>
      </c>
      <c r="I25" s="41" t="str">
        <f t="shared" si="0"/>
        <v/>
      </c>
    </row>
    <row r="26" spans="1:11" x14ac:dyDescent="0.2">
      <c r="A26" s="25"/>
      <c r="B26" s="26" t="str">
        <f>IF(K17="","",K17)</f>
        <v/>
      </c>
      <c r="C26" s="27"/>
      <c r="D26" s="25"/>
      <c r="E26" s="28"/>
      <c r="F26" s="28"/>
      <c r="G26" s="28"/>
      <c r="H26" s="29" t="str">
        <f>IF(OR(Humedad!$A26="",Humedad!$B26="",Humedad!$C26="",Humedad!$D26="",Humedad!$E26="",Humedad!$F26="",Humedad!$G26=""),"",(Humedad!$F26-(Humedad!$G26-Humedad!$E26))*100/(Humedad!$G26-Humedad!$E26))</f>
        <v/>
      </c>
      <c r="I26" s="41" t="str">
        <f t="shared" si="0"/>
        <v/>
      </c>
    </row>
    <row r="27" spans="1:11" x14ac:dyDescent="0.2">
      <c r="A27" s="25"/>
      <c r="B27" s="26" t="str">
        <f>IF(K17="","",K17)</f>
        <v/>
      </c>
      <c r="C27" s="27"/>
      <c r="D27" s="25"/>
      <c r="E27" s="28"/>
      <c r="F27" s="28"/>
      <c r="G27" s="28"/>
      <c r="H27" s="29" t="str">
        <f>IF(OR(Humedad!$A27="",Humedad!$B27="",Humedad!$C27="",Humedad!$D27="",Humedad!$E27="",Humedad!$F27="",Humedad!$G27=""),"",(Humedad!$F27-(Humedad!$G27-Humedad!$E27))*100/(Humedad!$G27-Humedad!$E27))</f>
        <v/>
      </c>
      <c r="I27" s="41" t="str">
        <f t="shared" si="0"/>
        <v/>
      </c>
    </row>
    <row r="28" spans="1:11" x14ac:dyDescent="0.2">
      <c r="A28" s="25"/>
      <c r="B28" s="26" t="str">
        <f>IF(K17="","",K17)</f>
        <v/>
      </c>
      <c r="C28" s="27"/>
      <c r="D28" s="25"/>
      <c r="E28" s="28"/>
      <c r="F28" s="28"/>
      <c r="G28" s="28"/>
      <c r="H28" s="29" t="str">
        <f>IF(OR(Humedad!$A28="",Humedad!$B28="",Humedad!$C28="",Humedad!$D28="",Humedad!$E28="",Humedad!$F28="",Humedad!$G28=""),"",(Humedad!$F28-(Humedad!$G28-Humedad!$E28))*100/(Humedad!$G28-Humedad!$E28))</f>
        <v/>
      </c>
      <c r="I28" s="41" t="str">
        <f t="shared" si="0"/>
        <v/>
      </c>
    </row>
    <row r="29" spans="1:11" x14ac:dyDescent="0.2">
      <c r="A29" s="25"/>
      <c r="B29" s="26" t="str">
        <f>IF(K17="","",K17)</f>
        <v/>
      </c>
      <c r="C29" s="27"/>
      <c r="D29" s="25"/>
      <c r="E29" s="28"/>
      <c r="F29" s="28"/>
      <c r="G29" s="28"/>
      <c r="H29" s="29" t="str">
        <f>IF(OR(Humedad!$A29="",Humedad!$B29="",Humedad!$C29="",Humedad!$D29="",Humedad!$E29="",Humedad!$F29="",Humedad!$G29=""),"",(Humedad!$F29-(Humedad!$G29-Humedad!$E29))*100/(Humedad!$G29-Humedad!$E29))</f>
        <v/>
      </c>
      <c r="I29" s="41" t="str">
        <f t="shared" si="0"/>
        <v/>
      </c>
    </row>
    <row r="30" spans="1:11" x14ac:dyDescent="0.2">
      <c r="A30" s="25"/>
      <c r="B30" s="26" t="str">
        <f>IF(K17="","",K17)</f>
        <v/>
      </c>
      <c r="C30" s="27"/>
      <c r="D30" s="25"/>
      <c r="E30" s="28"/>
      <c r="F30" s="28"/>
      <c r="G30" s="28"/>
      <c r="H30" s="29" t="str">
        <f>IF(OR(Humedad!$A30="",Humedad!$B30="",Humedad!$C30="",Humedad!$D30="",Humedad!$E30="",Humedad!$F30="",Humedad!$G30=""),"",(Humedad!$F30-(Humedad!$G30-Humedad!$E30))*100/(Humedad!$G30-Humedad!$E30))</f>
        <v/>
      </c>
      <c r="I30" s="41" t="str">
        <f t="shared" si="0"/>
        <v/>
      </c>
    </row>
    <row r="31" spans="1:11" x14ac:dyDescent="0.2">
      <c r="A31" s="25"/>
      <c r="B31" s="26" t="str">
        <f>IF(K17="","",K17)</f>
        <v/>
      </c>
      <c r="C31" s="27"/>
      <c r="D31" s="25"/>
      <c r="E31" s="28"/>
      <c r="F31" s="28"/>
      <c r="G31" s="28"/>
      <c r="H31" s="29" t="str">
        <f>IF(OR(Humedad!$A31="",Humedad!$B31="",Humedad!$C31="",Humedad!$D31="",Humedad!$E31="",Humedad!$F31="",Humedad!$G31=""),"",(Humedad!$F31-(Humedad!$G31-Humedad!$E31))*100/(Humedad!$G31-Humedad!$E31))</f>
        <v/>
      </c>
      <c r="I31" s="41" t="str">
        <f t="shared" si="0"/>
        <v/>
      </c>
    </row>
    <row r="32" spans="1:11" x14ac:dyDescent="0.2">
      <c r="A32" s="25"/>
      <c r="B32" s="26" t="str">
        <f>IF(K17="","",K17)</f>
        <v/>
      </c>
      <c r="C32" s="27"/>
      <c r="D32" s="25"/>
      <c r="E32" s="28"/>
      <c r="F32" s="28"/>
      <c r="G32" s="28"/>
      <c r="H32" s="29" t="str">
        <f>IF(OR(Humedad!$A32="",Humedad!$B32="",Humedad!$C32="",Humedad!$D32="",Humedad!$E32="",Humedad!$F32="",Humedad!$G32=""),"",(Humedad!$F32-(Humedad!$G32-Humedad!$E32))*100/(Humedad!$G32-Humedad!$E32))</f>
        <v/>
      </c>
      <c r="I32" s="41" t="str">
        <f t="shared" si="0"/>
        <v/>
      </c>
    </row>
    <row r="33" spans="1:9" x14ac:dyDescent="0.2">
      <c r="A33" s="25"/>
      <c r="B33" s="26" t="str">
        <f>IF(K17="","",K17)</f>
        <v/>
      </c>
      <c r="C33" s="27"/>
      <c r="D33" s="25"/>
      <c r="E33" s="28"/>
      <c r="F33" s="28"/>
      <c r="G33" s="28"/>
      <c r="H33" s="29" t="str">
        <f>IF(OR(Humedad!$A33="",Humedad!$B33="",Humedad!$C33="",Humedad!$D33="",Humedad!$E33="",Humedad!$F33="",Humedad!$G33=""),"",(Humedad!$F33-(Humedad!$G33-Humedad!$E33))*100/(Humedad!$G33-Humedad!$E33))</f>
        <v/>
      </c>
      <c r="I33" s="41" t="str">
        <f t="shared" si="0"/>
        <v/>
      </c>
    </row>
    <row r="34" spans="1:9" x14ac:dyDescent="0.2">
      <c r="A34" s="25"/>
      <c r="B34" s="26" t="str">
        <f>IF(K17="","",K17)</f>
        <v/>
      </c>
      <c r="C34" s="27"/>
      <c r="D34" s="25"/>
      <c r="E34" s="28"/>
      <c r="F34" s="28"/>
      <c r="G34" s="28"/>
      <c r="H34" s="29" t="str">
        <f>IF(OR(Humedad!$A34="",Humedad!$B34="",Humedad!$C34="",Humedad!$D34="",Humedad!$E34="",Humedad!$F34="",Humedad!$G34=""),"",(Humedad!$F34-(Humedad!$G34-Humedad!$E34))*100/(Humedad!$G34-Humedad!$E34))</f>
        <v/>
      </c>
      <c r="I34" s="41" t="str">
        <f t="shared" si="0"/>
        <v/>
      </c>
    </row>
    <row r="35" spans="1:9" x14ac:dyDescent="0.2">
      <c r="A35" s="25"/>
      <c r="B35" s="26" t="str">
        <f>IF(K17="","",K17)</f>
        <v/>
      </c>
      <c r="C35" s="27"/>
      <c r="D35" s="25"/>
      <c r="E35" s="28"/>
      <c r="F35" s="28"/>
      <c r="G35" s="28"/>
      <c r="H35" s="29" t="str">
        <f>IF(OR(Humedad!$A35="",Humedad!$B35="",Humedad!$C35="",Humedad!$D35="",Humedad!$E35="",Humedad!$F35="",Humedad!$G35=""),"",(Humedad!$F35-(Humedad!$G35-Humedad!$E35))*100/(Humedad!$G35-Humedad!$E35))</f>
        <v/>
      </c>
      <c r="I35" s="41" t="str">
        <f t="shared" si="0"/>
        <v/>
      </c>
    </row>
    <row r="36" spans="1:9" x14ac:dyDescent="0.2">
      <c r="A36" s="25"/>
      <c r="B36" s="26" t="str">
        <f>IF(K17="","",K17)</f>
        <v/>
      </c>
      <c r="C36" s="27"/>
      <c r="D36" s="25"/>
      <c r="E36" s="28"/>
      <c r="F36" s="28"/>
      <c r="G36" s="28"/>
      <c r="H36" s="29" t="str">
        <f>IF(OR(Humedad!$A36="",Humedad!$B36="",Humedad!$C36="",Humedad!$D36="",Humedad!$E36="",Humedad!$F36="",Humedad!$G36=""),"",(Humedad!$F36-(Humedad!$G36-Humedad!$E36))*100/(Humedad!$G36-Humedad!$E36))</f>
        <v/>
      </c>
      <c r="I36" s="41" t="str">
        <f t="shared" si="0"/>
        <v/>
      </c>
    </row>
    <row r="37" spans="1:9" x14ac:dyDescent="0.2">
      <c r="A37" s="25"/>
      <c r="B37" s="26" t="str">
        <f>IF(K17="","",K17)</f>
        <v/>
      </c>
      <c r="C37" s="27"/>
      <c r="D37" s="25"/>
      <c r="E37" s="28"/>
      <c r="F37" s="28"/>
      <c r="G37" s="28"/>
      <c r="H37" s="29" t="str">
        <f>IF(OR(Humedad!$A37="",Humedad!$B37="",Humedad!$C37="",Humedad!$D37="",Humedad!$E37="",Humedad!$F37="",Humedad!$G37=""),"",(Humedad!$F37-(Humedad!$G37-Humedad!$E37))*100/(Humedad!$G37-Humedad!$E37))</f>
        <v/>
      </c>
      <c r="I37" s="41" t="str">
        <f t="shared" si="0"/>
        <v/>
      </c>
    </row>
  </sheetData>
  <sheetProtection password="D1D1" sheet="1" objects="1" scenarios="1" formatCells="0" formatColumns="0" formatRows="0"/>
  <protectedRanges>
    <protectedRange sqref="M8:M14" name="Rango2"/>
    <protectedRange sqref="J11" name="Rango1"/>
  </protectedRanges>
  <mergeCells count="3">
    <mergeCell ref="J15:K15"/>
    <mergeCell ref="J19:K19"/>
    <mergeCell ref="J23:K23"/>
  </mergeCells>
  <pageMargins left="0.7" right="0.7" top="0.75" bottom="0.75" header="0.3" footer="0.3"/>
  <pageSetup paperSize="9" scale="92" orientation="landscape" r:id="rId1"/>
  <headerFooter>
    <oddHeader xml:space="preserve">&amp;L&amp;"Arial,Negrita"&amp;20LAFIGA &amp;C&amp;8ANÁLISIS DE SUELOS   
HOJA DE CÁLCULO DE   
LA DETERMINACIÓN DE LA HUMEDAD &amp;10  
&amp;R&amp;8     PE/LAFIGA/SU50  
  Hoja:_______________  
  Siguiente:___________  
</oddHeader>
    <oddFooter xml:space="preserve">&amp;LESU5002-2
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Datos!I2:I3</xm:f>
          </x14:formula1>
          <xm:sqref>K24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R172"/>
  <sheetViews>
    <sheetView zoomScaleNormal="100" workbookViewId="0">
      <selection activeCell="A2" sqref="A2"/>
    </sheetView>
  </sheetViews>
  <sheetFormatPr baseColWidth="10" defaultRowHeight="15" x14ac:dyDescent="0.25"/>
  <cols>
    <col min="1" max="1" width="11.7109375" bestFit="1" customWidth="1"/>
    <col min="2" max="2" width="9.28515625" bestFit="1" customWidth="1"/>
    <col min="4" max="4" width="15.5703125" hidden="1" customWidth="1"/>
    <col min="5" max="6" width="11.5703125" hidden="1" customWidth="1"/>
    <col min="7" max="7" width="19.7109375" customWidth="1"/>
    <col min="9" max="9" width="18.7109375" customWidth="1"/>
    <col min="10" max="10" width="11.5703125" customWidth="1"/>
    <col min="11" max="13" width="11.5703125" hidden="1" customWidth="1"/>
    <col min="14" max="14" width="16.140625" customWidth="1"/>
    <col min="16" max="16" width="16.85546875" customWidth="1"/>
    <col min="17" max="17" width="12.42578125" bestFit="1" customWidth="1"/>
  </cols>
  <sheetData>
    <row r="1" spans="1:18" ht="45" x14ac:dyDescent="0.25">
      <c r="A1" s="35" t="s">
        <v>0</v>
      </c>
      <c r="B1" s="36" t="s">
        <v>107</v>
      </c>
      <c r="C1" s="36" t="s">
        <v>108</v>
      </c>
      <c r="D1" s="36" t="s">
        <v>109</v>
      </c>
      <c r="E1" s="36" t="s">
        <v>110</v>
      </c>
      <c r="F1" s="36" t="s">
        <v>111</v>
      </c>
      <c r="G1" s="36" t="s">
        <v>135</v>
      </c>
      <c r="H1" s="36" t="s">
        <v>112</v>
      </c>
      <c r="I1" s="36" t="s">
        <v>113</v>
      </c>
      <c r="J1" s="36" t="s">
        <v>114</v>
      </c>
      <c r="K1" s="36" t="s">
        <v>115</v>
      </c>
      <c r="L1" s="36" t="s">
        <v>116</v>
      </c>
      <c r="M1" s="36" t="s">
        <v>117</v>
      </c>
      <c r="N1" s="36" t="s">
        <v>136</v>
      </c>
      <c r="O1" s="36" t="s">
        <v>118</v>
      </c>
      <c r="P1" s="36" t="s">
        <v>119</v>
      </c>
      <c r="Q1" s="37" t="s">
        <v>120</v>
      </c>
      <c r="R1" s="38" t="s">
        <v>121</v>
      </c>
    </row>
    <row r="2" spans="1:18" x14ac:dyDescent="0.25">
      <c r="A2" s="39"/>
      <c r="B2" s="39"/>
      <c r="C2" s="39"/>
      <c r="D2" s="42"/>
      <c r="E2" s="39"/>
      <c r="F2" s="39"/>
      <c r="G2" s="48" t="str">
        <f>IF(OR(A2="",B2="",AND(C2="",E2=""),AND(C2&lt;Datos!$F$2,E2="")),"",IF(C2&gt;=Datos!$F$2,10*B2*C2,10*B2*E2))</f>
        <v/>
      </c>
      <c r="H2" s="44" t="str">
        <f>IF(AND(LECON!$D2="",LECON!$F2=""),"",IF(LECON!$F2="",LECON!$D2,LECON!$F2))</f>
        <v/>
      </c>
      <c r="I2" s="39"/>
      <c r="J2" s="39"/>
      <c r="K2" s="42"/>
      <c r="L2" s="39"/>
      <c r="M2" s="39"/>
      <c r="N2" s="46" t="str">
        <f>IF(OR(A2="",B2="",AND(J2="",L2=""),AND(J2&lt;Datos!$F$3,L2="")),"",IF(J2&gt;=Datos!$F$3,10*B2*J2,10*B2*L2))</f>
        <v/>
      </c>
      <c r="O2" s="44" t="str">
        <f>IF(AND(LECON!$K2="",LECON!$M2=""),"",IF(LECON!$M2="",LECON!$K2,LECON!$M2))</f>
        <v/>
      </c>
      <c r="P2" s="39"/>
      <c r="Q2" s="46" t="str">
        <f>IF(OR(G2="",N2=""),"",G2/N2)</f>
        <v/>
      </c>
      <c r="R2" s="44" t="str">
        <f>IF(OR(LECON!$H2="",LECON!$O2=""),"",MAX(LECON!$H2,LECON!$O2))</f>
        <v/>
      </c>
    </row>
    <row r="3" spans="1:18" x14ac:dyDescent="0.25">
      <c r="A3" s="40"/>
      <c r="B3" s="40"/>
      <c r="C3" s="40"/>
      <c r="D3" s="43"/>
      <c r="E3" s="40"/>
      <c r="F3" s="40"/>
      <c r="G3" s="49" t="str">
        <f>IF(OR(A3="",B3="",AND(C3="",E3=""),AND(C3&lt;Datos!$F$2,E3="")),"",IF(C3&gt;=Datos!$F$2,10*B3*C3,10*B3*E3))</f>
        <v/>
      </c>
      <c r="H3" s="45" t="str">
        <f>IF(AND(LECON!$D3="",LECON!$F3=""),"",IF(LECON!$F3="",LECON!$D3,LECON!$F3))</f>
        <v/>
      </c>
      <c r="I3" s="40"/>
      <c r="J3" s="40"/>
      <c r="K3" s="43"/>
      <c r="L3" s="40"/>
      <c r="M3" s="40"/>
      <c r="N3" s="47" t="str">
        <f>IF(OR(A3="",B3="",AND(J3="",L3=""),AND(J3&lt;Datos!$F$3,L3="")),"",IF(J3&gt;=Datos!$F$3,10*B3*J3,10*B3*L3))</f>
        <v/>
      </c>
      <c r="O3" s="45" t="str">
        <f>IF(AND(LECON!$K3="",LECON!$M3=""),"",IF(LECON!$M3="",LECON!$K3,LECON!$M3))</f>
        <v/>
      </c>
      <c r="P3" s="40"/>
      <c r="Q3" s="47" t="str">
        <f t="shared" ref="Q3:Q66" si="0">IF(OR(G3="",N3=""),"",G3/N3)</f>
        <v/>
      </c>
      <c r="R3" s="45" t="str">
        <f>IF(OR(LECON!$H3="",LECON!$O3=""),"",MAX(LECON!$H3,LECON!$O3))</f>
        <v/>
      </c>
    </row>
    <row r="4" spans="1:18" x14ac:dyDescent="0.25">
      <c r="A4" s="39"/>
      <c r="B4" s="39"/>
      <c r="C4" s="39"/>
      <c r="D4" s="42"/>
      <c r="E4" s="39"/>
      <c r="F4" s="39"/>
      <c r="G4" s="48" t="str">
        <f>IF(OR(A4="",B4="",AND(C4="",E4=""),AND(C4&lt;Datos!$F$2,E4="")),"",IF(C4&gt;=Datos!$F$2,10*B4*C4,10*B4*E4))</f>
        <v/>
      </c>
      <c r="H4" s="44" t="str">
        <f>IF(AND(LECON!$D4="",LECON!$F4=""),"",IF(LECON!$F4="",LECON!$D4,LECON!$F4))</f>
        <v/>
      </c>
      <c r="I4" s="39"/>
      <c r="J4" s="39"/>
      <c r="K4" s="42"/>
      <c r="L4" s="39"/>
      <c r="M4" s="39"/>
      <c r="N4" s="46" t="str">
        <f>IF(OR(A4="",B4="",AND(J4="",L4=""),AND(J4&lt;Datos!$F$3,L4="")),"",IF(J4&gt;=Datos!$F$3,10*B4*J4,10*B4*L4))</f>
        <v/>
      </c>
      <c r="O4" s="44" t="str">
        <f>IF(AND(LECON!$K4="",LECON!$M4=""),"",IF(LECON!$M4="",LECON!$K4,LECON!$M4))</f>
        <v/>
      </c>
      <c r="P4" s="39"/>
      <c r="Q4" s="46" t="str">
        <f t="shared" si="0"/>
        <v/>
      </c>
      <c r="R4" s="44" t="str">
        <f>IF(OR(LECON!$H4="",LECON!$O4=""),"",MAX(LECON!$H4,LECON!$O4))</f>
        <v/>
      </c>
    </row>
    <row r="5" spans="1:18" x14ac:dyDescent="0.25">
      <c r="A5" s="40"/>
      <c r="B5" s="40"/>
      <c r="C5" s="40"/>
      <c r="D5" s="43"/>
      <c r="E5" s="40"/>
      <c r="F5" s="40"/>
      <c r="G5" s="49" t="str">
        <f>IF(OR(A5="",B5="",AND(C5="",E5=""),AND(C5&lt;Datos!$F$2,E5="")),"",IF(C5&gt;=Datos!$F$2,10*B5*C5,10*B5*E5))</f>
        <v/>
      </c>
      <c r="H5" s="45" t="str">
        <f>IF(AND(LECON!$D5="",LECON!$F5=""),"",IF(LECON!$F5="",LECON!$D5,LECON!$F5))</f>
        <v/>
      </c>
      <c r="I5" s="40"/>
      <c r="J5" s="40"/>
      <c r="K5" s="43"/>
      <c r="L5" s="40"/>
      <c r="M5" s="40"/>
      <c r="N5" s="47" t="str">
        <f>IF(OR(A5="",B5="",AND(J5="",L5=""),AND(J5&lt;Datos!$F$3,L5="")),"",IF(J5&gt;=Datos!$F$3,10*B5*J5,10*B5*L5))</f>
        <v/>
      </c>
      <c r="O5" s="45" t="str">
        <f>IF(AND(LECON!$K5="",LECON!$M5=""),"",IF(LECON!$M5="",LECON!$K5,LECON!$M5))</f>
        <v/>
      </c>
      <c r="P5" s="40"/>
      <c r="Q5" s="47" t="str">
        <f t="shared" si="0"/>
        <v/>
      </c>
      <c r="R5" s="45" t="str">
        <f>IF(OR(LECON!$H5="",LECON!$O5=""),"",MAX(LECON!$H5,LECON!$O5))</f>
        <v/>
      </c>
    </row>
    <row r="6" spans="1:18" x14ac:dyDescent="0.25">
      <c r="A6" s="39"/>
      <c r="B6" s="39"/>
      <c r="C6" s="39"/>
      <c r="D6" s="42"/>
      <c r="E6" s="39"/>
      <c r="F6" s="39"/>
      <c r="G6" s="48" t="str">
        <f>IF(OR(A6="",B6="",AND(C6="",E6=""),AND(C6&lt;Datos!$F$2,E6="")),"",IF(C6&gt;=Datos!$F$2,10*B6*C6,10*B6*E6))</f>
        <v/>
      </c>
      <c r="H6" s="44" t="str">
        <f>IF(AND(LECON!$D6="",LECON!$F6=""),"",IF(LECON!$F6="",LECON!$D6,LECON!$F6))</f>
        <v/>
      </c>
      <c r="I6" s="39"/>
      <c r="J6" s="39"/>
      <c r="K6" s="42"/>
      <c r="L6" s="39"/>
      <c r="M6" s="39"/>
      <c r="N6" s="46" t="str">
        <f>IF(OR(A6="",B6="",AND(J6="",L6=""),AND(J6&lt;Datos!$F$3,L6="")),"",IF(J6&gt;=Datos!$F$3,10*B6*J6,10*B6*L6))</f>
        <v/>
      </c>
      <c r="O6" s="44" t="str">
        <f>IF(AND(LECON!$K6="",LECON!$M6=""),"",IF(LECON!$M6="",LECON!$K6,LECON!$M6))</f>
        <v/>
      </c>
      <c r="P6" s="39"/>
      <c r="Q6" s="46" t="str">
        <f t="shared" si="0"/>
        <v/>
      </c>
      <c r="R6" s="44" t="str">
        <f>IF(OR(LECON!$H6="",LECON!$O6=""),"",MAX(LECON!$H6,LECON!$O6))</f>
        <v/>
      </c>
    </row>
    <row r="7" spans="1:18" x14ac:dyDescent="0.25">
      <c r="A7" s="40"/>
      <c r="B7" s="40"/>
      <c r="C7" s="40"/>
      <c r="D7" s="43"/>
      <c r="E7" s="40"/>
      <c r="F7" s="40"/>
      <c r="G7" s="49" t="str">
        <f>IF(OR(A7="",B7="",AND(C7="",E7=""),AND(C7&lt;Datos!$F$2,E7="")),"",IF(C7&gt;=Datos!$F$2,10*B7*C7,10*B7*E7))</f>
        <v/>
      </c>
      <c r="H7" s="45" t="str">
        <f>IF(AND(LECON!$D7="",LECON!$F7=""),"",IF(LECON!$F7="",LECON!$D7,LECON!$F7))</f>
        <v/>
      </c>
      <c r="I7" s="40"/>
      <c r="J7" s="40"/>
      <c r="K7" s="43"/>
      <c r="L7" s="40"/>
      <c r="M7" s="40"/>
      <c r="N7" s="47" t="str">
        <f>IF(OR(A7="",B7="",AND(J7="",L7=""),AND(J7&lt;Datos!$F$3,L7="")),"",IF(J7&gt;=Datos!$F$3,10*B7*J7,10*B7*L7))</f>
        <v/>
      </c>
      <c r="O7" s="45" t="str">
        <f>IF(AND(LECON!$K7="",LECON!$M7=""),"",IF(LECON!$M7="",LECON!$K7,LECON!$M7))</f>
        <v/>
      </c>
      <c r="P7" s="40"/>
      <c r="Q7" s="47" t="str">
        <f t="shared" si="0"/>
        <v/>
      </c>
      <c r="R7" s="45" t="str">
        <f>IF(OR(LECON!$H7="",LECON!$O7=""),"",MAX(LECON!$H7,LECON!$O7))</f>
        <v/>
      </c>
    </row>
    <row r="8" spans="1:18" x14ac:dyDescent="0.25">
      <c r="A8" s="39"/>
      <c r="B8" s="39"/>
      <c r="C8" s="39"/>
      <c r="D8" s="42"/>
      <c r="E8" s="39"/>
      <c r="F8" s="39"/>
      <c r="G8" s="48" t="str">
        <f>IF(OR(A8="",B8="",AND(C8="",E8=""),AND(C8&lt;Datos!$F$2,E8="")),"",IF(C8&gt;=Datos!$F$2,10*B8*C8,10*B8*E8))</f>
        <v/>
      </c>
      <c r="H8" s="44" t="str">
        <f>IF(AND(LECON!$D8="",LECON!$F8=""),"",IF(LECON!$F8="",LECON!$D8,LECON!$F8))</f>
        <v/>
      </c>
      <c r="I8" s="39"/>
      <c r="J8" s="39"/>
      <c r="K8" s="42"/>
      <c r="L8" s="39"/>
      <c r="M8" s="39"/>
      <c r="N8" s="46" t="str">
        <f>IF(OR(A8="",B8="",AND(J8="",L8=""),AND(J8&lt;Datos!$F$3,L8="")),"",IF(J8&gt;=Datos!$F$3,10*B8*J8,10*B8*L8))</f>
        <v/>
      </c>
      <c r="O8" s="44" t="str">
        <f>IF(AND(LECON!$K8="",LECON!$M8=""),"",IF(LECON!$M8="",LECON!$K8,LECON!$M8))</f>
        <v/>
      </c>
      <c r="P8" s="39"/>
      <c r="Q8" s="46" t="str">
        <f t="shared" si="0"/>
        <v/>
      </c>
      <c r="R8" s="44" t="str">
        <f>IF(OR(LECON!$H8="",LECON!$O8=""),"",MAX(LECON!$H8,LECON!$O8))</f>
        <v/>
      </c>
    </row>
    <row r="9" spans="1:18" x14ac:dyDescent="0.25">
      <c r="A9" s="40"/>
      <c r="B9" s="40"/>
      <c r="C9" s="40"/>
      <c r="D9" s="43"/>
      <c r="E9" s="40"/>
      <c r="F9" s="40"/>
      <c r="G9" s="49" t="str">
        <f>IF(OR(A9="",B9="",AND(C9="",E9=""),AND(C9&lt;Datos!$F$2,E9="")),"",IF(C9&gt;=Datos!$F$2,10*B9*C9,10*B9*E9))</f>
        <v/>
      </c>
      <c r="H9" s="45" t="str">
        <f>IF(AND(LECON!$D9="",LECON!$F9=""),"",IF(LECON!$F9="",LECON!$D9,LECON!$F9))</f>
        <v/>
      </c>
      <c r="I9" s="40"/>
      <c r="J9" s="40"/>
      <c r="K9" s="43"/>
      <c r="L9" s="40"/>
      <c r="M9" s="40"/>
      <c r="N9" s="47" t="str">
        <f>IF(OR(A9="",B9="",AND(J9="",L9=""),AND(J9&lt;Datos!$F$3,L9="")),"",IF(J9&gt;=Datos!$F$3,10*B9*J9,10*B9*L9))</f>
        <v/>
      </c>
      <c r="O9" s="45" t="str">
        <f>IF(AND(LECON!$K9="",LECON!$M9=""),"",IF(LECON!$M9="",LECON!$K9,LECON!$M9))</f>
        <v/>
      </c>
      <c r="P9" s="40"/>
      <c r="Q9" s="47" t="str">
        <f t="shared" si="0"/>
        <v/>
      </c>
      <c r="R9" s="45" t="str">
        <f>IF(OR(LECON!$H9="",LECON!$O9=""),"",MAX(LECON!$H9,LECON!$O9))</f>
        <v/>
      </c>
    </row>
    <row r="10" spans="1:18" x14ac:dyDescent="0.25">
      <c r="A10" s="39"/>
      <c r="B10" s="39"/>
      <c r="C10" s="39"/>
      <c r="D10" s="42"/>
      <c r="E10" s="39"/>
      <c r="F10" s="39"/>
      <c r="G10" s="48" t="str">
        <f>IF(OR(A10="",B10="",AND(C10="",E10=""),AND(C10&lt;Datos!$F$2,E10="")),"",IF(C10&gt;=Datos!$F$2,10*B10*C10,10*B10*E10))</f>
        <v/>
      </c>
      <c r="H10" s="44" t="str">
        <f>IF(AND(LECON!$D10="",LECON!$F10=""),"",IF(LECON!$F10="",LECON!$D10,LECON!$F10))</f>
        <v/>
      </c>
      <c r="I10" s="39"/>
      <c r="J10" s="39"/>
      <c r="K10" s="42"/>
      <c r="L10" s="39"/>
      <c r="M10" s="39"/>
      <c r="N10" s="46" t="str">
        <f>IF(OR(A10="",B10="",AND(J10="",L10=""),AND(J10&lt;Datos!$F$3,L10="")),"",IF(J10&gt;=Datos!$F$3,10*B10*J10,10*B10*L10))</f>
        <v/>
      </c>
      <c r="O10" s="44" t="str">
        <f>IF(AND(LECON!$K10="",LECON!$M10=""),"",IF(LECON!$M10="",LECON!$K10,LECON!$M10))</f>
        <v/>
      </c>
      <c r="P10" s="39"/>
      <c r="Q10" s="46" t="str">
        <f t="shared" si="0"/>
        <v/>
      </c>
      <c r="R10" s="44" t="str">
        <f>IF(OR(LECON!$H10="",LECON!$O10=""),"",MAX(LECON!$H10,LECON!$O10))</f>
        <v/>
      </c>
    </row>
    <row r="11" spans="1:18" x14ac:dyDescent="0.25">
      <c r="A11" s="40"/>
      <c r="B11" s="40"/>
      <c r="C11" s="40"/>
      <c r="D11" s="43"/>
      <c r="E11" s="40"/>
      <c r="F11" s="40"/>
      <c r="G11" s="49" t="str">
        <f>IF(OR(A11="",B11="",AND(C11="",E11=""),AND(C11&lt;Datos!$F$2,E11="")),"",IF(C11&gt;=Datos!$F$2,10*B11*C11,10*B11*E11))</f>
        <v/>
      </c>
      <c r="H11" s="45" t="str">
        <f>IF(AND(LECON!$D11="",LECON!$F11=""),"",IF(LECON!$F11="",LECON!$D11,LECON!$F11))</f>
        <v/>
      </c>
      <c r="I11" s="40"/>
      <c r="J11" s="40"/>
      <c r="K11" s="43"/>
      <c r="L11" s="40"/>
      <c r="M11" s="40"/>
      <c r="N11" s="47" t="str">
        <f>IF(OR(A11="",B11="",AND(J11="",L11=""),AND(J11&lt;Datos!$F$3,L11="")),"",IF(J11&gt;=Datos!$F$3,10*B11*J11,10*B11*L11))</f>
        <v/>
      </c>
      <c r="O11" s="45" t="str">
        <f>IF(AND(LECON!$K11="",LECON!$M11=""),"",IF(LECON!$M11="",LECON!$K11,LECON!$M11))</f>
        <v/>
      </c>
      <c r="P11" s="40"/>
      <c r="Q11" s="47" t="str">
        <f t="shared" si="0"/>
        <v/>
      </c>
      <c r="R11" s="45" t="str">
        <f>IF(OR(LECON!$H11="",LECON!$O11=""),"",MAX(LECON!$H11,LECON!$O11))</f>
        <v/>
      </c>
    </row>
    <row r="12" spans="1:18" x14ac:dyDescent="0.25">
      <c r="A12" s="39"/>
      <c r="B12" s="39"/>
      <c r="C12" s="39"/>
      <c r="D12" s="42"/>
      <c r="E12" s="39"/>
      <c r="F12" s="39"/>
      <c r="G12" s="48" t="str">
        <f>IF(OR(A12="",B12="",AND(C12="",E12=""),AND(C12&lt;Datos!$F$2,E12="")),"",IF(C12&gt;=Datos!$F$2,10*B12*C12,10*B12*E12))</f>
        <v/>
      </c>
      <c r="H12" s="44" t="str">
        <f>IF(AND(LECON!$D12="",LECON!$F12=""),"",IF(LECON!$F12="",LECON!$D12,LECON!$F12))</f>
        <v/>
      </c>
      <c r="I12" s="39"/>
      <c r="J12" s="39"/>
      <c r="K12" s="42"/>
      <c r="L12" s="39"/>
      <c r="M12" s="39"/>
      <c r="N12" s="46" t="str">
        <f>IF(OR(A12="",B12="",AND(J12="",L12=""),AND(J12&lt;Datos!$F$3,L12="")),"",IF(J12&gt;=Datos!$F$3,10*B12*J12,10*B12*L12))</f>
        <v/>
      </c>
      <c r="O12" s="44" t="str">
        <f>IF(AND(LECON!$K12="",LECON!$M12=""),"",IF(LECON!$M12="",LECON!$K12,LECON!$M12))</f>
        <v/>
      </c>
      <c r="P12" s="39"/>
      <c r="Q12" s="46" t="str">
        <f t="shared" si="0"/>
        <v/>
      </c>
      <c r="R12" s="44" t="str">
        <f>IF(OR(LECON!$H12="",LECON!$O12=""),"",MAX(LECON!$H12,LECON!$O12))</f>
        <v/>
      </c>
    </row>
    <row r="13" spans="1:18" x14ac:dyDescent="0.25">
      <c r="A13" s="40"/>
      <c r="B13" s="40"/>
      <c r="C13" s="40"/>
      <c r="D13" s="43"/>
      <c r="E13" s="40"/>
      <c r="F13" s="40"/>
      <c r="G13" s="49" t="str">
        <f>IF(OR(A13="",B13="",AND(C13="",E13=""),AND(C13&lt;Datos!$F$2,E13="")),"",IF(C13&gt;=Datos!$F$2,10*B13*C13,10*B13*E13))</f>
        <v/>
      </c>
      <c r="H13" s="45" t="str">
        <f>IF(AND(LECON!$D13="",LECON!$F13=""),"",IF(LECON!$F13="",LECON!$D13,LECON!$F13))</f>
        <v/>
      </c>
      <c r="I13" s="40"/>
      <c r="J13" s="40"/>
      <c r="K13" s="43"/>
      <c r="L13" s="40"/>
      <c r="M13" s="40"/>
      <c r="N13" s="47" t="str">
        <f>IF(OR(A13="",B13="",AND(J13="",L13=""),AND(J13&lt;Datos!$F$3,L13="")),"",IF(J13&gt;=Datos!$F$3,10*B13*J13,10*B13*L13))</f>
        <v/>
      </c>
      <c r="O13" s="45" t="str">
        <f>IF(AND(LECON!$K13="",LECON!$M13=""),"",IF(LECON!$M13="",LECON!$K13,LECON!$M13))</f>
        <v/>
      </c>
      <c r="P13" s="40"/>
      <c r="Q13" s="47" t="str">
        <f t="shared" si="0"/>
        <v/>
      </c>
      <c r="R13" s="45" t="str">
        <f>IF(OR(LECON!$H13="",LECON!$O13=""),"",MAX(LECON!$H13,LECON!$O13))</f>
        <v/>
      </c>
    </row>
    <row r="14" spans="1:18" x14ac:dyDescent="0.25">
      <c r="A14" s="39"/>
      <c r="B14" s="39"/>
      <c r="C14" s="39"/>
      <c r="D14" s="42"/>
      <c r="E14" s="39"/>
      <c r="F14" s="39"/>
      <c r="G14" s="48" t="str">
        <f>IF(OR(A14="",B14="",AND(C14="",E14=""),AND(C14&lt;Datos!$F$2,E14="")),"",IF(C14&gt;=Datos!$F$2,10*B14*C14,10*B14*E14))</f>
        <v/>
      </c>
      <c r="H14" s="44" t="str">
        <f>IF(AND(LECON!$D14="",LECON!$F14=""),"",IF(LECON!$F14="",LECON!$D14,LECON!$F14))</f>
        <v/>
      </c>
      <c r="I14" s="39"/>
      <c r="J14" s="39"/>
      <c r="K14" s="42"/>
      <c r="L14" s="39"/>
      <c r="M14" s="39"/>
      <c r="N14" s="46" t="str">
        <f>IF(OR(A14="",B14="",AND(J14="",L14=""),AND(J14&lt;Datos!$F$3,L14="")),"",IF(J14&gt;=Datos!$F$3,10*B14*J14,10*B14*L14))</f>
        <v/>
      </c>
      <c r="O14" s="44" t="str">
        <f>IF(AND(LECON!$K14="",LECON!$M14=""),"",IF(LECON!$M14="",LECON!$K14,LECON!$M14))</f>
        <v/>
      </c>
      <c r="P14" s="39"/>
      <c r="Q14" s="46" t="str">
        <f t="shared" si="0"/>
        <v/>
      </c>
      <c r="R14" s="44" t="str">
        <f>IF(OR(LECON!$H14="",LECON!$O14=""),"",MAX(LECON!$H14,LECON!$O14))</f>
        <v/>
      </c>
    </row>
    <row r="15" spans="1:18" x14ac:dyDescent="0.25">
      <c r="A15" s="40"/>
      <c r="B15" s="40"/>
      <c r="C15" s="40"/>
      <c r="D15" s="43"/>
      <c r="E15" s="40"/>
      <c r="F15" s="40"/>
      <c r="G15" s="49" t="str">
        <f>IF(OR(A15="",B15="",AND(C15="",E15=""),AND(C15&lt;Datos!$F$2,E15="")),"",IF(C15&gt;=Datos!$F$2,10*B15*C15,10*B15*E15))</f>
        <v/>
      </c>
      <c r="H15" s="45" t="str">
        <f>IF(AND(LECON!$D15="",LECON!$F15=""),"",IF(LECON!$F15="",LECON!$D15,LECON!$F15))</f>
        <v/>
      </c>
      <c r="I15" s="40"/>
      <c r="J15" s="40"/>
      <c r="K15" s="43"/>
      <c r="L15" s="40"/>
      <c r="M15" s="40"/>
      <c r="N15" s="47" t="str">
        <f>IF(OR(A15="",B15="",AND(J15="",L15=""),AND(J15&lt;Datos!$F$3,L15="")),"",IF(J15&gt;=Datos!$F$3,10*B15*J15,10*B15*L15))</f>
        <v/>
      </c>
      <c r="O15" s="45" t="str">
        <f>IF(AND(LECON!$K15="",LECON!$M15=""),"",IF(LECON!$M15="",LECON!$K15,LECON!$M15))</f>
        <v/>
      </c>
      <c r="P15" s="40"/>
      <c r="Q15" s="47" t="str">
        <f t="shared" si="0"/>
        <v/>
      </c>
      <c r="R15" s="45" t="str">
        <f>IF(OR(LECON!$H15="",LECON!$O15=""),"",MAX(LECON!$H15,LECON!$O15))</f>
        <v/>
      </c>
    </row>
    <row r="16" spans="1:18" x14ac:dyDescent="0.25">
      <c r="A16" s="39"/>
      <c r="B16" s="39"/>
      <c r="C16" s="39"/>
      <c r="D16" s="42"/>
      <c r="E16" s="39"/>
      <c r="F16" s="39"/>
      <c r="G16" s="48" t="str">
        <f>IF(OR(A16="",B16="",AND(C16="",E16=""),AND(C16&lt;Datos!$F$2,E16="")),"",IF(C16&gt;=Datos!$F$2,10*B16*C16,10*B16*E16))</f>
        <v/>
      </c>
      <c r="H16" s="44" t="str">
        <f>IF(AND(LECON!$D16="",LECON!$F16=""),"",IF(LECON!$F16="",LECON!$D16,LECON!$F16))</f>
        <v/>
      </c>
      <c r="I16" s="39"/>
      <c r="J16" s="39"/>
      <c r="K16" s="42"/>
      <c r="L16" s="39"/>
      <c r="M16" s="39"/>
      <c r="N16" s="46" t="str">
        <f>IF(OR(A16="",B16="",AND(J16="",L16=""),AND(J16&lt;Datos!$F$3,L16="")),"",IF(J16&gt;=Datos!$F$3,10*B16*J16,10*B16*L16))</f>
        <v/>
      </c>
      <c r="O16" s="44" t="str">
        <f>IF(AND(LECON!$K16="",LECON!$M16=""),"",IF(LECON!$M16="",LECON!$K16,LECON!$M16))</f>
        <v/>
      </c>
      <c r="P16" s="39"/>
      <c r="Q16" s="46" t="str">
        <f t="shared" si="0"/>
        <v/>
      </c>
      <c r="R16" s="44" t="str">
        <f>IF(OR(LECON!$H16="",LECON!$O16=""),"",MAX(LECON!$H16,LECON!$O16))</f>
        <v/>
      </c>
    </row>
    <row r="17" spans="1:18" x14ac:dyDescent="0.25">
      <c r="A17" s="40"/>
      <c r="B17" s="40"/>
      <c r="C17" s="40"/>
      <c r="D17" s="43"/>
      <c r="E17" s="40"/>
      <c r="F17" s="40"/>
      <c r="G17" s="49" t="str">
        <f>IF(OR(A17="",B17="",AND(C17="",E17=""),AND(C17&lt;Datos!$F$2,E17="")),"",IF(C17&gt;=Datos!$F$2,10*B17*C17,10*B17*E17))</f>
        <v/>
      </c>
      <c r="H17" s="45" t="str">
        <f>IF(AND(LECON!$D17="",LECON!$F17=""),"",IF(LECON!$F17="",LECON!$D17,LECON!$F17))</f>
        <v/>
      </c>
      <c r="I17" s="40"/>
      <c r="J17" s="40"/>
      <c r="K17" s="43"/>
      <c r="L17" s="40"/>
      <c r="M17" s="40"/>
      <c r="N17" s="47" t="str">
        <f>IF(OR(A17="",B17="",AND(J17="",L17=""),AND(J17&lt;Datos!$F$3,L17="")),"",IF(J17&gt;=Datos!$F$3,10*B17*J17,10*B17*L17))</f>
        <v/>
      </c>
      <c r="O17" s="45" t="str">
        <f>IF(AND(LECON!$K17="",LECON!$M17=""),"",IF(LECON!$M17="",LECON!$K17,LECON!$M17))</f>
        <v/>
      </c>
      <c r="P17" s="40"/>
      <c r="Q17" s="47" t="str">
        <f t="shared" si="0"/>
        <v/>
      </c>
      <c r="R17" s="45" t="str">
        <f>IF(OR(LECON!$H17="",LECON!$O17=""),"",MAX(LECON!$H17,LECON!$O17))</f>
        <v/>
      </c>
    </row>
    <row r="18" spans="1:18" x14ac:dyDescent="0.25">
      <c r="A18" s="39"/>
      <c r="B18" s="39"/>
      <c r="C18" s="39"/>
      <c r="D18" s="42"/>
      <c r="E18" s="39"/>
      <c r="F18" s="39"/>
      <c r="G18" s="48" t="str">
        <f>IF(OR(A18="",B18="",AND(C18="",E18=""),AND(C18&lt;Datos!$F$2,E18="")),"",IF(C18&gt;=Datos!$F$2,10*B18*C18,10*B18*E18))</f>
        <v/>
      </c>
      <c r="H18" s="44" t="str">
        <f>IF(AND(LECON!$D18="",LECON!$F18=""),"",IF(LECON!$F18="",LECON!$D18,LECON!$F18))</f>
        <v/>
      </c>
      <c r="I18" s="39"/>
      <c r="J18" s="39"/>
      <c r="K18" s="42"/>
      <c r="L18" s="39"/>
      <c r="M18" s="39"/>
      <c r="N18" s="46" t="str">
        <f>IF(OR(A18="",B18="",AND(J18="",L18=""),AND(J18&lt;Datos!$F$3,L18="")),"",IF(J18&gt;=Datos!$F$3,10*B18*J18,10*B18*L18))</f>
        <v/>
      </c>
      <c r="O18" s="44" t="str">
        <f>IF(AND(LECON!$K18="",LECON!$M18=""),"",IF(LECON!$M18="",LECON!$K18,LECON!$M18))</f>
        <v/>
      </c>
      <c r="P18" s="39"/>
      <c r="Q18" s="46" t="str">
        <f t="shared" si="0"/>
        <v/>
      </c>
      <c r="R18" s="44" t="str">
        <f>IF(OR(LECON!$H18="",LECON!$O18=""),"",MAX(LECON!$H18,LECON!$O18))</f>
        <v/>
      </c>
    </row>
    <row r="19" spans="1:18" x14ac:dyDescent="0.25">
      <c r="A19" s="40"/>
      <c r="B19" s="40"/>
      <c r="C19" s="40"/>
      <c r="D19" s="43"/>
      <c r="E19" s="40"/>
      <c r="F19" s="40"/>
      <c r="G19" s="49" t="str">
        <f>IF(OR(A19="",B19="",AND(C19="",E19=""),AND(C19&lt;Datos!$F$2,E19="")),"",IF(C19&gt;=Datos!$F$2,10*B19*C19,10*B19*E19))</f>
        <v/>
      </c>
      <c r="H19" s="45" t="str">
        <f>IF(AND(LECON!$D19="",LECON!$F19=""),"",IF(LECON!$F19="",LECON!$D19,LECON!$F19))</f>
        <v/>
      </c>
      <c r="I19" s="40"/>
      <c r="J19" s="40"/>
      <c r="K19" s="43"/>
      <c r="L19" s="40"/>
      <c r="M19" s="40"/>
      <c r="N19" s="47" t="str">
        <f>IF(OR(A19="",B19="",AND(J19="",L19=""),AND(J19&lt;Datos!$F$3,L19="")),"",IF(J19&gt;=Datos!$F$3,10*B19*J19,10*B19*L19))</f>
        <v/>
      </c>
      <c r="O19" s="45" t="str">
        <f>IF(AND(LECON!$K19="",LECON!$M19=""),"",IF(LECON!$M19="",LECON!$K19,LECON!$M19))</f>
        <v/>
      </c>
      <c r="P19" s="40"/>
      <c r="Q19" s="47" t="str">
        <f t="shared" si="0"/>
        <v/>
      </c>
      <c r="R19" s="45" t="str">
        <f>IF(OR(LECON!$H19="",LECON!$O19=""),"",MAX(LECON!$H19,LECON!$O19))</f>
        <v/>
      </c>
    </row>
    <row r="20" spans="1:18" x14ac:dyDescent="0.25">
      <c r="A20" s="39"/>
      <c r="B20" s="39"/>
      <c r="C20" s="39"/>
      <c r="D20" s="42"/>
      <c r="E20" s="39"/>
      <c r="F20" s="39"/>
      <c r="G20" s="48" t="str">
        <f>IF(OR(A20="",B20="",AND(C20="",E20=""),AND(C20&lt;Datos!$F$2,E20="")),"",IF(C20&gt;=Datos!$F$2,10*B20*C20,10*B20*E20))</f>
        <v/>
      </c>
      <c r="H20" s="44" t="str">
        <f>IF(AND(LECON!$D20="",LECON!$F20=""),"",IF(LECON!$F20="",LECON!$D20,LECON!$F20))</f>
        <v/>
      </c>
      <c r="I20" s="39"/>
      <c r="J20" s="39"/>
      <c r="K20" s="42"/>
      <c r="L20" s="39"/>
      <c r="M20" s="39"/>
      <c r="N20" s="46" t="str">
        <f>IF(OR(A20="",B20="",AND(J20="",L20=""),AND(J20&lt;Datos!$F$3,L20="")),"",IF(J20&gt;=Datos!$F$3,10*B20*J20,10*B20*L20))</f>
        <v/>
      </c>
      <c r="O20" s="44" t="str">
        <f>IF(AND(LECON!$K20="",LECON!$M20=""),"",IF(LECON!$M20="",LECON!$K20,LECON!$M20))</f>
        <v/>
      </c>
      <c r="P20" s="39"/>
      <c r="Q20" s="46" t="str">
        <f t="shared" si="0"/>
        <v/>
      </c>
      <c r="R20" s="44" t="str">
        <f>IF(OR(LECON!$H20="",LECON!$O20=""),"",MAX(LECON!$H20,LECON!$O20))</f>
        <v/>
      </c>
    </row>
    <row r="21" spans="1:18" x14ac:dyDescent="0.25">
      <c r="A21" s="40"/>
      <c r="B21" s="40"/>
      <c r="C21" s="40"/>
      <c r="D21" s="43"/>
      <c r="E21" s="40"/>
      <c r="F21" s="40"/>
      <c r="G21" s="49" t="str">
        <f>IF(OR(A21="",B21="",AND(C21="",E21=""),AND(C21&lt;Datos!$F$2,E21="")),"",IF(C21&gt;=Datos!$F$2,10*B21*C21,10*B21*E21))</f>
        <v/>
      </c>
      <c r="H21" s="45" t="str">
        <f>IF(AND(LECON!$D21="",LECON!$F21=""),"",IF(LECON!$F21="",LECON!$D21,LECON!$F21))</f>
        <v/>
      </c>
      <c r="I21" s="40"/>
      <c r="J21" s="40"/>
      <c r="K21" s="43"/>
      <c r="L21" s="40"/>
      <c r="M21" s="40"/>
      <c r="N21" s="47" t="str">
        <f>IF(OR(A21="",B21="",AND(J21="",L21=""),AND(J21&lt;Datos!$F$3,L21="")),"",IF(J21&gt;=Datos!$F$3,10*B21*J21,10*B21*L21))</f>
        <v/>
      </c>
      <c r="O21" s="45" t="str">
        <f>IF(AND(LECON!$K21="",LECON!$M21=""),"",IF(LECON!$M21="",LECON!$K21,LECON!$M21))</f>
        <v/>
      </c>
      <c r="P21" s="40"/>
      <c r="Q21" s="47" t="str">
        <f t="shared" si="0"/>
        <v/>
      </c>
      <c r="R21" s="45" t="str">
        <f>IF(OR(LECON!$H21="",LECON!$O21=""),"",MAX(LECON!$H21,LECON!$O21))</f>
        <v/>
      </c>
    </row>
    <row r="22" spans="1:18" x14ac:dyDescent="0.25">
      <c r="A22" s="39"/>
      <c r="B22" s="39"/>
      <c r="C22" s="39"/>
      <c r="D22" s="42"/>
      <c r="E22" s="39"/>
      <c r="F22" s="39"/>
      <c r="G22" s="48" t="str">
        <f>IF(OR(A22="",B22="",AND(C22="",E22=""),AND(C22&lt;Datos!$F$2,E22="")),"",IF(C22&gt;=Datos!$F$2,10*B22*C22,10*B22*E22))</f>
        <v/>
      </c>
      <c r="H22" s="44" t="str">
        <f>IF(AND(LECON!$D22="",LECON!$F22=""),"",IF(LECON!$F22="",LECON!$D22,LECON!$F22))</f>
        <v/>
      </c>
      <c r="I22" s="39"/>
      <c r="J22" s="39"/>
      <c r="K22" s="42"/>
      <c r="L22" s="39"/>
      <c r="M22" s="39"/>
      <c r="N22" s="46" t="str">
        <f>IF(OR(A22="",B22="",AND(J22="",L22=""),AND(J22&lt;Datos!$F$3,L22="")),"",IF(J22&gt;=Datos!$F$3,10*B22*J22,10*B22*L22))</f>
        <v/>
      </c>
      <c r="O22" s="44" t="str">
        <f>IF(AND(LECON!$K22="",LECON!$M22=""),"",IF(LECON!$M22="",LECON!$K22,LECON!$M22))</f>
        <v/>
      </c>
      <c r="P22" s="39"/>
      <c r="Q22" s="46" t="str">
        <f t="shared" si="0"/>
        <v/>
      </c>
      <c r="R22" s="44" t="str">
        <f>IF(OR(LECON!$H22="",LECON!$O22=""),"",MAX(LECON!$H22,LECON!$O22))</f>
        <v/>
      </c>
    </row>
    <row r="23" spans="1:18" x14ac:dyDescent="0.25">
      <c r="A23" s="40"/>
      <c r="B23" s="40"/>
      <c r="C23" s="40"/>
      <c r="D23" s="43"/>
      <c r="E23" s="40"/>
      <c r="F23" s="40"/>
      <c r="G23" s="49" t="str">
        <f>IF(OR(A23="",B23="",AND(C23="",E23=""),AND(C23&lt;Datos!$F$2,E23="")),"",IF(C23&gt;=Datos!$F$2,10*B23*C23,10*B23*E23))</f>
        <v/>
      </c>
      <c r="H23" s="45" t="str">
        <f>IF(AND(LECON!$D23="",LECON!$F23=""),"",IF(LECON!$F23="",LECON!$D23,LECON!$F23))</f>
        <v/>
      </c>
      <c r="I23" s="40"/>
      <c r="J23" s="40"/>
      <c r="K23" s="43"/>
      <c r="L23" s="40"/>
      <c r="M23" s="40"/>
      <c r="N23" s="47" t="str">
        <f>IF(OR(A23="",B23="",AND(J23="",L23=""),AND(J23&lt;Datos!$F$3,L23="")),"",IF(J23&gt;=Datos!$F$3,10*B23*J23,10*B23*L23))</f>
        <v/>
      </c>
      <c r="O23" s="45" t="str">
        <f>IF(AND(LECON!$K23="",LECON!$M23=""),"",IF(LECON!$M23="",LECON!$K23,LECON!$M23))</f>
        <v/>
      </c>
      <c r="P23" s="40"/>
      <c r="Q23" s="47" t="str">
        <f t="shared" si="0"/>
        <v/>
      </c>
      <c r="R23" s="45" t="str">
        <f>IF(OR(LECON!$H23="",LECON!$O23=""),"",MAX(LECON!$H23,LECON!$O23))</f>
        <v/>
      </c>
    </row>
    <row r="24" spans="1:18" x14ac:dyDescent="0.25">
      <c r="A24" s="39"/>
      <c r="B24" s="39"/>
      <c r="C24" s="39"/>
      <c r="D24" s="42"/>
      <c r="E24" s="39"/>
      <c r="F24" s="39"/>
      <c r="G24" s="48" t="str">
        <f>IF(OR(A24="",B24="",AND(C24="",E24=""),AND(C24&lt;Datos!$F$2,E24="")),"",IF(C24&gt;=Datos!$F$2,10*B24*C24,10*B24*E24))</f>
        <v/>
      </c>
      <c r="H24" s="44" t="str">
        <f>IF(AND(LECON!$D24="",LECON!$F24=""),"",IF(LECON!$F24="",LECON!$D24,LECON!$F24))</f>
        <v/>
      </c>
      <c r="I24" s="39"/>
      <c r="J24" s="39"/>
      <c r="K24" s="42"/>
      <c r="L24" s="39"/>
      <c r="M24" s="39"/>
      <c r="N24" s="46" t="str">
        <f>IF(OR(A24="",B24="",AND(J24="",L24=""),AND(J24&lt;Datos!$F$3,L24="")),"",IF(J24&gt;=Datos!$F$3,10*B24*J24,10*B24*L24))</f>
        <v/>
      </c>
      <c r="O24" s="44" t="str">
        <f>IF(AND(LECON!$K24="",LECON!$M24=""),"",IF(LECON!$M24="",LECON!$K24,LECON!$M24))</f>
        <v/>
      </c>
      <c r="P24" s="39"/>
      <c r="Q24" s="46" t="str">
        <f t="shared" si="0"/>
        <v/>
      </c>
      <c r="R24" s="44" t="str">
        <f>IF(OR(LECON!$H24="",LECON!$O24=""),"",MAX(LECON!$H24,LECON!$O24))</f>
        <v/>
      </c>
    </row>
    <row r="25" spans="1:18" x14ac:dyDescent="0.25">
      <c r="A25" s="40"/>
      <c r="B25" s="40"/>
      <c r="C25" s="40"/>
      <c r="D25" s="43"/>
      <c r="E25" s="40"/>
      <c r="F25" s="40"/>
      <c r="G25" s="49" t="str">
        <f>IF(OR(A25="",B25="",AND(C25="",E25=""),AND(C25&lt;Datos!$F$2,E25="")),"",IF(C25&gt;=Datos!$F$2,10*B25*C25,10*B25*E25))</f>
        <v/>
      </c>
      <c r="H25" s="45" t="str">
        <f>IF(AND(LECON!$D25="",LECON!$F25=""),"",IF(LECON!$F25="",LECON!$D25,LECON!$F25))</f>
        <v/>
      </c>
      <c r="I25" s="40"/>
      <c r="J25" s="40"/>
      <c r="K25" s="43"/>
      <c r="L25" s="40"/>
      <c r="M25" s="40"/>
      <c r="N25" s="47" t="str">
        <f>IF(OR(A25="",B25="",AND(J25="",L25=""),AND(J25&lt;Datos!$F$3,L25="")),"",IF(J25&gt;=Datos!$F$3,10*B25*J25,10*B25*L25))</f>
        <v/>
      </c>
      <c r="O25" s="45" t="str">
        <f>IF(AND(LECON!$K25="",LECON!$M25=""),"",IF(LECON!$M25="",LECON!$K25,LECON!$M25))</f>
        <v/>
      </c>
      <c r="P25" s="40"/>
      <c r="Q25" s="47" t="str">
        <f t="shared" si="0"/>
        <v/>
      </c>
      <c r="R25" s="45" t="str">
        <f>IF(OR(LECON!$H25="",LECON!$O25=""),"",MAX(LECON!$H25,LECON!$O25))</f>
        <v/>
      </c>
    </row>
    <row r="26" spans="1:18" x14ac:dyDescent="0.25">
      <c r="A26" s="39"/>
      <c r="B26" s="39"/>
      <c r="C26" s="39"/>
      <c r="D26" s="42"/>
      <c r="E26" s="39"/>
      <c r="F26" s="39"/>
      <c r="G26" s="48" t="str">
        <f>IF(OR(A26="",B26="",AND(C26="",E26=""),AND(C26&lt;Datos!$F$2,E26="")),"",IF(C26&gt;=Datos!$F$2,10*B26*C26,10*B26*E26))</f>
        <v/>
      </c>
      <c r="H26" s="44" t="str">
        <f>IF(AND(LECON!$D26="",LECON!$F26=""),"",IF(LECON!$F26="",LECON!$D26,LECON!$F26))</f>
        <v/>
      </c>
      <c r="I26" s="39"/>
      <c r="J26" s="39"/>
      <c r="K26" s="42"/>
      <c r="L26" s="39"/>
      <c r="M26" s="39"/>
      <c r="N26" s="46" t="str">
        <f>IF(OR(A26="",B26="",AND(J26="",L26=""),AND(J26&lt;Datos!$F$3,L26="")),"",IF(J26&gt;=Datos!$F$3,10*B26*J26,10*B26*L26))</f>
        <v/>
      </c>
      <c r="O26" s="44" t="str">
        <f>IF(AND(LECON!$K26="",LECON!$M26=""),"",IF(LECON!$M26="",LECON!$K26,LECON!$M26))</f>
        <v/>
      </c>
      <c r="P26" s="39"/>
      <c r="Q26" s="46" t="str">
        <f t="shared" si="0"/>
        <v/>
      </c>
      <c r="R26" s="44" t="str">
        <f>IF(OR(LECON!$H26="",LECON!$O26=""),"",MAX(LECON!$H26,LECON!$O26))</f>
        <v/>
      </c>
    </row>
    <row r="27" spans="1:18" x14ac:dyDescent="0.25">
      <c r="A27" s="40"/>
      <c r="B27" s="40"/>
      <c r="C27" s="40"/>
      <c r="D27" s="43"/>
      <c r="E27" s="40"/>
      <c r="F27" s="40"/>
      <c r="G27" s="49" t="str">
        <f>IF(OR(A27="",B27="",AND(C27="",E27=""),AND(C27&lt;Datos!$F$2,E27="")),"",IF(C27&gt;=Datos!$F$2,10*B27*C27,10*B27*E27))</f>
        <v/>
      </c>
      <c r="H27" s="45" t="str">
        <f>IF(AND(LECON!$D27="",LECON!$F27=""),"",IF(LECON!$F27="",LECON!$D27,LECON!$F27))</f>
        <v/>
      </c>
      <c r="I27" s="40"/>
      <c r="J27" s="40"/>
      <c r="K27" s="43"/>
      <c r="L27" s="40"/>
      <c r="M27" s="40"/>
      <c r="N27" s="47" t="str">
        <f>IF(OR(A27="",B27="",AND(J27="",L27=""),AND(J27&lt;Datos!$F$3,L27="")),"",IF(J27&gt;=Datos!$F$3,10*B27*J27,10*B27*L27))</f>
        <v/>
      </c>
      <c r="O27" s="45" t="str">
        <f>IF(AND(LECON!$K27="",LECON!$M27=""),"",IF(LECON!$M27="",LECON!$K27,LECON!$M27))</f>
        <v/>
      </c>
      <c r="P27" s="40"/>
      <c r="Q27" s="47" t="str">
        <f t="shared" si="0"/>
        <v/>
      </c>
      <c r="R27" s="45" t="str">
        <f>IF(OR(LECON!$H27="",LECON!$O27=""),"",MAX(LECON!$H27,LECON!$O27))</f>
        <v/>
      </c>
    </row>
    <row r="28" spans="1:18" x14ac:dyDescent="0.25">
      <c r="A28" s="39"/>
      <c r="B28" s="39"/>
      <c r="C28" s="39"/>
      <c r="D28" s="42"/>
      <c r="E28" s="39"/>
      <c r="F28" s="39"/>
      <c r="G28" s="48" t="str">
        <f>IF(OR(A28="",B28="",AND(C28="",E28=""),AND(C28&lt;Datos!$F$2,E28="")),"",IF(C28&gt;=Datos!$F$2,10*B28*C28,10*B28*E28))</f>
        <v/>
      </c>
      <c r="H28" s="44" t="str">
        <f>IF(AND(LECON!$D28="",LECON!$F28=""),"",IF(LECON!$F28="",LECON!$D28,LECON!$F28))</f>
        <v/>
      </c>
      <c r="I28" s="39"/>
      <c r="J28" s="39"/>
      <c r="K28" s="42"/>
      <c r="L28" s="39"/>
      <c r="M28" s="39"/>
      <c r="N28" s="46" t="str">
        <f>IF(OR(A28="",B28="",AND(J28="",L28=""),AND(J28&lt;Datos!$F$3,L28="")),"",IF(J28&gt;=Datos!$F$3,10*B28*J28,10*B28*L28))</f>
        <v/>
      </c>
      <c r="O28" s="44" t="str">
        <f>IF(AND(LECON!$K28="",LECON!$M28=""),"",IF(LECON!$M28="",LECON!$K28,LECON!$M28))</f>
        <v/>
      </c>
      <c r="P28" s="39"/>
      <c r="Q28" s="46" t="str">
        <f t="shared" si="0"/>
        <v/>
      </c>
      <c r="R28" s="44" t="str">
        <f>IF(OR(LECON!$H28="",LECON!$O28=""),"",MAX(LECON!$H28,LECON!$O28))</f>
        <v/>
      </c>
    </row>
    <row r="29" spans="1:18" x14ac:dyDescent="0.25">
      <c r="A29" s="40"/>
      <c r="B29" s="40"/>
      <c r="C29" s="40"/>
      <c r="D29" s="43"/>
      <c r="E29" s="40"/>
      <c r="F29" s="40"/>
      <c r="G29" s="49" t="str">
        <f>IF(OR(A29="",B29="",AND(C29="",E29=""),AND(C29&lt;Datos!$F$2,E29="")),"",IF(C29&gt;=Datos!$F$2,10*B29*C29,10*B29*E29))</f>
        <v/>
      </c>
      <c r="H29" s="45" t="str">
        <f>IF(AND(LECON!$D29="",LECON!$F29=""),"",IF(LECON!$F29="",LECON!$D29,LECON!$F29))</f>
        <v/>
      </c>
      <c r="I29" s="40"/>
      <c r="J29" s="40"/>
      <c r="K29" s="43"/>
      <c r="L29" s="40"/>
      <c r="M29" s="40"/>
      <c r="N29" s="47" t="str">
        <f>IF(OR(A29="",B29="",AND(J29="",L29=""),AND(J29&lt;Datos!$F$3,L29="")),"",IF(J29&gt;=Datos!$F$3,10*B29*J29,10*B29*L29))</f>
        <v/>
      </c>
      <c r="O29" s="45" t="str">
        <f>IF(AND(LECON!$K29="",LECON!$M29=""),"",IF(LECON!$M29="",LECON!$K29,LECON!$M29))</f>
        <v/>
      </c>
      <c r="P29" s="40"/>
      <c r="Q29" s="47" t="str">
        <f t="shared" si="0"/>
        <v/>
      </c>
      <c r="R29" s="45" t="str">
        <f>IF(OR(LECON!$H29="",LECON!$O29=""),"",MAX(LECON!$H29,LECON!$O29))</f>
        <v/>
      </c>
    </row>
    <row r="30" spans="1:18" x14ac:dyDescent="0.25">
      <c r="A30" s="39"/>
      <c r="B30" s="39"/>
      <c r="C30" s="39"/>
      <c r="D30" s="42"/>
      <c r="E30" s="39"/>
      <c r="F30" s="39"/>
      <c r="G30" s="48" t="str">
        <f>IF(OR(A30="",B30="",AND(C30="",E30=""),AND(C30&lt;Datos!$F$2,E30="")),"",IF(C30&gt;=Datos!$F$2,10*B30*C30,10*B30*E30))</f>
        <v/>
      </c>
      <c r="H30" s="44" t="str">
        <f>IF(AND(LECON!$D30="",LECON!$F30=""),"",IF(LECON!$F30="",LECON!$D30,LECON!$F30))</f>
        <v/>
      </c>
      <c r="I30" s="39"/>
      <c r="J30" s="39"/>
      <c r="K30" s="42"/>
      <c r="L30" s="39"/>
      <c r="M30" s="39"/>
      <c r="N30" s="46" t="str">
        <f>IF(OR(A30="",B30="",AND(J30="",L30=""),AND(J30&lt;Datos!$F$3,L30="")),"",IF(J30&gt;=Datos!$F$3,10*B30*J30,10*B30*L30))</f>
        <v/>
      </c>
      <c r="O30" s="44" t="str">
        <f>IF(AND(LECON!$K30="",LECON!$M30=""),"",IF(LECON!$M30="",LECON!$K30,LECON!$M30))</f>
        <v/>
      </c>
      <c r="P30" s="39"/>
      <c r="Q30" s="46" t="str">
        <f t="shared" si="0"/>
        <v/>
      </c>
      <c r="R30" s="44" t="str">
        <f>IF(OR(LECON!$H30="",LECON!$O30=""),"",MAX(LECON!$H30,LECON!$O30))</f>
        <v/>
      </c>
    </row>
    <row r="31" spans="1:18" x14ac:dyDescent="0.25">
      <c r="A31" s="40"/>
      <c r="B31" s="40"/>
      <c r="C31" s="40"/>
      <c r="D31" s="43"/>
      <c r="E31" s="40"/>
      <c r="F31" s="40"/>
      <c r="G31" s="49" t="str">
        <f>IF(OR(A31="",B31="",AND(C31="",E31=""),AND(C31&lt;Datos!$F$2,E31="")),"",IF(C31&gt;=Datos!$F$2,10*B31*C31,10*B31*E31))</f>
        <v/>
      </c>
      <c r="H31" s="45" t="str">
        <f>IF(AND(LECON!$D31="",LECON!$F31=""),"",IF(LECON!$F31="",LECON!$D31,LECON!$F31))</f>
        <v/>
      </c>
      <c r="I31" s="40"/>
      <c r="J31" s="40"/>
      <c r="K31" s="43"/>
      <c r="L31" s="40"/>
      <c r="M31" s="40"/>
      <c r="N31" s="47" t="str">
        <f>IF(OR(A31="",B31="",AND(J31="",L31=""),AND(J31&lt;Datos!$F$3,L31="")),"",IF(J31&gt;=Datos!$F$3,10*B31*J31,10*B31*L31))</f>
        <v/>
      </c>
      <c r="O31" s="45" t="str">
        <f>IF(AND(LECON!$K31="",LECON!$M31=""),"",IF(LECON!$M31="",LECON!$K31,LECON!$M31))</f>
        <v/>
      </c>
      <c r="P31" s="40"/>
      <c r="Q31" s="47" t="str">
        <f t="shared" si="0"/>
        <v/>
      </c>
      <c r="R31" s="45" t="str">
        <f>IF(OR(LECON!$H31="",LECON!$O31=""),"",MAX(LECON!$H31,LECON!$O31))</f>
        <v/>
      </c>
    </row>
    <row r="32" spans="1:18" x14ac:dyDescent="0.25">
      <c r="A32" s="39"/>
      <c r="B32" s="39"/>
      <c r="C32" s="39"/>
      <c r="D32" s="42"/>
      <c r="E32" s="39"/>
      <c r="F32" s="39"/>
      <c r="G32" s="48" t="str">
        <f>IF(OR(A32="",B32="",AND(C32="",E32=""),AND(C32&lt;Datos!$F$2,E32="")),"",IF(C32&gt;=Datos!$F$2,10*B32*C32,10*B32*E32))</f>
        <v/>
      </c>
      <c r="H32" s="44" t="str">
        <f>IF(AND(LECON!$D32="",LECON!$F32=""),"",IF(LECON!$F32="",LECON!$D32,LECON!$F32))</f>
        <v/>
      </c>
      <c r="I32" s="39"/>
      <c r="J32" s="39"/>
      <c r="K32" s="42"/>
      <c r="L32" s="39"/>
      <c r="M32" s="39"/>
      <c r="N32" s="46" t="str">
        <f>IF(OR(A32="",B32="",AND(J32="",L32=""),AND(J32&lt;Datos!$F$3,L32="")),"",IF(J32&gt;=Datos!$F$3,10*B32*J32,10*B32*L32))</f>
        <v/>
      </c>
      <c r="O32" s="44" t="str">
        <f>IF(AND(LECON!$K32="",LECON!$M32=""),"",IF(LECON!$M32="",LECON!$K32,LECON!$M32))</f>
        <v/>
      </c>
      <c r="P32" s="39"/>
      <c r="Q32" s="46" t="str">
        <f t="shared" si="0"/>
        <v/>
      </c>
      <c r="R32" s="44" t="str">
        <f>IF(OR(LECON!$H32="",LECON!$O32=""),"",MAX(LECON!$H32,LECON!$O32))</f>
        <v/>
      </c>
    </row>
    <row r="33" spans="1:18" x14ac:dyDescent="0.25">
      <c r="A33" s="40"/>
      <c r="B33" s="40"/>
      <c r="C33" s="40"/>
      <c r="D33" s="43"/>
      <c r="E33" s="40"/>
      <c r="F33" s="40"/>
      <c r="G33" s="49" t="str">
        <f>IF(OR(A33="",B33="",AND(C33="",E33=""),AND(C33&lt;Datos!$F$2,E33="")),"",IF(C33&gt;=Datos!$F$2,10*B33*C33,10*B33*E33))</f>
        <v/>
      </c>
      <c r="H33" s="45" t="str">
        <f>IF(AND(LECON!$D33="",LECON!$F33=""),"",IF(LECON!$F33="",LECON!$D33,LECON!$F33))</f>
        <v/>
      </c>
      <c r="I33" s="40"/>
      <c r="J33" s="40"/>
      <c r="K33" s="43"/>
      <c r="L33" s="40"/>
      <c r="M33" s="40"/>
      <c r="N33" s="47" t="str">
        <f>IF(OR(A33="",B33="",AND(J33="",L33=""),AND(J33&lt;Datos!$F$3,L33="")),"",IF(J33&gt;=Datos!$F$3,10*B33*J33,10*B33*L33))</f>
        <v/>
      </c>
      <c r="O33" s="45" t="str">
        <f>IF(AND(LECON!$K33="",LECON!$M33=""),"",IF(LECON!$M33="",LECON!$K33,LECON!$M33))</f>
        <v/>
      </c>
      <c r="P33" s="40"/>
      <c r="Q33" s="47" t="str">
        <f t="shared" si="0"/>
        <v/>
      </c>
      <c r="R33" s="45" t="str">
        <f>IF(OR(LECON!$H33="",LECON!$O33=""),"",MAX(LECON!$H33,LECON!$O33))</f>
        <v/>
      </c>
    </row>
    <row r="34" spans="1:18" x14ac:dyDescent="0.25">
      <c r="A34" s="39"/>
      <c r="B34" s="39"/>
      <c r="C34" s="39"/>
      <c r="D34" s="42"/>
      <c r="E34" s="39"/>
      <c r="F34" s="39"/>
      <c r="G34" s="48" t="str">
        <f>IF(OR(A34="",B34="",AND(C34="",E34=""),AND(C34&lt;Datos!$F$2,E34="")),"",IF(C34&gt;=Datos!$F$2,10*B34*C34,10*B34*E34))</f>
        <v/>
      </c>
      <c r="H34" s="44" t="str">
        <f>IF(AND(LECON!$D34="",LECON!$F34=""),"",IF(LECON!$F34="",LECON!$D34,LECON!$F34))</f>
        <v/>
      </c>
      <c r="I34" s="39"/>
      <c r="J34" s="39"/>
      <c r="K34" s="42"/>
      <c r="L34" s="39"/>
      <c r="M34" s="39"/>
      <c r="N34" s="46" t="str">
        <f>IF(OR(A34="",B34="",AND(J34="",L34=""),AND(J34&lt;Datos!$F$3,L34="")),"",IF(J34&gt;=Datos!$F$3,10*B34*J34,10*B34*L34))</f>
        <v/>
      </c>
      <c r="O34" s="44" t="str">
        <f>IF(AND(LECON!$K34="",LECON!$M34=""),"",IF(LECON!$M34="",LECON!$K34,LECON!$M34))</f>
        <v/>
      </c>
      <c r="P34" s="39"/>
      <c r="Q34" s="46" t="str">
        <f t="shared" si="0"/>
        <v/>
      </c>
      <c r="R34" s="44" t="str">
        <f>IF(OR(LECON!$H34="",LECON!$O34=""),"",MAX(LECON!$H34,LECON!$O34))</f>
        <v/>
      </c>
    </row>
    <row r="35" spans="1:18" x14ac:dyDescent="0.25">
      <c r="A35" s="40"/>
      <c r="B35" s="40"/>
      <c r="C35" s="40"/>
      <c r="D35" s="43"/>
      <c r="E35" s="40"/>
      <c r="F35" s="40"/>
      <c r="G35" s="49" t="str">
        <f>IF(OR(A35="",B35="",AND(C35="",E35=""),AND(C35&lt;Datos!$F$2,E35="")),"",IF(C35&gt;=Datos!$F$2,10*B35*C35,10*B35*E35))</f>
        <v/>
      </c>
      <c r="H35" s="45" t="str">
        <f>IF(AND(LECON!$D35="",LECON!$F35=""),"",IF(LECON!$F35="",LECON!$D35,LECON!$F35))</f>
        <v/>
      </c>
      <c r="I35" s="40"/>
      <c r="J35" s="40"/>
      <c r="K35" s="43"/>
      <c r="L35" s="40"/>
      <c r="M35" s="40"/>
      <c r="N35" s="47" t="str">
        <f>IF(OR(A35="",B35="",AND(J35="",L35=""),AND(J35&lt;Datos!$F$3,L35="")),"",IF(J35&gt;=Datos!$F$3,10*B35*J35,10*B35*L35))</f>
        <v/>
      </c>
      <c r="O35" s="45" t="str">
        <f>IF(AND(LECON!$K35="",LECON!$M35=""),"",IF(LECON!$M35="",LECON!$K35,LECON!$M35))</f>
        <v/>
      </c>
      <c r="P35" s="40"/>
      <c r="Q35" s="47" t="str">
        <f t="shared" si="0"/>
        <v/>
      </c>
      <c r="R35" s="45" t="str">
        <f>IF(OR(LECON!$H35="",LECON!$O35=""),"",MAX(LECON!$H35,LECON!$O35))</f>
        <v/>
      </c>
    </row>
    <row r="36" spans="1:18" x14ac:dyDescent="0.25">
      <c r="A36" s="39"/>
      <c r="B36" s="39"/>
      <c r="C36" s="39"/>
      <c r="D36" s="42"/>
      <c r="E36" s="39"/>
      <c r="F36" s="39"/>
      <c r="G36" s="48" t="str">
        <f>IF(OR(A36="",B36="",AND(C36="",E36=""),AND(C36&lt;Datos!$F$2,E36="")),"",IF(C36&gt;=Datos!$F$2,10*B36*C36,10*B36*E36))</f>
        <v/>
      </c>
      <c r="H36" s="44" t="str">
        <f>IF(AND(LECON!$D36="",LECON!$F36=""),"",IF(LECON!$F36="",LECON!$D36,LECON!$F36))</f>
        <v/>
      </c>
      <c r="I36" s="39"/>
      <c r="J36" s="39"/>
      <c r="K36" s="42"/>
      <c r="L36" s="39"/>
      <c r="M36" s="39"/>
      <c r="N36" s="46" t="str">
        <f>IF(OR(A36="",B36="",AND(J36="",L36=""),AND(J36&lt;Datos!$F$3,L36="")),"",IF(J36&gt;=Datos!$F$3,10*B36*J36,10*B36*L36))</f>
        <v/>
      </c>
      <c r="O36" s="44" t="str">
        <f>IF(AND(LECON!$K36="",LECON!$M36=""),"",IF(LECON!$M36="",LECON!$K36,LECON!$M36))</f>
        <v/>
      </c>
      <c r="P36" s="39"/>
      <c r="Q36" s="46" t="str">
        <f t="shared" si="0"/>
        <v/>
      </c>
      <c r="R36" s="44" t="str">
        <f>IF(OR(LECON!$H36="",LECON!$O36=""),"",MAX(LECON!$H36,LECON!$O36))</f>
        <v/>
      </c>
    </row>
    <row r="37" spans="1:18" x14ac:dyDescent="0.25">
      <c r="A37" s="40"/>
      <c r="B37" s="40"/>
      <c r="C37" s="40"/>
      <c r="D37" s="43"/>
      <c r="E37" s="40"/>
      <c r="F37" s="40"/>
      <c r="G37" s="49" t="str">
        <f>IF(OR(A37="",B37="",AND(C37="",E37=""),AND(C37&lt;Datos!$F$2,E37="")),"",IF(C37&gt;=Datos!$F$2,10*B37*C37,10*B37*E37))</f>
        <v/>
      </c>
      <c r="H37" s="45" t="str">
        <f>IF(AND(LECON!$D37="",LECON!$F37=""),"",IF(LECON!$F37="",LECON!$D37,LECON!$F37))</f>
        <v/>
      </c>
      <c r="I37" s="40"/>
      <c r="J37" s="40"/>
      <c r="K37" s="43"/>
      <c r="L37" s="40"/>
      <c r="M37" s="40"/>
      <c r="N37" s="47" t="str">
        <f>IF(OR(A37="",B37="",AND(J37="",L37=""),AND(J37&lt;Datos!$F$3,L37="")),"",IF(J37&gt;=Datos!$F$3,10*B37*J37,10*B37*L37))</f>
        <v/>
      </c>
      <c r="O37" s="45" t="str">
        <f>IF(AND(LECON!$K37="",LECON!$M37=""),"",IF(LECON!$M37="",LECON!$K37,LECON!$M37))</f>
        <v/>
      </c>
      <c r="P37" s="40"/>
      <c r="Q37" s="47" t="str">
        <f t="shared" si="0"/>
        <v/>
      </c>
      <c r="R37" s="45" t="str">
        <f>IF(OR(LECON!$H37="",LECON!$O37=""),"",MAX(LECON!$H37,LECON!$O37))</f>
        <v/>
      </c>
    </row>
    <row r="38" spans="1:18" x14ac:dyDescent="0.25">
      <c r="A38" s="39"/>
      <c r="B38" s="39"/>
      <c r="C38" s="39"/>
      <c r="D38" s="42"/>
      <c r="E38" s="39"/>
      <c r="F38" s="39"/>
      <c r="G38" s="48" t="str">
        <f>IF(OR(A38="",B38="",AND(C38="",E38=""),AND(C38&lt;Datos!$F$2,E38="")),"",IF(C38&gt;=Datos!$F$2,10*B38*C38,10*B38*E38))</f>
        <v/>
      </c>
      <c r="H38" s="44" t="str">
        <f>IF(AND(LECON!$D38="",LECON!$F38=""),"",IF(LECON!$F38="",LECON!$D38,LECON!$F38))</f>
        <v/>
      </c>
      <c r="I38" s="39"/>
      <c r="J38" s="39"/>
      <c r="K38" s="42"/>
      <c r="L38" s="39"/>
      <c r="M38" s="39"/>
      <c r="N38" s="46" t="str">
        <f>IF(OR(A38="",B38="",AND(J38="",L38=""),AND(J38&lt;Datos!$F$3,L38="")),"",IF(J38&gt;=Datos!$F$3,10*B38*J38,10*B38*L38))</f>
        <v/>
      </c>
      <c r="O38" s="44" t="str">
        <f>IF(AND(LECON!$K38="",LECON!$M38=""),"",IF(LECON!$M38="",LECON!$K38,LECON!$M38))</f>
        <v/>
      </c>
      <c r="P38" s="39"/>
      <c r="Q38" s="46" t="str">
        <f t="shared" si="0"/>
        <v/>
      </c>
      <c r="R38" s="44" t="str">
        <f>IF(OR(LECON!$H38="",LECON!$O38=""),"",MAX(LECON!$H38,LECON!$O38))</f>
        <v/>
      </c>
    </row>
    <row r="39" spans="1:18" x14ac:dyDescent="0.25">
      <c r="A39" s="40"/>
      <c r="B39" s="40"/>
      <c r="C39" s="40"/>
      <c r="D39" s="43"/>
      <c r="E39" s="40"/>
      <c r="F39" s="40"/>
      <c r="G39" s="49" t="str">
        <f>IF(OR(A39="",B39="",AND(C39="",E39=""),AND(C39&lt;Datos!$F$2,E39="")),"",IF(C39&gt;=Datos!$F$2,10*B39*C39,10*B39*E39))</f>
        <v/>
      </c>
      <c r="H39" s="45" t="str">
        <f>IF(AND(LECON!$D39="",LECON!$F39=""),"",IF(LECON!$F39="",LECON!$D39,LECON!$F39))</f>
        <v/>
      </c>
      <c r="I39" s="40"/>
      <c r="J39" s="40"/>
      <c r="K39" s="43"/>
      <c r="L39" s="40"/>
      <c r="M39" s="40"/>
      <c r="N39" s="47" t="str">
        <f>IF(OR(A39="",B39="",AND(J39="",L39=""),AND(J39&lt;Datos!$F$3,L39="")),"",IF(J39&gt;=Datos!$F$3,10*B39*J39,10*B39*L39))</f>
        <v/>
      </c>
      <c r="O39" s="45" t="str">
        <f>IF(AND(LECON!$K39="",LECON!$M39=""),"",IF(LECON!$M39="",LECON!$K39,LECON!$M39))</f>
        <v/>
      </c>
      <c r="P39" s="40"/>
      <c r="Q39" s="47" t="str">
        <f t="shared" si="0"/>
        <v/>
      </c>
      <c r="R39" s="45" t="str">
        <f>IF(OR(LECON!$H39="",LECON!$O39=""),"",MAX(LECON!$H39,LECON!$O39))</f>
        <v/>
      </c>
    </row>
    <row r="40" spans="1:18" x14ac:dyDescent="0.25">
      <c r="A40" s="39"/>
      <c r="B40" s="39"/>
      <c r="C40" s="39"/>
      <c r="D40" s="42"/>
      <c r="E40" s="39"/>
      <c r="F40" s="39"/>
      <c r="G40" s="48" t="str">
        <f>IF(OR(A40="",B40="",AND(C40="",E40=""),AND(C40&lt;Datos!$F$2,E40="")),"",IF(C40&gt;=Datos!$F$2,10*B40*C40,10*B40*E40))</f>
        <v/>
      </c>
      <c r="H40" s="44" t="str">
        <f>IF(AND(LECON!$D40="",LECON!$F40=""),"",IF(LECON!$F40="",LECON!$D40,LECON!$F40))</f>
        <v/>
      </c>
      <c r="I40" s="39"/>
      <c r="J40" s="39"/>
      <c r="K40" s="42"/>
      <c r="L40" s="39"/>
      <c r="M40" s="39"/>
      <c r="N40" s="46" t="str">
        <f>IF(OR(A40="",B40="",AND(J40="",L40=""),AND(J40&lt;Datos!$F$3,L40="")),"",IF(J40&gt;=Datos!$F$3,10*B40*J40,10*B40*L40))</f>
        <v/>
      </c>
      <c r="O40" s="44" t="str">
        <f>IF(AND(LECON!$K40="",LECON!$M40=""),"",IF(LECON!$M40="",LECON!$K40,LECON!$M40))</f>
        <v/>
      </c>
      <c r="P40" s="39"/>
      <c r="Q40" s="46" t="str">
        <f t="shared" si="0"/>
        <v/>
      </c>
      <c r="R40" s="44" t="str">
        <f>IF(OR(LECON!$H40="",LECON!$O40=""),"",MAX(LECON!$H40,LECON!$O40))</f>
        <v/>
      </c>
    </row>
    <row r="41" spans="1:18" x14ac:dyDescent="0.25">
      <c r="A41" s="40"/>
      <c r="B41" s="40"/>
      <c r="C41" s="40"/>
      <c r="D41" s="43"/>
      <c r="E41" s="40"/>
      <c r="F41" s="40"/>
      <c r="G41" s="49" t="str">
        <f>IF(OR(A41="",B41="",AND(C41="",E41=""),AND(C41&lt;Datos!$F$2,E41="")),"",IF(C41&gt;=Datos!$F$2,10*B41*C41,10*B41*E41))</f>
        <v/>
      </c>
      <c r="H41" s="45" t="str">
        <f>IF(AND(LECON!$D41="",LECON!$F41=""),"",IF(LECON!$F41="",LECON!$D41,LECON!$F41))</f>
        <v/>
      </c>
      <c r="I41" s="40"/>
      <c r="J41" s="40"/>
      <c r="K41" s="43"/>
      <c r="L41" s="40"/>
      <c r="M41" s="40"/>
      <c r="N41" s="47" t="str">
        <f>IF(OR(A41="",B41="",AND(J41="",L41=""),AND(J41&lt;Datos!$F$3,L41="")),"",IF(J41&gt;=Datos!$F$3,10*B41*J41,10*B41*L41))</f>
        <v/>
      </c>
      <c r="O41" s="45" t="str">
        <f>IF(AND(LECON!$K41="",LECON!$M41=""),"",IF(LECON!$M41="",LECON!$K41,LECON!$M41))</f>
        <v/>
      </c>
      <c r="P41" s="40"/>
      <c r="Q41" s="47" t="str">
        <f t="shared" si="0"/>
        <v/>
      </c>
      <c r="R41" s="45" t="str">
        <f>IF(OR(LECON!$H41="",LECON!$O41=""),"",MAX(LECON!$H41,LECON!$O41))</f>
        <v/>
      </c>
    </row>
    <row r="42" spans="1:18" x14ac:dyDescent="0.25">
      <c r="A42" s="39"/>
      <c r="B42" s="39"/>
      <c r="C42" s="39"/>
      <c r="D42" s="42"/>
      <c r="E42" s="39"/>
      <c r="F42" s="39"/>
      <c r="G42" s="48" t="str">
        <f>IF(OR(A42="",B42="",AND(C42="",E42=""),AND(C42&lt;Datos!$F$2,E42="")),"",IF(C42&gt;=Datos!$F$2,10*B42*C42,10*B42*E42))</f>
        <v/>
      </c>
      <c r="H42" s="44" t="str">
        <f>IF(AND(LECON!$D42="",LECON!$F42=""),"",IF(LECON!$F42="",LECON!$D42,LECON!$F42))</f>
        <v/>
      </c>
      <c r="I42" s="39"/>
      <c r="J42" s="39"/>
      <c r="K42" s="42"/>
      <c r="L42" s="39"/>
      <c r="M42" s="39"/>
      <c r="N42" s="46" t="str">
        <f>IF(OR(A42="",B42="",AND(J42="",L42=""),AND(J42&lt;Datos!$F$3,L42="")),"",IF(J42&gt;=Datos!$F$3,10*B42*J42,10*B42*L42))</f>
        <v/>
      </c>
      <c r="O42" s="44" t="str">
        <f>IF(AND(LECON!$K42="",LECON!$M42=""),"",IF(LECON!$M42="",LECON!$K42,LECON!$M42))</f>
        <v/>
      </c>
      <c r="P42" s="39"/>
      <c r="Q42" s="46" t="str">
        <f t="shared" si="0"/>
        <v/>
      </c>
      <c r="R42" s="44" t="str">
        <f>IF(OR(LECON!$H42="",LECON!$O42=""),"",MAX(LECON!$H42,LECON!$O42))</f>
        <v/>
      </c>
    </row>
    <row r="43" spans="1:18" x14ac:dyDescent="0.25">
      <c r="A43" s="40"/>
      <c r="B43" s="40"/>
      <c r="C43" s="40"/>
      <c r="D43" s="43"/>
      <c r="E43" s="40"/>
      <c r="F43" s="40"/>
      <c r="G43" s="49" t="str">
        <f>IF(OR(A43="",B43="",AND(C43="",E43=""),AND(C43&lt;Datos!$F$2,E43="")),"",IF(C43&gt;=Datos!$F$2,10*B43*C43,10*B43*E43))</f>
        <v/>
      </c>
      <c r="H43" s="45" t="str">
        <f>IF(AND(LECON!$D43="",LECON!$F43=""),"",IF(LECON!$F43="",LECON!$D43,LECON!$F43))</f>
        <v/>
      </c>
      <c r="I43" s="40"/>
      <c r="J43" s="40"/>
      <c r="K43" s="43"/>
      <c r="L43" s="40"/>
      <c r="M43" s="40"/>
      <c r="N43" s="47" t="str">
        <f>IF(OR(A43="",B43="",AND(J43="",L43=""),AND(J43&lt;Datos!$F$3,L43="")),"",IF(J43&gt;=Datos!$F$3,10*B43*J43,10*B43*L43))</f>
        <v/>
      </c>
      <c r="O43" s="45" t="str">
        <f>IF(AND(LECON!$K43="",LECON!$M43=""),"",IF(LECON!$M43="",LECON!$K43,LECON!$M43))</f>
        <v/>
      </c>
      <c r="P43" s="40"/>
      <c r="Q43" s="47" t="str">
        <f t="shared" si="0"/>
        <v/>
      </c>
      <c r="R43" s="45" t="str">
        <f>IF(OR(LECON!$H43="",LECON!$O43=""),"",MAX(LECON!$H43,LECON!$O43))</f>
        <v/>
      </c>
    </row>
    <row r="44" spans="1:18" x14ac:dyDescent="0.25">
      <c r="A44" s="39"/>
      <c r="B44" s="39"/>
      <c r="C44" s="39"/>
      <c r="D44" s="42"/>
      <c r="E44" s="39"/>
      <c r="F44" s="39"/>
      <c r="G44" s="48" t="str">
        <f>IF(OR(A44="",B44="",AND(C44="",E44=""),AND(C44&lt;Datos!$F$2,E44="")),"",IF(C44&gt;=Datos!$F$2,10*B44*C44,10*B44*E44))</f>
        <v/>
      </c>
      <c r="H44" s="44" t="str">
        <f>IF(AND(LECON!$D44="",LECON!$F44=""),"",IF(LECON!$F44="",LECON!$D44,LECON!$F44))</f>
        <v/>
      </c>
      <c r="I44" s="39"/>
      <c r="J44" s="39"/>
      <c r="K44" s="42"/>
      <c r="L44" s="39"/>
      <c r="M44" s="39"/>
      <c r="N44" s="46" t="str">
        <f>IF(OR(A44="",B44="",AND(J44="",L44=""),AND(J44&lt;Datos!$F$3,L44="")),"",IF(J44&gt;=Datos!$F$3,10*B44*J44,10*B44*L44))</f>
        <v/>
      </c>
      <c r="O44" s="44" t="str">
        <f>IF(AND(LECON!$K44="",LECON!$M44=""),"",IF(LECON!$M44="",LECON!$K44,LECON!$M44))</f>
        <v/>
      </c>
      <c r="P44" s="39"/>
      <c r="Q44" s="46" t="str">
        <f t="shared" si="0"/>
        <v/>
      </c>
      <c r="R44" s="44" t="str">
        <f>IF(OR(LECON!$H44="",LECON!$O44=""),"",MAX(LECON!$H44,LECON!$O44))</f>
        <v/>
      </c>
    </row>
    <row r="45" spans="1:18" x14ac:dyDescent="0.25">
      <c r="A45" s="40"/>
      <c r="B45" s="40"/>
      <c r="C45" s="40"/>
      <c r="D45" s="43"/>
      <c r="E45" s="40"/>
      <c r="F45" s="40"/>
      <c r="G45" s="49" t="str">
        <f>IF(OR(A45="",B45="",AND(C45="",E45=""),AND(C45&lt;Datos!$F$2,E45="")),"",IF(C45&gt;=Datos!$F$2,10*B45*C45,10*B45*E45))</f>
        <v/>
      </c>
      <c r="H45" s="45" t="str">
        <f>IF(AND(LECON!$D45="",LECON!$F45=""),"",IF(LECON!$F45="",LECON!$D45,LECON!$F45))</f>
        <v/>
      </c>
      <c r="I45" s="40"/>
      <c r="J45" s="40"/>
      <c r="K45" s="43"/>
      <c r="L45" s="40"/>
      <c r="M45" s="40"/>
      <c r="N45" s="47" t="str">
        <f>IF(OR(A45="",B45="",AND(J45="",L45=""),AND(J45&lt;Datos!$F$3,L45="")),"",IF(J45&gt;=Datos!$F$3,10*B45*J45,10*B45*L45))</f>
        <v/>
      </c>
      <c r="O45" s="45" t="str">
        <f>IF(AND(LECON!$K45="",LECON!$M45=""),"",IF(LECON!$M45="",LECON!$K45,LECON!$M45))</f>
        <v/>
      </c>
      <c r="P45" s="40"/>
      <c r="Q45" s="47" t="str">
        <f t="shared" si="0"/>
        <v/>
      </c>
      <c r="R45" s="45" t="str">
        <f>IF(OR(LECON!$H45="",LECON!$O45=""),"",MAX(LECON!$H45,LECON!$O45))</f>
        <v/>
      </c>
    </row>
    <row r="46" spans="1:18" x14ac:dyDescent="0.25">
      <c r="A46" s="39"/>
      <c r="B46" s="39"/>
      <c r="C46" s="39"/>
      <c r="D46" s="42"/>
      <c r="E46" s="39"/>
      <c r="F46" s="39"/>
      <c r="G46" s="48" t="str">
        <f>IF(OR(A46="",B46="",AND(C46="",E46=""),AND(C46&lt;Datos!$F$2,E46="")),"",IF(C46&gt;=Datos!$F$2,10*B46*C46,10*B46*E46))</f>
        <v/>
      </c>
      <c r="H46" s="44" t="str">
        <f>IF(AND(LECON!$D46="",LECON!$F46=""),"",IF(LECON!$F46="",LECON!$D46,LECON!$F46))</f>
        <v/>
      </c>
      <c r="I46" s="39"/>
      <c r="J46" s="39"/>
      <c r="K46" s="42"/>
      <c r="L46" s="39"/>
      <c r="M46" s="39"/>
      <c r="N46" s="46" t="str">
        <f>IF(OR(A46="",B46="",AND(J46="",L46=""),AND(J46&lt;Datos!$F$3,L46="")),"",IF(J46&gt;=Datos!$F$3,10*B46*J46,10*B46*L46))</f>
        <v/>
      </c>
      <c r="O46" s="44" t="str">
        <f>IF(AND(LECON!$K46="",LECON!$M46=""),"",IF(LECON!$M46="",LECON!$K46,LECON!$M46))</f>
        <v/>
      </c>
      <c r="P46" s="39"/>
      <c r="Q46" s="46" t="str">
        <f t="shared" si="0"/>
        <v/>
      </c>
      <c r="R46" s="44" t="str">
        <f>IF(OR(LECON!$H46="",LECON!$O46=""),"",MAX(LECON!$H46,LECON!$O46))</f>
        <v/>
      </c>
    </row>
    <row r="47" spans="1:18" x14ac:dyDescent="0.25">
      <c r="A47" s="40"/>
      <c r="B47" s="40"/>
      <c r="C47" s="40"/>
      <c r="D47" s="43"/>
      <c r="E47" s="40"/>
      <c r="F47" s="40"/>
      <c r="G47" s="49" t="str">
        <f>IF(OR(A47="",B47="",AND(C47="",E47=""),AND(C47&lt;Datos!$F$2,E47="")),"",IF(C47&gt;=Datos!$F$2,10*B47*C47,10*B47*E47))</f>
        <v/>
      </c>
      <c r="H47" s="45" t="str">
        <f>IF(AND(LECON!$D47="",LECON!$F47=""),"",IF(LECON!$F47="",LECON!$D47,LECON!$F47))</f>
        <v/>
      </c>
      <c r="I47" s="40"/>
      <c r="J47" s="40"/>
      <c r="K47" s="43"/>
      <c r="L47" s="40"/>
      <c r="M47" s="40"/>
      <c r="N47" s="47" t="str">
        <f>IF(OR(A47="",B47="",AND(J47="",L47=""),AND(J47&lt;Datos!$F$3,L47="")),"",IF(J47&gt;=Datos!$F$3,10*B47*J47,10*B47*L47))</f>
        <v/>
      </c>
      <c r="O47" s="45" t="str">
        <f>IF(AND(LECON!$K47="",LECON!$M47=""),"",IF(LECON!$M47="",LECON!$K47,LECON!$M47))</f>
        <v/>
      </c>
      <c r="P47" s="40"/>
      <c r="Q47" s="47" t="str">
        <f t="shared" si="0"/>
        <v/>
      </c>
      <c r="R47" s="45" t="str">
        <f>IF(OR(LECON!$H47="",LECON!$O47=""),"",MAX(LECON!$H47,LECON!$O47))</f>
        <v/>
      </c>
    </row>
    <row r="48" spans="1:18" x14ac:dyDescent="0.25">
      <c r="A48" s="39"/>
      <c r="B48" s="39"/>
      <c r="C48" s="39"/>
      <c r="D48" s="42"/>
      <c r="E48" s="39"/>
      <c r="F48" s="39"/>
      <c r="G48" s="48" t="str">
        <f>IF(OR(A48="",B48="",AND(C48="",E48=""),AND(C48&lt;Datos!$F$2,E48="")),"",IF(C48&gt;=Datos!$F$2,10*B48*C48,10*B48*E48))</f>
        <v/>
      </c>
      <c r="H48" s="44" t="str">
        <f>IF(AND(LECON!$D48="",LECON!$F48=""),"",IF(LECON!$F48="",LECON!$D48,LECON!$F48))</f>
        <v/>
      </c>
      <c r="I48" s="39"/>
      <c r="J48" s="39"/>
      <c r="K48" s="42"/>
      <c r="L48" s="39"/>
      <c r="M48" s="39"/>
      <c r="N48" s="46" t="str">
        <f>IF(OR(A48="",B48="",AND(J48="",L48=""),AND(J48&lt;Datos!$F$3,L48="")),"",IF(J48&gt;=Datos!$F$3,10*B48*J48,10*B48*L48))</f>
        <v/>
      </c>
      <c r="O48" s="44" t="str">
        <f>IF(AND(LECON!$K48="",LECON!$M48=""),"",IF(LECON!$M48="",LECON!$K48,LECON!$M48))</f>
        <v/>
      </c>
      <c r="P48" s="39"/>
      <c r="Q48" s="46" t="str">
        <f t="shared" si="0"/>
        <v/>
      </c>
      <c r="R48" s="44" t="str">
        <f>IF(OR(LECON!$H48="",LECON!$O48=""),"",MAX(LECON!$H48,LECON!$O48))</f>
        <v/>
      </c>
    </row>
    <row r="49" spans="1:18" x14ac:dyDescent="0.25">
      <c r="A49" s="40"/>
      <c r="B49" s="40"/>
      <c r="C49" s="40"/>
      <c r="D49" s="43"/>
      <c r="E49" s="40"/>
      <c r="F49" s="40"/>
      <c r="G49" s="49" t="str">
        <f>IF(OR(A49="",B49="",AND(C49="",E49=""),AND(C49&lt;Datos!$F$2,E49="")),"",IF(C49&gt;=Datos!$F$2,10*B49*C49,10*B49*E49))</f>
        <v/>
      </c>
      <c r="H49" s="45" t="str">
        <f>IF(AND(LECON!$D49="",LECON!$F49=""),"",IF(LECON!$F49="",LECON!$D49,LECON!$F49))</f>
        <v/>
      </c>
      <c r="I49" s="40"/>
      <c r="J49" s="40"/>
      <c r="K49" s="43"/>
      <c r="L49" s="40"/>
      <c r="M49" s="40"/>
      <c r="N49" s="47" t="str">
        <f>IF(OR(A49="",B49="",AND(J49="",L49=""),AND(J49&lt;Datos!$F$3,L49="")),"",IF(J49&gt;=Datos!$F$3,10*B49*J49,10*B49*L49))</f>
        <v/>
      </c>
      <c r="O49" s="45" t="str">
        <f>IF(AND(LECON!$K49="",LECON!$M49=""),"",IF(LECON!$M49="",LECON!$K49,LECON!$M49))</f>
        <v/>
      </c>
      <c r="P49" s="40"/>
      <c r="Q49" s="47" t="str">
        <f t="shared" si="0"/>
        <v/>
      </c>
      <c r="R49" s="45" t="str">
        <f>IF(OR(LECON!$H49="",LECON!$O49=""),"",MAX(LECON!$H49,LECON!$O49))</f>
        <v/>
      </c>
    </row>
    <row r="50" spans="1:18" x14ac:dyDescent="0.25">
      <c r="A50" s="39"/>
      <c r="B50" s="39"/>
      <c r="C50" s="39"/>
      <c r="D50" s="42"/>
      <c r="E50" s="39"/>
      <c r="F50" s="39"/>
      <c r="G50" s="48" t="str">
        <f>IF(OR(A50="",B50="",AND(C50="",E50=""),AND(C50&lt;Datos!$F$2,E50="")),"",IF(C50&gt;=Datos!$F$2,10*B50*C50,10*B50*E50))</f>
        <v/>
      </c>
      <c r="H50" s="44" t="str">
        <f>IF(AND(LECON!$D50="",LECON!$F50=""),"",IF(LECON!$F50="",LECON!$D50,LECON!$F50))</f>
        <v/>
      </c>
      <c r="I50" s="39"/>
      <c r="J50" s="39"/>
      <c r="K50" s="42"/>
      <c r="L50" s="39"/>
      <c r="M50" s="39"/>
      <c r="N50" s="46" t="str">
        <f>IF(OR(A50="",B50="",AND(J50="",L50=""),AND(J50&lt;Datos!$F$3,L50="")),"",IF(J50&gt;=Datos!$F$3,10*B50*J50,10*B50*L50))</f>
        <v/>
      </c>
      <c r="O50" s="44" t="str">
        <f>IF(AND(LECON!$K50="",LECON!$M50=""),"",IF(LECON!$M50="",LECON!$K50,LECON!$M50))</f>
        <v/>
      </c>
      <c r="P50" s="39"/>
      <c r="Q50" s="46" t="str">
        <f t="shared" si="0"/>
        <v/>
      </c>
      <c r="R50" s="44" t="str">
        <f>IF(OR(LECON!$H50="",LECON!$O50=""),"",MAX(LECON!$H50,LECON!$O50))</f>
        <v/>
      </c>
    </row>
    <row r="51" spans="1:18" x14ac:dyDescent="0.25">
      <c r="A51" s="40"/>
      <c r="B51" s="40"/>
      <c r="C51" s="40"/>
      <c r="D51" s="43"/>
      <c r="E51" s="40"/>
      <c r="F51" s="40"/>
      <c r="G51" s="49" t="str">
        <f>IF(OR(A51="",B51="",AND(C51="",E51=""),AND(C51&lt;Datos!$F$2,E51="")),"",IF(C51&gt;=Datos!$F$2,10*B51*C51,10*B51*E51))</f>
        <v/>
      </c>
      <c r="H51" s="45" t="str">
        <f>IF(AND(LECON!$D51="",LECON!$F51=""),"",IF(LECON!$F51="",LECON!$D51,LECON!$F51))</f>
        <v/>
      </c>
      <c r="I51" s="40"/>
      <c r="J51" s="40"/>
      <c r="K51" s="43"/>
      <c r="L51" s="40"/>
      <c r="M51" s="40"/>
      <c r="N51" s="47" t="str">
        <f>IF(OR(A51="",B51="",AND(J51="",L51=""),AND(J51&lt;Datos!$F$3,L51="")),"",IF(J51&gt;=Datos!$F$3,10*B51*J51,10*B51*L51))</f>
        <v/>
      </c>
      <c r="O51" s="45" t="str">
        <f>IF(AND(LECON!$K51="",LECON!$M51=""),"",IF(LECON!$M51="",LECON!$K51,LECON!$M51))</f>
        <v/>
      </c>
      <c r="P51" s="40"/>
      <c r="Q51" s="47" t="str">
        <f t="shared" si="0"/>
        <v/>
      </c>
      <c r="R51" s="45" t="str">
        <f>IF(OR(LECON!$H51="",LECON!$O51=""),"",MAX(LECON!$H51,LECON!$O51))</f>
        <v/>
      </c>
    </row>
    <row r="52" spans="1:18" x14ac:dyDescent="0.25">
      <c r="A52" s="39"/>
      <c r="B52" s="39"/>
      <c r="C52" s="39"/>
      <c r="D52" s="42"/>
      <c r="E52" s="39"/>
      <c r="F52" s="39"/>
      <c r="G52" s="48" t="str">
        <f>IF(OR(A52="",B52="",AND(C52="",E52=""),AND(C52&lt;Datos!$F$2,E52="")),"",IF(C52&gt;=Datos!$F$2,10*B52*C52,10*B52*E52))</f>
        <v/>
      </c>
      <c r="H52" s="44" t="str">
        <f>IF(AND(LECON!$D52="",LECON!$F52=""),"",IF(LECON!$F52="",LECON!$D52,LECON!$F52))</f>
        <v/>
      </c>
      <c r="I52" s="39"/>
      <c r="J52" s="39"/>
      <c r="K52" s="42"/>
      <c r="L52" s="39"/>
      <c r="M52" s="39"/>
      <c r="N52" s="46" t="str">
        <f>IF(OR(A52="",B52="",AND(J52="",L52=""),AND(J52&lt;Datos!$F$3,L52="")),"",IF(J52&gt;=Datos!$F$3,10*B52*J52,10*B52*L52))</f>
        <v/>
      </c>
      <c r="O52" s="44" t="str">
        <f>IF(AND(LECON!$K52="",LECON!$M52=""),"",IF(LECON!$M52="",LECON!$K52,LECON!$M52))</f>
        <v/>
      </c>
      <c r="P52" s="39"/>
      <c r="Q52" s="46" t="str">
        <f t="shared" si="0"/>
        <v/>
      </c>
      <c r="R52" s="44" t="str">
        <f>IF(OR(LECON!$H52="",LECON!$O52=""),"",MAX(LECON!$H52,LECON!$O52))</f>
        <v/>
      </c>
    </row>
    <row r="53" spans="1:18" x14ac:dyDescent="0.25">
      <c r="A53" s="40"/>
      <c r="B53" s="40"/>
      <c r="C53" s="40"/>
      <c r="D53" s="43"/>
      <c r="E53" s="40"/>
      <c r="F53" s="40"/>
      <c r="G53" s="49" t="str">
        <f>IF(OR(A53="",B53="",AND(C53="",E53=""),AND(C53&lt;Datos!$F$2,E53="")),"",IF(C53&gt;=Datos!$F$2,10*B53*C53,10*B53*E53))</f>
        <v/>
      </c>
      <c r="H53" s="45" t="str">
        <f>IF(AND(LECON!$D53="",LECON!$F53=""),"",IF(LECON!$F53="",LECON!$D53,LECON!$F53))</f>
        <v/>
      </c>
      <c r="I53" s="40"/>
      <c r="J53" s="40"/>
      <c r="K53" s="43"/>
      <c r="L53" s="40"/>
      <c r="M53" s="40"/>
      <c r="N53" s="47" t="str">
        <f>IF(OR(A53="",B53="",AND(J53="",L53=""),AND(J53&lt;Datos!$F$3,L53="")),"",IF(J53&gt;=Datos!$F$3,10*B53*J53,10*B53*L53))</f>
        <v/>
      </c>
      <c r="O53" s="45" t="str">
        <f>IF(AND(LECON!$K53="",LECON!$M53=""),"",IF(LECON!$M53="",LECON!$K53,LECON!$M53))</f>
        <v/>
      </c>
      <c r="P53" s="40"/>
      <c r="Q53" s="47" t="str">
        <f t="shared" si="0"/>
        <v/>
      </c>
      <c r="R53" s="45" t="str">
        <f>IF(OR(LECON!$H53="",LECON!$O53=""),"",MAX(LECON!$H53,LECON!$O53))</f>
        <v/>
      </c>
    </row>
    <row r="54" spans="1:18" x14ac:dyDescent="0.25">
      <c r="A54" s="39"/>
      <c r="B54" s="39"/>
      <c r="C54" s="39"/>
      <c r="D54" s="42"/>
      <c r="E54" s="39"/>
      <c r="F54" s="39"/>
      <c r="G54" s="48" t="str">
        <f>IF(OR(A54="",B54="",AND(C54="",E54=""),AND(C54&lt;Datos!$F$2,E54="")),"",IF(C54&gt;=Datos!$F$2,10*B54*C54,10*B54*E54))</f>
        <v/>
      </c>
      <c r="H54" s="44" t="str">
        <f>IF(AND(LECON!$D54="",LECON!$F54=""),"",IF(LECON!$F54="",LECON!$D54,LECON!$F54))</f>
        <v/>
      </c>
      <c r="I54" s="39"/>
      <c r="J54" s="39"/>
      <c r="K54" s="42"/>
      <c r="L54" s="39"/>
      <c r="M54" s="39"/>
      <c r="N54" s="46" t="str">
        <f>IF(OR(A54="",B54="",AND(J54="",L54=""),AND(J54&lt;Datos!$F$3,L54="")),"",IF(J54&gt;=Datos!$F$3,10*B54*J54,10*B54*L54))</f>
        <v/>
      </c>
      <c r="O54" s="44" t="str">
        <f>IF(AND(LECON!$K54="",LECON!$M54=""),"",IF(LECON!$M54="",LECON!$K54,LECON!$M54))</f>
        <v/>
      </c>
      <c r="P54" s="39"/>
      <c r="Q54" s="46" t="str">
        <f t="shared" si="0"/>
        <v/>
      </c>
      <c r="R54" s="44" t="str">
        <f>IF(OR(LECON!$H54="",LECON!$O54=""),"",MAX(LECON!$H54,LECON!$O54))</f>
        <v/>
      </c>
    </row>
    <row r="55" spans="1:18" x14ac:dyDescent="0.25">
      <c r="A55" s="40"/>
      <c r="B55" s="40"/>
      <c r="C55" s="40"/>
      <c r="D55" s="43"/>
      <c r="E55" s="40"/>
      <c r="F55" s="40"/>
      <c r="G55" s="49" t="str">
        <f>IF(OR(A55="",B55="",AND(C55="",E55=""),AND(C55&lt;Datos!$F$2,E55="")),"",IF(C55&gt;=Datos!$F$2,10*B55*C55,10*B55*E55))</f>
        <v/>
      </c>
      <c r="H55" s="45" t="str">
        <f>IF(AND(LECON!$D55="",LECON!$F55=""),"",IF(LECON!$F55="",LECON!$D55,LECON!$F55))</f>
        <v/>
      </c>
      <c r="I55" s="40"/>
      <c r="J55" s="40"/>
      <c r="K55" s="43"/>
      <c r="L55" s="40"/>
      <c r="M55" s="40"/>
      <c r="N55" s="47" t="str">
        <f>IF(OR(A55="",B55="",AND(J55="",L55=""),AND(J55&lt;Datos!$F$3,L55="")),"",IF(J55&gt;=Datos!$F$3,10*B55*J55,10*B55*L55))</f>
        <v/>
      </c>
      <c r="O55" s="45" t="str">
        <f>IF(AND(LECON!$K55="",LECON!$M55=""),"",IF(LECON!$M55="",LECON!$K55,LECON!$M55))</f>
        <v/>
      </c>
      <c r="P55" s="40"/>
      <c r="Q55" s="47" t="str">
        <f t="shared" si="0"/>
        <v/>
      </c>
      <c r="R55" s="45" t="str">
        <f>IF(OR(LECON!$H55="",LECON!$O55=""),"",MAX(LECON!$H55,LECON!$O55))</f>
        <v/>
      </c>
    </row>
    <row r="56" spans="1:18" x14ac:dyDescent="0.25">
      <c r="A56" s="39"/>
      <c r="B56" s="39"/>
      <c r="C56" s="39"/>
      <c r="D56" s="42"/>
      <c r="E56" s="39"/>
      <c r="F56" s="39"/>
      <c r="G56" s="48" t="str">
        <f>IF(OR(A56="",B56="",AND(C56="",E56=""),AND(C56&lt;Datos!$F$2,E56="")),"",IF(C56&gt;=Datos!$F$2,10*B56*C56,10*B56*E56))</f>
        <v/>
      </c>
      <c r="H56" s="44" t="str">
        <f>IF(AND(LECON!$D56="",LECON!$F56=""),"",IF(LECON!$F56="",LECON!$D56,LECON!$F56))</f>
        <v/>
      </c>
      <c r="I56" s="39"/>
      <c r="J56" s="39"/>
      <c r="K56" s="42"/>
      <c r="L56" s="39"/>
      <c r="M56" s="39"/>
      <c r="N56" s="46" t="str">
        <f>IF(OR(A56="",B56="",AND(J56="",L56=""),AND(J56&lt;Datos!$F$3,L56="")),"",IF(J56&gt;=Datos!$F$3,10*B56*J56,10*B56*L56))</f>
        <v/>
      </c>
      <c r="O56" s="44" t="str">
        <f>IF(AND(LECON!$K56="",LECON!$M56=""),"",IF(LECON!$M56="",LECON!$K56,LECON!$M56))</f>
        <v/>
      </c>
      <c r="P56" s="39"/>
      <c r="Q56" s="46" t="str">
        <f t="shared" si="0"/>
        <v/>
      </c>
      <c r="R56" s="44" t="str">
        <f>IF(OR(LECON!$H56="",LECON!$O56=""),"",MAX(LECON!$H56,LECON!$O56))</f>
        <v/>
      </c>
    </row>
    <row r="57" spans="1:18" x14ac:dyDescent="0.25">
      <c r="A57" s="40"/>
      <c r="B57" s="40"/>
      <c r="C57" s="40"/>
      <c r="D57" s="43"/>
      <c r="E57" s="40"/>
      <c r="F57" s="40"/>
      <c r="G57" s="49" t="str">
        <f>IF(OR(A57="",B57="",AND(C57="",E57=""),AND(C57&lt;Datos!$F$2,E57="")),"",IF(C57&gt;=Datos!$F$2,10*B57*C57,10*B57*E57))</f>
        <v/>
      </c>
      <c r="H57" s="45" t="str">
        <f>IF(AND(LECON!$D57="",LECON!$F57=""),"",IF(LECON!$F57="",LECON!$D57,LECON!$F57))</f>
        <v/>
      </c>
      <c r="I57" s="40"/>
      <c r="J57" s="40"/>
      <c r="K57" s="43"/>
      <c r="L57" s="40"/>
      <c r="M57" s="40"/>
      <c r="N57" s="47" t="str">
        <f>IF(OR(A57="",B57="",AND(J57="",L57=""),AND(J57&lt;Datos!$F$3,L57="")),"",IF(J57&gt;=Datos!$F$3,10*B57*J57,10*B57*L57))</f>
        <v/>
      </c>
      <c r="O57" s="45" t="str">
        <f>IF(AND(LECON!$K57="",LECON!$M57=""),"",IF(LECON!$M57="",LECON!$K57,LECON!$M57))</f>
        <v/>
      </c>
      <c r="P57" s="40"/>
      <c r="Q57" s="47" t="str">
        <f t="shared" si="0"/>
        <v/>
      </c>
      <c r="R57" s="45" t="str">
        <f>IF(OR(LECON!$H57="",LECON!$O57=""),"",MAX(LECON!$H57,LECON!$O57))</f>
        <v/>
      </c>
    </row>
    <row r="58" spans="1:18" x14ac:dyDescent="0.25">
      <c r="A58" s="39"/>
      <c r="B58" s="39"/>
      <c r="C58" s="39"/>
      <c r="D58" s="42"/>
      <c r="E58" s="39"/>
      <c r="F58" s="39"/>
      <c r="G58" s="48" t="str">
        <f>IF(OR(A58="",B58="",AND(C58="",E58=""),AND(C58&lt;Datos!$F$2,E58="")),"",IF(C58&gt;=Datos!$F$2,10*B58*C58,10*B58*E58))</f>
        <v/>
      </c>
      <c r="H58" s="44" t="str">
        <f>IF(AND(LECON!$D58="",LECON!$F58=""),"",IF(LECON!$F58="",LECON!$D58,LECON!$F58))</f>
        <v/>
      </c>
      <c r="I58" s="39"/>
      <c r="J58" s="39"/>
      <c r="K58" s="42"/>
      <c r="L58" s="39"/>
      <c r="M58" s="39"/>
      <c r="N58" s="46" t="str">
        <f>IF(OR(A58="",B58="",AND(J58="",L58=""),AND(J58&lt;Datos!$F$3,L58="")),"",IF(J58&gt;=Datos!$F$3,10*B58*J58,10*B58*L58))</f>
        <v/>
      </c>
      <c r="O58" s="44" t="str">
        <f>IF(AND(LECON!$K58="",LECON!$M58=""),"",IF(LECON!$M58="",LECON!$K58,LECON!$M58))</f>
        <v/>
      </c>
      <c r="P58" s="39"/>
      <c r="Q58" s="46" t="str">
        <f t="shared" si="0"/>
        <v/>
      </c>
      <c r="R58" s="44" t="str">
        <f>IF(OR(LECON!$H58="",LECON!$O58=""),"",MAX(LECON!$H58,LECON!$O58))</f>
        <v/>
      </c>
    </row>
    <row r="59" spans="1:18" x14ac:dyDescent="0.25">
      <c r="A59" s="40"/>
      <c r="B59" s="40"/>
      <c r="C59" s="40"/>
      <c r="D59" s="43"/>
      <c r="E59" s="40"/>
      <c r="F59" s="40"/>
      <c r="G59" s="49" t="str">
        <f>IF(OR(A59="",B59="",AND(C59="",E59=""),AND(C59&lt;Datos!$F$2,E59="")),"",IF(C59&gt;=Datos!$F$2,10*B59*C59,10*B59*E59))</f>
        <v/>
      </c>
      <c r="H59" s="45" t="str">
        <f>IF(AND(LECON!$D59="",LECON!$F59=""),"",IF(LECON!$F59="",LECON!$D59,LECON!$F59))</f>
        <v/>
      </c>
      <c r="I59" s="40"/>
      <c r="J59" s="40"/>
      <c r="K59" s="43"/>
      <c r="L59" s="40"/>
      <c r="M59" s="40"/>
      <c r="N59" s="47" t="str">
        <f>IF(OR(A59="",B59="",AND(J59="",L59=""),AND(J59&lt;Datos!$F$3,L59="")),"",IF(J59&gt;=Datos!$F$3,10*B59*J59,10*B59*L59))</f>
        <v/>
      </c>
      <c r="O59" s="45" t="str">
        <f>IF(AND(LECON!$K59="",LECON!$M59=""),"",IF(LECON!$M59="",LECON!$K59,LECON!$M59))</f>
        <v/>
      </c>
      <c r="P59" s="40"/>
      <c r="Q59" s="47" t="str">
        <f t="shared" si="0"/>
        <v/>
      </c>
      <c r="R59" s="45" t="str">
        <f>IF(OR(LECON!$H59="",LECON!$O59=""),"",MAX(LECON!$H59,LECON!$O59))</f>
        <v/>
      </c>
    </row>
    <row r="60" spans="1:18" x14ac:dyDescent="0.25">
      <c r="A60" s="39"/>
      <c r="B60" s="39"/>
      <c r="C60" s="39"/>
      <c r="D60" s="42"/>
      <c r="E60" s="39"/>
      <c r="F60" s="39"/>
      <c r="G60" s="48" t="str">
        <f>IF(OR(A60="",B60="",AND(C60="",E60=""),AND(C60&lt;Datos!$F$2,E60="")),"",IF(C60&gt;=Datos!$F$2,10*B60*C60,10*B60*E60))</f>
        <v/>
      </c>
      <c r="H60" s="44" t="str">
        <f>IF(AND(LECON!$D60="",LECON!$F60=""),"",IF(LECON!$F60="",LECON!$D60,LECON!$F60))</f>
        <v/>
      </c>
      <c r="I60" s="39"/>
      <c r="J60" s="39"/>
      <c r="K60" s="42"/>
      <c r="L60" s="39"/>
      <c r="M60" s="39"/>
      <c r="N60" s="46" t="str">
        <f>IF(OR(A60="",B60="",AND(J60="",L60=""),AND(J60&lt;Datos!$F$3,L60="")),"",IF(J60&gt;=Datos!$F$3,10*B60*J60,10*B60*L60))</f>
        <v/>
      </c>
      <c r="O60" s="44" t="str">
        <f>IF(AND(LECON!$K60="",LECON!$M60=""),"",IF(LECON!$M60="",LECON!$K60,LECON!$M60))</f>
        <v/>
      </c>
      <c r="P60" s="39"/>
      <c r="Q60" s="46" t="str">
        <f t="shared" si="0"/>
        <v/>
      </c>
      <c r="R60" s="44" t="str">
        <f>IF(OR(LECON!$H60="",LECON!$O60=""),"",MAX(LECON!$H60,LECON!$O60))</f>
        <v/>
      </c>
    </row>
    <row r="61" spans="1:18" x14ac:dyDescent="0.25">
      <c r="A61" s="40"/>
      <c r="B61" s="40"/>
      <c r="C61" s="40"/>
      <c r="D61" s="43"/>
      <c r="E61" s="40"/>
      <c r="F61" s="40"/>
      <c r="G61" s="49" t="str">
        <f>IF(OR(A61="",B61="",AND(C61="",E61=""),AND(C61&lt;Datos!$F$2,E61="")),"",IF(C61&gt;=Datos!$F$2,10*B61*C61,10*B61*E61))</f>
        <v/>
      </c>
      <c r="H61" s="45" t="str">
        <f>IF(AND(LECON!$D61="",LECON!$F61=""),"",IF(LECON!$F61="",LECON!$D61,LECON!$F61))</f>
        <v/>
      </c>
      <c r="I61" s="40"/>
      <c r="J61" s="40"/>
      <c r="K61" s="43"/>
      <c r="L61" s="40"/>
      <c r="M61" s="40"/>
      <c r="N61" s="47" t="str">
        <f>IF(OR(A61="",B61="",AND(J61="",L61=""),AND(J61&lt;Datos!$F$3,L61="")),"",IF(J61&gt;=Datos!$F$3,10*B61*J61,10*B61*L61))</f>
        <v/>
      </c>
      <c r="O61" s="45" t="str">
        <f>IF(AND(LECON!$K61="",LECON!$M61=""),"",IF(LECON!$M61="",LECON!$K61,LECON!$M61))</f>
        <v/>
      </c>
      <c r="P61" s="40"/>
      <c r="Q61" s="47" t="str">
        <f t="shared" si="0"/>
        <v/>
      </c>
      <c r="R61" s="45" t="str">
        <f>IF(OR(LECON!$H61="",LECON!$O61=""),"",MAX(LECON!$H61,LECON!$O61))</f>
        <v/>
      </c>
    </row>
    <row r="62" spans="1:18" x14ac:dyDescent="0.25">
      <c r="A62" s="39"/>
      <c r="B62" s="39"/>
      <c r="C62" s="39"/>
      <c r="D62" s="42"/>
      <c r="E62" s="39"/>
      <c r="F62" s="39"/>
      <c r="G62" s="48" t="str">
        <f>IF(OR(A62="",B62="",AND(C62="",E62=""),AND(C62&lt;Datos!$F$2,E62="")),"",IF(C62&gt;=Datos!$F$2,10*B62*C62,10*B62*E62))</f>
        <v/>
      </c>
      <c r="H62" s="44" t="str">
        <f>IF(AND(LECON!$D62="",LECON!$F62=""),"",IF(LECON!$F62="",LECON!$D62,LECON!$F62))</f>
        <v/>
      </c>
      <c r="I62" s="39"/>
      <c r="J62" s="39"/>
      <c r="K62" s="42"/>
      <c r="L62" s="39"/>
      <c r="M62" s="39"/>
      <c r="N62" s="46" t="str">
        <f>IF(OR(A62="",B62="",AND(J62="",L62=""),AND(J62&lt;Datos!$F$3,L62="")),"",IF(J62&gt;=Datos!$F$3,10*B62*J62,10*B62*L62))</f>
        <v/>
      </c>
      <c r="O62" s="44" t="str">
        <f>IF(AND(LECON!$K62="",LECON!$M62=""),"",IF(LECON!$M62="",LECON!$K62,LECON!$M62))</f>
        <v/>
      </c>
      <c r="P62" s="39"/>
      <c r="Q62" s="46" t="str">
        <f t="shared" si="0"/>
        <v/>
      </c>
      <c r="R62" s="44" t="str">
        <f>IF(OR(LECON!$H62="",LECON!$O62=""),"",MAX(LECON!$H62,LECON!$O62))</f>
        <v/>
      </c>
    </row>
    <row r="63" spans="1:18" x14ac:dyDescent="0.25">
      <c r="A63" s="40"/>
      <c r="B63" s="40"/>
      <c r="C63" s="40"/>
      <c r="D63" s="43"/>
      <c r="E63" s="40"/>
      <c r="F63" s="40"/>
      <c r="G63" s="49" t="str">
        <f>IF(OR(A63="",B63="",AND(C63="",E63=""),AND(C63&lt;Datos!$F$2,E63="")),"",IF(C63&gt;=Datos!$F$2,10*B63*C63,10*B63*E63))</f>
        <v/>
      </c>
      <c r="H63" s="45" t="str">
        <f>IF(AND(LECON!$D63="",LECON!$F63=""),"",IF(LECON!$F63="",LECON!$D63,LECON!$F63))</f>
        <v/>
      </c>
      <c r="I63" s="40"/>
      <c r="J63" s="40"/>
      <c r="K63" s="43"/>
      <c r="L63" s="40"/>
      <c r="M63" s="40"/>
      <c r="N63" s="47" t="str">
        <f>IF(OR(A63="",B63="",AND(J63="",L63=""),AND(J63&lt;Datos!$F$3,L63="")),"",IF(J63&gt;=Datos!$F$3,10*B63*J63,10*B63*L63))</f>
        <v/>
      </c>
      <c r="O63" s="45" t="str">
        <f>IF(AND(LECON!$K63="",LECON!$M63=""),"",IF(LECON!$M63="",LECON!$K63,LECON!$M63))</f>
        <v/>
      </c>
      <c r="P63" s="40"/>
      <c r="Q63" s="47" t="str">
        <f t="shared" si="0"/>
        <v/>
      </c>
      <c r="R63" s="45" t="str">
        <f>IF(OR(LECON!$H63="",LECON!$O63=""),"",MAX(LECON!$H63,LECON!$O63))</f>
        <v/>
      </c>
    </row>
    <row r="64" spans="1:18" x14ac:dyDescent="0.25">
      <c r="A64" s="39"/>
      <c r="B64" s="39"/>
      <c r="C64" s="39"/>
      <c r="D64" s="42"/>
      <c r="E64" s="39"/>
      <c r="F64" s="39"/>
      <c r="G64" s="48" t="str">
        <f>IF(OR(A64="",B64="",AND(C64="",E64=""),AND(C64&lt;Datos!$F$2,E64="")),"",IF(C64&gt;=Datos!$F$2,10*B64*C64,10*B64*E64))</f>
        <v/>
      </c>
      <c r="H64" s="44" t="str">
        <f>IF(AND(LECON!$D64="",LECON!$F64=""),"",IF(LECON!$F64="",LECON!$D64,LECON!$F64))</f>
        <v/>
      </c>
      <c r="I64" s="39"/>
      <c r="J64" s="39"/>
      <c r="K64" s="42"/>
      <c r="L64" s="39"/>
      <c r="M64" s="39"/>
      <c r="N64" s="46" t="str">
        <f>IF(OR(A64="",B64="",AND(J64="",L64=""),AND(J64&lt;Datos!$F$3,L64="")),"",IF(J64&gt;=Datos!$F$3,10*B64*J64,10*B64*L64))</f>
        <v/>
      </c>
      <c r="O64" s="44" t="str">
        <f>IF(AND(LECON!$K64="",LECON!$M64=""),"",IF(LECON!$M64="",LECON!$K64,LECON!$M64))</f>
        <v/>
      </c>
      <c r="P64" s="39"/>
      <c r="Q64" s="46" t="str">
        <f t="shared" si="0"/>
        <v/>
      </c>
      <c r="R64" s="44" t="str">
        <f>IF(OR(LECON!$H64="",LECON!$O64=""),"",MAX(LECON!$H64,LECON!$O64))</f>
        <v/>
      </c>
    </row>
    <row r="65" spans="1:18" x14ac:dyDescent="0.25">
      <c r="A65" s="40"/>
      <c r="B65" s="40"/>
      <c r="C65" s="40"/>
      <c r="D65" s="43"/>
      <c r="E65" s="40"/>
      <c r="F65" s="40"/>
      <c r="G65" s="49" t="str">
        <f>IF(OR(A65="",B65="",AND(C65="",E65=""),AND(C65&lt;Datos!$F$2,E65="")),"",IF(C65&gt;=Datos!$F$2,10*B65*C65,10*B65*E65))</f>
        <v/>
      </c>
      <c r="H65" s="45" t="str">
        <f>IF(AND(LECON!$D65="",LECON!$F65=""),"",IF(LECON!$F65="",LECON!$D65,LECON!$F65))</f>
        <v/>
      </c>
      <c r="I65" s="40"/>
      <c r="J65" s="40"/>
      <c r="K65" s="43"/>
      <c r="L65" s="40"/>
      <c r="M65" s="40"/>
      <c r="N65" s="47" t="str">
        <f>IF(OR(A65="",B65="",AND(J65="",L65=""),AND(J65&lt;Datos!$F$3,L65="")),"",IF(J65&gt;=Datos!$F$3,10*B65*J65,10*B65*L65))</f>
        <v/>
      </c>
      <c r="O65" s="45" t="str">
        <f>IF(AND(LECON!$K65="",LECON!$M65=""),"",IF(LECON!$M65="",LECON!$K65,LECON!$M65))</f>
        <v/>
      </c>
      <c r="P65" s="40"/>
      <c r="Q65" s="47" t="str">
        <f t="shared" si="0"/>
        <v/>
      </c>
      <c r="R65" s="45" t="str">
        <f>IF(OR(LECON!$H65="",LECON!$O65=""),"",MAX(LECON!$H65,LECON!$O65))</f>
        <v/>
      </c>
    </row>
    <row r="66" spans="1:18" x14ac:dyDescent="0.25">
      <c r="A66" s="39"/>
      <c r="B66" s="39"/>
      <c r="C66" s="39"/>
      <c r="D66" s="42"/>
      <c r="E66" s="39"/>
      <c r="F66" s="39"/>
      <c r="G66" s="48" t="str">
        <f>IF(OR(A66="",B66="",AND(C66="",E66=""),AND(C66&lt;Datos!$F$2,E66="")),"",IF(C66&gt;=Datos!$F$2,10*B66*C66,10*B66*E66))</f>
        <v/>
      </c>
      <c r="H66" s="44" t="str">
        <f>IF(AND(LECON!$D66="",LECON!$F66=""),"",IF(LECON!$F66="",LECON!$D66,LECON!$F66))</f>
        <v/>
      </c>
      <c r="I66" s="39"/>
      <c r="J66" s="39"/>
      <c r="K66" s="42"/>
      <c r="L66" s="39"/>
      <c r="M66" s="39"/>
      <c r="N66" s="46" t="str">
        <f>IF(OR(A66="",B66="",AND(J66="",L66=""),AND(J66&lt;Datos!$F$3,L66="")),"",IF(J66&gt;=Datos!$F$3,10*B66*J66,10*B66*L66))</f>
        <v/>
      </c>
      <c r="O66" s="44" t="str">
        <f>IF(AND(LECON!$K66="",LECON!$M66=""),"",IF(LECON!$M66="",LECON!$K66,LECON!$M66))</f>
        <v/>
      </c>
      <c r="P66" s="39"/>
      <c r="Q66" s="46" t="str">
        <f t="shared" si="0"/>
        <v/>
      </c>
      <c r="R66" s="44" t="str">
        <f>IF(OR(LECON!$H66="",LECON!$O66=""),"",MAX(LECON!$H66,LECON!$O66))</f>
        <v/>
      </c>
    </row>
    <row r="67" spans="1:18" x14ac:dyDescent="0.25">
      <c r="A67" s="40"/>
      <c r="B67" s="40"/>
      <c r="C67" s="40"/>
      <c r="D67" s="43"/>
      <c r="E67" s="40"/>
      <c r="F67" s="40"/>
      <c r="G67" s="49" t="str">
        <f>IF(OR(A67="",B67="",AND(C67="",E67=""),AND(C67&lt;Datos!$F$2,E67="")),"",IF(C67&gt;=Datos!$F$2,10*B67*C67,10*B67*E67))</f>
        <v/>
      </c>
      <c r="H67" s="45" t="str">
        <f>IF(AND(LECON!$D67="",LECON!$F67=""),"",IF(LECON!$F67="",LECON!$D67,LECON!$F67))</f>
        <v/>
      </c>
      <c r="I67" s="40"/>
      <c r="J67" s="40"/>
      <c r="K67" s="43"/>
      <c r="L67" s="40"/>
      <c r="M67" s="40"/>
      <c r="N67" s="47" t="str">
        <f>IF(OR(A67="",B67="",AND(J67="",L67=""),AND(J67&lt;Datos!$F$3,L67="")),"",IF(J67&gt;=Datos!$F$3,10*B67*J67,10*B67*L67))</f>
        <v/>
      </c>
      <c r="O67" s="45" t="str">
        <f>IF(AND(LECON!$K67="",LECON!$M67=""),"",IF(LECON!$M67="",LECON!$K67,LECON!$M67))</f>
        <v/>
      </c>
      <c r="P67" s="40"/>
      <c r="Q67" s="47" t="str">
        <f t="shared" ref="Q67:Q130" si="1">IF(OR(G67="",N67=""),"",G67/N67)</f>
        <v/>
      </c>
      <c r="R67" s="45" t="str">
        <f>IF(OR(LECON!$H67="",LECON!$O67=""),"",MAX(LECON!$H67,LECON!$O67))</f>
        <v/>
      </c>
    </row>
    <row r="68" spans="1:18" x14ac:dyDescent="0.25">
      <c r="A68" s="39"/>
      <c r="B68" s="39"/>
      <c r="C68" s="39"/>
      <c r="D68" s="42"/>
      <c r="E68" s="39"/>
      <c r="F68" s="39"/>
      <c r="G68" s="48" t="str">
        <f>IF(OR(A68="",B68="",AND(C68="",E68=""),AND(C68&lt;Datos!$F$2,E68="")),"",IF(C68&gt;=Datos!$F$2,10*B68*C68,10*B68*E68))</f>
        <v/>
      </c>
      <c r="H68" s="44" t="str">
        <f>IF(AND(LECON!$D68="",LECON!$F68=""),"",IF(LECON!$F68="",LECON!$D68,LECON!$F68))</f>
        <v/>
      </c>
      <c r="I68" s="39"/>
      <c r="J68" s="39"/>
      <c r="K68" s="42"/>
      <c r="L68" s="39"/>
      <c r="M68" s="39"/>
      <c r="N68" s="46" t="str">
        <f>IF(OR(A68="",B68="",AND(J68="",L68=""),AND(J68&lt;Datos!$F$3,L68="")),"",IF(J68&gt;=Datos!$F$3,10*B68*J68,10*B68*L68))</f>
        <v/>
      </c>
      <c r="O68" s="44" t="str">
        <f>IF(AND(LECON!$K68="",LECON!$M68=""),"",IF(LECON!$M68="",LECON!$K68,LECON!$M68))</f>
        <v/>
      </c>
      <c r="P68" s="39"/>
      <c r="Q68" s="46" t="str">
        <f t="shared" si="1"/>
        <v/>
      </c>
      <c r="R68" s="44" t="str">
        <f>IF(OR(LECON!$H68="",LECON!$O68=""),"",MAX(LECON!$H68,LECON!$O68))</f>
        <v/>
      </c>
    </row>
    <row r="69" spans="1:18" x14ac:dyDescent="0.25">
      <c r="A69" s="40"/>
      <c r="B69" s="40"/>
      <c r="C69" s="40"/>
      <c r="D69" s="43"/>
      <c r="E69" s="40"/>
      <c r="F69" s="40"/>
      <c r="G69" s="49" t="str">
        <f>IF(OR(A69="",B69="",AND(C69="",E69=""),AND(C69&lt;Datos!$F$2,E69="")),"",IF(C69&gt;=Datos!$F$2,10*B69*C69,10*B69*E69))</f>
        <v/>
      </c>
      <c r="H69" s="45" t="str">
        <f>IF(AND(LECON!$D69="",LECON!$F69=""),"",IF(LECON!$F69="",LECON!$D69,LECON!$F69))</f>
        <v/>
      </c>
      <c r="I69" s="40"/>
      <c r="J69" s="40"/>
      <c r="K69" s="43"/>
      <c r="L69" s="40"/>
      <c r="M69" s="40"/>
      <c r="N69" s="47" t="str">
        <f>IF(OR(A69="",B69="",AND(J69="",L69=""),AND(J69&lt;Datos!$F$3,L69="")),"",IF(J69&gt;=Datos!$F$3,10*B69*J69,10*B69*L69))</f>
        <v/>
      </c>
      <c r="O69" s="45" t="str">
        <f>IF(AND(LECON!$K69="",LECON!$M69=""),"",IF(LECON!$M69="",LECON!$K69,LECON!$M69))</f>
        <v/>
      </c>
      <c r="P69" s="40"/>
      <c r="Q69" s="47" t="str">
        <f t="shared" si="1"/>
        <v/>
      </c>
      <c r="R69" s="45" t="str">
        <f>IF(OR(LECON!$H69="",LECON!$O69=""),"",MAX(LECON!$H69,LECON!$O69))</f>
        <v/>
      </c>
    </row>
    <row r="70" spans="1:18" x14ac:dyDescent="0.25">
      <c r="A70" s="39"/>
      <c r="B70" s="39"/>
      <c r="C70" s="39"/>
      <c r="D70" s="42"/>
      <c r="E70" s="39"/>
      <c r="F70" s="39"/>
      <c r="G70" s="48" t="str">
        <f>IF(OR(A70="",B70="",AND(C70="",E70=""),AND(C70&lt;Datos!$F$2,E70="")),"",IF(C70&gt;=Datos!$F$2,10*B70*C70,10*B70*E70))</f>
        <v/>
      </c>
      <c r="H70" s="44" t="str">
        <f>IF(AND(LECON!$D70="",LECON!$F70=""),"",IF(LECON!$F70="",LECON!$D70,LECON!$F70))</f>
        <v/>
      </c>
      <c r="I70" s="39"/>
      <c r="J70" s="39"/>
      <c r="K70" s="42"/>
      <c r="L70" s="39"/>
      <c r="M70" s="39"/>
      <c r="N70" s="46" t="str">
        <f>IF(OR(A70="",B70="",AND(J70="",L70=""),AND(J70&lt;Datos!$F$3,L70="")),"",IF(J70&gt;=Datos!$F$3,10*B70*J70,10*B70*L70))</f>
        <v/>
      </c>
      <c r="O70" s="44" t="str">
        <f>IF(AND(LECON!$K70="",LECON!$M70=""),"",IF(LECON!$M70="",LECON!$K70,LECON!$M70))</f>
        <v/>
      </c>
      <c r="P70" s="39"/>
      <c r="Q70" s="46" t="str">
        <f t="shared" si="1"/>
        <v/>
      </c>
      <c r="R70" s="44" t="str">
        <f>IF(OR(LECON!$H70="",LECON!$O70=""),"",MAX(LECON!$H70,LECON!$O70))</f>
        <v/>
      </c>
    </row>
    <row r="71" spans="1:18" x14ac:dyDescent="0.25">
      <c r="A71" s="40"/>
      <c r="B71" s="40"/>
      <c r="C71" s="40"/>
      <c r="D71" s="43"/>
      <c r="E71" s="40"/>
      <c r="F71" s="40"/>
      <c r="G71" s="49" t="str">
        <f>IF(OR(A71="",B71="",AND(C71="",E71=""),AND(C71&lt;Datos!$F$2,E71="")),"",IF(C71&gt;=Datos!$F$2,10*B71*C71,10*B71*E71))</f>
        <v/>
      </c>
      <c r="H71" s="45" t="str">
        <f>IF(AND(LECON!$D71="",LECON!$F71=""),"",IF(LECON!$F71="",LECON!$D71,LECON!$F71))</f>
        <v/>
      </c>
      <c r="I71" s="40"/>
      <c r="J71" s="40"/>
      <c r="K71" s="43"/>
      <c r="L71" s="40"/>
      <c r="M71" s="40"/>
      <c r="N71" s="47" t="str">
        <f>IF(OR(A71="",B71="",AND(J71="",L71=""),AND(J71&lt;Datos!$F$3,L71="")),"",IF(J71&gt;=Datos!$F$3,10*B71*J71,10*B71*L71))</f>
        <v/>
      </c>
      <c r="O71" s="45" t="str">
        <f>IF(AND(LECON!$K71="",LECON!$M71=""),"",IF(LECON!$M71="",LECON!$K71,LECON!$M71))</f>
        <v/>
      </c>
      <c r="P71" s="40"/>
      <c r="Q71" s="47" t="str">
        <f t="shared" si="1"/>
        <v/>
      </c>
      <c r="R71" s="45" t="str">
        <f>IF(OR(LECON!$H71="",LECON!$O71=""),"",MAX(LECON!$H71,LECON!$O71))</f>
        <v/>
      </c>
    </row>
    <row r="72" spans="1:18" x14ac:dyDescent="0.25">
      <c r="A72" s="39"/>
      <c r="B72" s="39"/>
      <c r="C72" s="39"/>
      <c r="D72" s="42"/>
      <c r="E72" s="39"/>
      <c r="F72" s="39"/>
      <c r="G72" s="48" t="str">
        <f>IF(OR(A72="",B72="",AND(C72="",E72=""),AND(C72&lt;Datos!$F$2,E72="")),"",IF(C72&gt;=Datos!$F$2,10*B72*C72,10*B72*E72))</f>
        <v/>
      </c>
      <c r="H72" s="44" t="str">
        <f>IF(AND(LECON!$D72="",LECON!$F72=""),"",IF(LECON!$F72="",LECON!$D72,LECON!$F72))</f>
        <v/>
      </c>
      <c r="I72" s="39"/>
      <c r="J72" s="39"/>
      <c r="K72" s="42"/>
      <c r="L72" s="39"/>
      <c r="M72" s="39"/>
      <c r="N72" s="46" t="str">
        <f>IF(OR(A72="",B72="",AND(J72="",L72=""),AND(J72&lt;Datos!$F$3,L72="")),"",IF(J72&gt;=Datos!$F$3,10*B72*J72,10*B72*L72))</f>
        <v/>
      </c>
      <c r="O72" s="44" t="str">
        <f>IF(AND(LECON!$K72="",LECON!$M72=""),"",IF(LECON!$M72="",LECON!$K72,LECON!$M72))</f>
        <v/>
      </c>
      <c r="P72" s="39"/>
      <c r="Q72" s="46" t="str">
        <f t="shared" si="1"/>
        <v/>
      </c>
      <c r="R72" s="44" t="str">
        <f>IF(OR(LECON!$H72="",LECON!$O72=""),"",MAX(LECON!$H72,LECON!$O72))</f>
        <v/>
      </c>
    </row>
    <row r="73" spans="1:18" x14ac:dyDescent="0.25">
      <c r="A73" s="40"/>
      <c r="B73" s="40"/>
      <c r="C73" s="40"/>
      <c r="D73" s="43"/>
      <c r="E73" s="40"/>
      <c r="F73" s="40"/>
      <c r="G73" s="49" t="str">
        <f>IF(OR(A73="",B73="",AND(C73="",E73=""),AND(C73&lt;Datos!$F$2,E73="")),"",IF(C73&gt;=Datos!$F$2,10*B73*C73,10*B73*E73))</f>
        <v/>
      </c>
      <c r="H73" s="45" t="str">
        <f>IF(AND(LECON!$D73="",LECON!$F73=""),"",IF(LECON!$F73="",LECON!$D73,LECON!$F73))</f>
        <v/>
      </c>
      <c r="I73" s="40"/>
      <c r="J73" s="40"/>
      <c r="K73" s="43"/>
      <c r="L73" s="40"/>
      <c r="M73" s="40"/>
      <c r="N73" s="47" t="str">
        <f>IF(OR(A73="",B73="",AND(J73="",L73=""),AND(J73&lt;Datos!$F$3,L73="")),"",IF(J73&gt;=Datos!$F$3,10*B73*J73,10*B73*L73))</f>
        <v/>
      </c>
      <c r="O73" s="45" t="str">
        <f>IF(AND(LECON!$K73="",LECON!$M73=""),"",IF(LECON!$M73="",LECON!$K73,LECON!$M73))</f>
        <v/>
      </c>
      <c r="P73" s="40"/>
      <c r="Q73" s="47" t="str">
        <f t="shared" si="1"/>
        <v/>
      </c>
      <c r="R73" s="45" t="str">
        <f>IF(OR(LECON!$H73="",LECON!$O73=""),"",MAX(LECON!$H73,LECON!$O73))</f>
        <v/>
      </c>
    </row>
    <row r="74" spans="1:18" x14ac:dyDescent="0.25">
      <c r="A74" s="39"/>
      <c r="B74" s="39"/>
      <c r="C74" s="39"/>
      <c r="D74" s="42"/>
      <c r="E74" s="39"/>
      <c r="F74" s="39"/>
      <c r="G74" s="48" t="str">
        <f>IF(OR(A74="",B74="",AND(C74="",E74=""),AND(C74&lt;Datos!$F$2,E74="")),"",IF(C74&gt;=Datos!$F$2,10*B74*C74,10*B74*E74))</f>
        <v/>
      </c>
      <c r="H74" s="44" t="str">
        <f>IF(AND(LECON!$D74="",LECON!$F74=""),"",IF(LECON!$F74="",LECON!$D74,LECON!$F74))</f>
        <v/>
      </c>
      <c r="I74" s="39"/>
      <c r="J74" s="39"/>
      <c r="K74" s="42"/>
      <c r="L74" s="39"/>
      <c r="M74" s="39"/>
      <c r="N74" s="46" t="str">
        <f>IF(OR(A74="",B74="",AND(J74="",L74=""),AND(J74&lt;Datos!$F$3,L74="")),"",IF(J74&gt;=Datos!$F$3,10*B74*J74,10*B74*L74))</f>
        <v/>
      </c>
      <c r="O74" s="44" t="str">
        <f>IF(AND(LECON!$K74="",LECON!$M74=""),"",IF(LECON!$M74="",LECON!$K74,LECON!$M74))</f>
        <v/>
      </c>
      <c r="P74" s="39"/>
      <c r="Q74" s="46" t="str">
        <f t="shared" si="1"/>
        <v/>
      </c>
      <c r="R74" s="44" t="str">
        <f>IF(OR(LECON!$H74="",LECON!$O74=""),"",MAX(LECON!$H74,LECON!$O74))</f>
        <v/>
      </c>
    </row>
    <row r="75" spans="1:18" x14ac:dyDescent="0.25">
      <c r="A75" s="40"/>
      <c r="B75" s="40"/>
      <c r="C75" s="40"/>
      <c r="D75" s="43"/>
      <c r="E75" s="40"/>
      <c r="F75" s="40"/>
      <c r="G75" s="49" t="str">
        <f>IF(OR(A75="",B75="",AND(C75="",E75=""),AND(C75&lt;Datos!$F$2,E75="")),"",IF(C75&gt;=Datos!$F$2,10*B75*C75,10*B75*E75))</f>
        <v/>
      </c>
      <c r="H75" s="45" t="str">
        <f>IF(AND(LECON!$D75="",LECON!$F75=""),"",IF(LECON!$F75="",LECON!$D75,LECON!$F75))</f>
        <v/>
      </c>
      <c r="I75" s="40"/>
      <c r="J75" s="40"/>
      <c r="K75" s="43"/>
      <c r="L75" s="40"/>
      <c r="M75" s="40"/>
      <c r="N75" s="47" t="str">
        <f>IF(OR(A75="",B75="",AND(J75="",L75=""),AND(J75&lt;Datos!$F$3,L75="")),"",IF(J75&gt;=Datos!$F$3,10*B75*J75,10*B75*L75))</f>
        <v/>
      </c>
      <c r="O75" s="45" t="str">
        <f>IF(AND(LECON!$K75="",LECON!$M75=""),"",IF(LECON!$M75="",LECON!$K75,LECON!$M75))</f>
        <v/>
      </c>
      <c r="P75" s="40"/>
      <c r="Q75" s="47" t="str">
        <f t="shared" si="1"/>
        <v/>
      </c>
      <c r="R75" s="45" t="str">
        <f>IF(OR(LECON!$H75="",LECON!$O75=""),"",MAX(LECON!$H75,LECON!$O75))</f>
        <v/>
      </c>
    </row>
    <row r="76" spans="1:18" x14ac:dyDescent="0.25">
      <c r="A76" s="39"/>
      <c r="B76" s="39"/>
      <c r="C76" s="39"/>
      <c r="D76" s="42"/>
      <c r="E76" s="39"/>
      <c r="F76" s="39"/>
      <c r="G76" s="48" t="str">
        <f>IF(OR(A76="",B76="",AND(C76="",E76=""),AND(C76&lt;Datos!$F$2,E76="")),"",IF(C76&gt;=Datos!$F$2,10*B76*C76,10*B76*E76))</f>
        <v/>
      </c>
      <c r="H76" s="44" t="str">
        <f>IF(AND(LECON!$D76="",LECON!$F76=""),"",IF(LECON!$F76="",LECON!$D76,LECON!$F76))</f>
        <v/>
      </c>
      <c r="I76" s="39"/>
      <c r="J76" s="39"/>
      <c r="K76" s="42"/>
      <c r="L76" s="39"/>
      <c r="M76" s="39"/>
      <c r="N76" s="46" t="str">
        <f>IF(OR(A76="",B76="",AND(J76="",L76=""),AND(J76&lt;Datos!$F$3,L76="")),"",IF(J76&gt;=Datos!$F$3,10*B76*J76,10*B76*L76))</f>
        <v/>
      </c>
      <c r="O76" s="44" t="str">
        <f>IF(AND(LECON!$K76="",LECON!$M76=""),"",IF(LECON!$M76="",LECON!$K76,LECON!$M76))</f>
        <v/>
      </c>
      <c r="P76" s="39"/>
      <c r="Q76" s="46" t="str">
        <f t="shared" si="1"/>
        <v/>
      </c>
      <c r="R76" s="44" t="str">
        <f>IF(OR(LECON!$H76="",LECON!$O76=""),"",MAX(LECON!$H76,LECON!$O76))</f>
        <v/>
      </c>
    </row>
    <row r="77" spans="1:18" x14ac:dyDescent="0.25">
      <c r="A77" s="40"/>
      <c r="B77" s="40"/>
      <c r="C77" s="40"/>
      <c r="D77" s="43"/>
      <c r="E77" s="40"/>
      <c r="F77" s="40"/>
      <c r="G77" s="49" t="str">
        <f>IF(OR(A77="",B77="",AND(C77="",E77=""),AND(C77&lt;Datos!$F$2,E77="")),"",IF(C77&gt;=Datos!$F$2,10*B77*C77,10*B77*E77))</f>
        <v/>
      </c>
      <c r="H77" s="45" t="str">
        <f>IF(AND(LECON!$D77="",LECON!$F77=""),"",IF(LECON!$F77="",LECON!$D77,LECON!$F77))</f>
        <v/>
      </c>
      <c r="I77" s="40"/>
      <c r="J77" s="40"/>
      <c r="K77" s="43"/>
      <c r="L77" s="40"/>
      <c r="M77" s="40"/>
      <c r="N77" s="47" t="str">
        <f>IF(OR(A77="",B77="",AND(J77="",L77=""),AND(J77&lt;Datos!$F$3,L77="")),"",IF(J77&gt;=Datos!$F$3,10*B77*J77,10*B77*L77))</f>
        <v/>
      </c>
      <c r="O77" s="45" t="str">
        <f>IF(AND(LECON!$K77="",LECON!$M77=""),"",IF(LECON!$M77="",LECON!$K77,LECON!$M77))</f>
        <v/>
      </c>
      <c r="P77" s="40"/>
      <c r="Q77" s="47" t="str">
        <f t="shared" si="1"/>
        <v/>
      </c>
      <c r="R77" s="45" t="str">
        <f>IF(OR(LECON!$H77="",LECON!$O77=""),"",MAX(LECON!$H77,LECON!$O77))</f>
        <v/>
      </c>
    </row>
    <row r="78" spans="1:18" x14ac:dyDescent="0.25">
      <c r="A78" s="39"/>
      <c r="B78" s="39"/>
      <c r="C78" s="39"/>
      <c r="D78" s="42"/>
      <c r="E78" s="39"/>
      <c r="F78" s="39"/>
      <c r="G78" s="48" t="str">
        <f>IF(OR(A78="",B78="",AND(C78="",E78=""),AND(C78&lt;Datos!$F$2,E78="")),"",IF(C78&gt;=Datos!$F$2,10*B78*C78,10*B78*E78))</f>
        <v/>
      </c>
      <c r="H78" s="44" t="str">
        <f>IF(AND(LECON!$D78="",LECON!$F78=""),"",IF(LECON!$F78="",LECON!$D78,LECON!$F78))</f>
        <v/>
      </c>
      <c r="I78" s="39"/>
      <c r="J78" s="39"/>
      <c r="K78" s="42"/>
      <c r="L78" s="39"/>
      <c r="M78" s="39"/>
      <c r="N78" s="46" t="str">
        <f>IF(OR(A78="",B78="",AND(J78="",L78=""),AND(J78&lt;Datos!$F$3,L78="")),"",IF(J78&gt;=Datos!$F$3,10*B78*J78,10*B78*L78))</f>
        <v/>
      </c>
      <c r="O78" s="44" t="str">
        <f>IF(AND(LECON!$K78="",LECON!$M78=""),"",IF(LECON!$M78="",LECON!$K78,LECON!$M78))</f>
        <v/>
      </c>
      <c r="P78" s="39"/>
      <c r="Q78" s="46" t="str">
        <f t="shared" si="1"/>
        <v/>
      </c>
      <c r="R78" s="44" t="str">
        <f>IF(OR(LECON!$H78="",LECON!$O78=""),"",MAX(LECON!$H78,LECON!$O78))</f>
        <v/>
      </c>
    </row>
    <row r="79" spans="1:18" x14ac:dyDescent="0.25">
      <c r="A79" s="40"/>
      <c r="B79" s="40"/>
      <c r="C79" s="40"/>
      <c r="D79" s="43"/>
      <c r="E79" s="40"/>
      <c r="F79" s="40"/>
      <c r="G79" s="49" t="str">
        <f>IF(OR(A79="",B79="",AND(C79="",E79=""),AND(C79&lt;Datos!$F$2,E79="")),"",IF(C79&gt;=Datos!$F$2,10*B79*C79,10*B79*E79))</f>
        <v/>
      </c>
      <c r="H79" s="45" t="str">
        <f>IF(AND(LECON!$D79="",LECON!$F79=""),"",IF(LECON!$F79="",LECON!$D79,LECON!$F79))</f>
        <v/>
      </c>
      <c r="I79" s="40"/>
      <c r="J79" s="40"/>
      <c r="K79" s="43"/>
      <c r="L79" s="40"/>
      <c r="M79" s="40"/>
      <c r="N79" s="47" t="str">
        <f>IF(OR(A79="",B79="",AND(J79="",L79=""),AND(J79&lt;Datos!$F$3,L79="")),"",IF(J79&gt;=Datos!$F$3,10*B79*J79,10*B79*L79))</f>
        <v/>
      </c>
      <c r="O79" s="45" t="str">
        <f>IF(AND(LECON!$K79="",LECON!$M79=""),"",IF(LECON!$M79="",LECON!$K79,LECON!$M79))</f>
        <v/>
      </c>
      <c r="P79" s="40"/>
      <c r="Q79" s="47" t="str">
        <f t="shared" si="1"/>
        <v/>
      </c>
      <c r="R79" s="45" t="str">
        <f>IF(OR(LECON!$H79="",LECON!$O79=""),"",MAX(LECON!$H79,LECON!$O79))</f>
        <v/>
      </c>
    </row>
    <row r="80" spans="1:18" x14ac:dyDescent="0.25">
      <c r="A80" s="39"/>
      <c r="B80" s="39"/>
      <c r="C80" s="39"/>
      <c r="D80" s="42"/>
      <c r="E80" s="39"/>
      <c r="F80" s="39"/>
      <c r="G80" s="48" t="str">
        <f>IF(OR(A80="",B80="",AND(C80="",E80=""),AND(C80&lt;Datos!$F$2,E80="")),"",IF(C80&gt;=Datos!$F$2,10*B80*C80,10*B80*E80))</f>
        <v/>
      </c>
      <c r="H80" s="44" t="str">
        <f>IF(AND(LECON!$D80="",LECON!$F80=""),"",IF(LECON!$F80="",LECON!$D80,LECON!$F80))</f>
        <v/>
      </c>
      <c r="I80" s="39"/>
      <c r="J80" s="39"/>
      <c r="K80" s="42"/>
      <c r="L80" s="39"/>
      <c r="M80" s="39"/>
      <c r="N80" s="46" t="str">
        <f>IF(OR(A80="",B80="",AND(J80="",L80=""),AND(J80&lt;Datos!$F$3,L80="")),"",IF(J80&gt;=Datos!$F$3,10*B80*J80,10*B80*L80))</f>
        <v/>
      </c>
      <c r="O80" s="44" t="str">
        <f>IF(AND(LECON!$K80="",LECON!$M80=""),"",IF(LECON!$M80="",LECON!$K80,LECON!$M80))</f>
        <v/>
      </c>
      <c r="P80" s="39"/>
      <c r="Q80" s="46" t="str">
        <f t="shared" si="1"/>
        <v/>
      </c>
      <c r="R80" s="44" t="str">
        <f>IF(OR(LECON!$H80="",LECON!$O80=""),"",MAX(LECON!$H80,LECON!$O80))</f>
        <v/>
      </c>
    </row>
    <row r="81" spans="1:18" x14ac:dyDescent="0.25">
      <c r="A81" s="40"/>
      <c r="B81" s="40"/>
      <c r="C81" s="40"/>
      <c r="D81" s="43"/>
      <c r="E81" s="40"/>
      <c r="F81" s="40"/>
      <c r="G81" s="49" t="str">
        <f>IF(OR(A81="",B81="",AND(C81="",E81=""),AND(C81&lt;Datos!$F$2,E81="")),"",IF(C81&gt;=Datos!$F$2,10*B81*C81,10*B81*E81))</f>
        <v/>
      </c>
      <c r="H81" s="45" t="str">
        <f>IF(AND(LECON!$D81="",LECON!$F81=""),"",IF(LECON!$F81="",LECON!$D81,LECON!$F81))</f>
        <v/>
      </c>
      <c r="I81" s="40"/>
      <c r="J81" s="40"/>
      <c r="K81" s="43"/>
      <c r="L81" s="40"/>
      <c r="M81" s="40"/>
      <c r="N81" s="47" t="str">
        <f>IF(OR(A81="",B81="",AND(J81="",L81=""),AND(J81&lt;Datos!$F$3,L81="")),"",IF(J81&gt;=Datos!$F$3,10*B81*J81,10*B81*L81))</f>
        <v/>
      </c>
      <c r="O81" s="45" t="str">
        <f>IF(AND(LECON!$K81="",LECON!$M81=""),"",IF(LECON!$M81="",LECON!$K81,LECON!$M81))</f>
        <v/>
      </c>
      <c r="P81" s="40"/>
      <c r="Q81" s="47" t="str">
        <f t="shared" si="1"/>
        <v/>
      </c>
      <c r="R81" s="45" t="str">
        <f>IF(OR(LECON!$H81="",LECON!$O81=""),"",MAX(LECON!$H81,LECON!$O81))</f>
        <v/>
      </c>
    </row>
    <row r="82" spans="1:18" x14ac:dyDescent="0.25">
      <c r="A82" s="39"/>
      <c r="B82" s="39"/>
      <c r="C82" s="39"/>
      <c r="D82" s="42"/>
      <c r="E82" s="39"/>
      <c r="F82" s="39"/>
      <c r="G82" s="48" t="str">
        <f>IF(OR(A82="",B82="",AND(C82="",E82=""),AND(C82&lt;Datos!$F$2,E82="")),"",IF(C82&gt;=Datos!$F$2,10*B82*C82,10*B82*E82))</f>
        <v/>
      </c>
      <c r="H82" s="44" t="str">
        <f>IF(AND(LECON!$D82="",LECON!$F82=""),"",IF(LECON!$F82="",LECON!$D82,LECON!$F82))</f>
        <v/>
      </c>
      <c r="I82" s="39"/>
      <c r="J82" s="39"/>
      <c r="K82" s="42"/>
      <c r="L82" s="39"/>
      <c r="M82" s="39"/>
      <c r="N82" s="46" t="str">
        <f>IF(OR(A82="",B82="",AND(J82="",L82=""),AND(J82&lt;Datos!$F$3,L82="")),"",IF(J82&gt;=Datos!$F$3,10*B82*J82,10*B82*L82))</f>
        <v/>
      </c>
      <c r="O82" s="44" t="str">
        <f>IF(AND(LECON!$K82="",LECON!$M82=""),"",IF(LECON!$M82="",LECON!$K82,LECON!$M82))</f>
        <v/>
      </c>
      <c r="P82" s="39"/>
      <c r="Q82" s="46" t="str">
        <f t="shared" si="1"/>
        <v/>
      </c>
      <c r="R82" s="44" t="str">
        <f>IF(OR(LECON!$H82="",LECON!$O82=""),"",MAX(LECON!$H82,LECON!$O82))</f>
        <v/>
      </c>
    </row>
    <row r="83" spans="1:18" x14ac:dyDescent="0.25">
      <c r="A83" s="40"/>
      <c r="B83" s="40"/>
      <c r="C83" s="40"/>
      <c r="D83" s="43"/>
      <c r="E83" s="40"/>
      <c r="F83" s="40"/>
      <c r="G83" s="49" t="str">
        <f>IF(OR(A83="",B83="",AND(C83="",E83=""),AND(C83&lt;Datos!$F$2,E83="")),"",IF(C83&gt;=Datos!$F$2,10*B83*C83,10*B83*E83))</f>
        <v/>
      </c>
      <c r="H83" s="45" t="str">
        <f>IF(AND(LECON!$D83="",LECON!$F83=""),"",IF(LECON!$F83="",LECON!$D83,LECON!$F83))</f>
        <v/>
      </c>
      <c r="I83" s="40"/>
      <c r="J83" s="40"/>
      <c r="K83" s="43"/>
      <c r="L83" s="40"/>
      <c r="M83" s="40"/>
      <c r="N83" s="47" t="str">
        <f>IF(OR(A83="",B83="",AND(J83="",L83=""),AND(J83&lt;Datos!$F$3,L83="")),"",IF(J83&gt;=Datos!$F$3,10*B83*J83,10*B83*L83))</f>
        <v/>
      </c>
      <c r="O83" s="45" t="str">
        <f>IF(AND(LECON!$K83="",LECON!$M83=""),"",IF(LECON!$M83="",LECON!$K83,LECON!$M83))</f>
        <v/>
      </c>
      <c r="P83" s="40"/>
      <c r="Q83" s="47" t="str">
        <f t="shared" si="1"/>
        <v/>
      </c>
      <c r="R83" s="45" t="str">
        <f>IF(OR(LECON!$H83="",LECON!$O83=""),"",MAX(LECON!$H83,LECON!$O83))</f>
        <v/>
      </c>
    </row>
    <row r="84" spans="1:18" x14ac:dyDescent="0.25">
      <c r="A84" s="39"/>
      <c r="B84" s="39"/>
      <c r="C84" s="39"/>
      <c r="D84" s="42"/>
      <c r="E84" s="39"/>
      <c r="F84" s="39"/>
      <c r="G84" s="48" t="str">
        <f>IF(OR(A84="",B84="",AND(C84="",E84=""),AND(C84&lt;Datos!$F$2,E84="")),"",IF(C84&gt;=Datos!$F$2,10*B84*C84,10*B84*E84))</f>
        <v/>
      </c>
      <c r="H84" s="44" t="str">
        <f>IF(AND(LECON!$D84="",LECON!$F84=""),"",IF(LECON!$F84="",LECON!$D84,LECON!$F84))</f>
        <v/>
      </c>
      <c r="I84" s="39"/>
      <c r="J84" s="39"/>
      <c r="K84" s="42"/>
      <c r="L84" s="39"/>
      <c r="M84" s="39"/>
      <c r="N84" s="46" t="str">
        <f>IF(OR(A84="",B84="",AND(J84="",L84=""),AND(J84&lt;Datos!$F$3,L84="")),"",IF(J84&gt;=Datos!$F$3,10*B84*J84,10*B84*L84))</f>
        <v/>
      </c>
      <c r="O84" s="44" t="str">
        <f>IF(AND(LECON!$K84="",LECON!$M84=""),"",IF(LECON!$M84="",LECON!$K84,LECON!$M84))</f>
        <v/>
      </c>
      <c r="P84" s="39"/>
      <c r="Q84" s="46" t="str">
        <f t="shared" si="1"/>
        <v/>
      </c>
      <c r="R84" s="44" t="str">
        <f>IF(OR(LECON!$H84="",LECON!$O84=""),"",MAX(LECON!$H84,LECON!$O84))</f>
        <v/>
      </c>
    </row>
    <row r="85" spans="1:18" x14ac:dyDescent="0.25">
      <c r="A85" s="40"/>
      <c r="B85" s="40"/>
      <c r="C85" s="40"/>
      <c r="D85" s="43"/>
      <c r="E85" s="40"/>
      <c r="F85" s="40"/>
      <c r="G85" s="49" t="str">
        <f>IF(OR(A85="",B85="",AND(C85="",E85=""),AND(C85&lt;Datos!$F$2,E85="")),"",IF(C85&gt;=Datos!$F$2,10*B85*C85,10*B85*E85))</f>
        <v/>
      </c>
      <c r="H85" s="45" t="str">
        <f>IF(AND(LECON!$D85="",LECON!$F85=""),"",IF(LECON!$F85="",LECON!$D85,LECON!$F85))</f>
        <v/>
      </c>
      <c r="I85" s="40"/>
      <c r="J85" s="40"/>
      <c r="K85" s="43"/>
      <c r="L85" s="40"/>
      <c r="M85" s="40"/>
      <c r="N85" s="47" t="str">
        <f>IF(OR(A85="",B85="",AND(J85="",L85=""),AND(J85&lt;Datos!$F$3,L85="")),"",IF(J85&gt;=Datos!$F$3,10*B85*J85,10*B85*L85))</f>
        <v/>
      </c>
      <c r="O85" s="45" t="str">
        <f>IF(AND(LECON!$K85="",LECON!$M85=""),"",IF(LECON!$M85="",LECON!$K85,LECON!$M85))</f>
        <v/>
      </c>
      <c r="P85" s="40"/>
      <c r="Q85" s="47" t="str">
        <f t="shared" si="1"/>
        <v/>
      </c>
      <c r="R85" s="45" t="str">
        <f>IF(OR(LECON!$H85="",LECON!$O85=""),"",MAX(LECON!$H85,LECON!$O85))</f>
        <v/>
      </c>
    </row>
    <row r="86" spans="1:18" x14ac:dyDescent="0.25">
      <c r="A86" s="39"/>
      <c r="B86" s="39"/>
      <c r="C86" s="39"/>
      <c r="D86" s="42"/>
      <c r="E86" s="39"/>
      <c r="F86" s="39"/>
      <c r="G86" s="48" t="str">
        <f>IF(OR(A86="",B86="",AND(C86="",E86=""),AND(C86&lt;Datos!$F$2,E86="")),"",IF(C86&gt;=Datos!$F$2,10*B86*C86,10*B86*E86))</f>
        <v/>
      </c>
      <c r="H86" s="44" t="str">
        <f>IF(AND(LECON!$D86="",LECON!$F86=""),"",IF(LECON!$F86="",LECON!$D86,LECON!$F86))</f>
        <v/>
      </c>
      <c r="I86" s="39"/>
      <c r="J86" s="39"/>
      <c r="K86" s="42"/>
      <c r="L86" s="39"/>
      <c r="M86" s="39"/>
      <c r="N86" s="46" t="str">
        <f>IF(OR(A86="",B86="",AND(J86="",L86=""),AND(J86&lt;Datos!$F$3,L86="")),"",IF(J86&gt;=Datos!$F$3,10*B86*J86,10*B86*L86))</f>
        <v/>
      </c>
      <c r="O86" s="44" t="str">
        <f>IF(AND(LECON!$K86="",LECON!$M86=""),"",IF(LECON!$M86="",LECON!$K86,LECON!$M86))</f>
        <v/>
      </c>
      <c r="P86" s="39"/>
      <c r="Q86" s="46" t="str">
        <f t="shared" si="1"/>
        <v/>
      </c>
      <c r="R86" s="44" t="str">
        <f>IF(OR(LECON!$H86="",LECON!$O86=""),"",MAX(LECON!$H86,LECON!$O86))</f>
        <v/>
      </c>
    </row>
    <row r="87" spans="1:18" x14ac:dyDescent="0.25">
      <c r="A87" s="40"/>
      <c r="B87" s="40"/>
      <c r="C87" s="40"/>
      <c r="D87" s="43"/>
      <c r="E87" s="40"/>
      <c r="F87" s="40"/>
      <c r="G87" s="49" t="str">
        <f>IF(OR(A87="",B87="",AND(C87="",E87=""),AND(C87&lt;Datos!$F$2,E87="")),"",IF(C87&gt;=Datos!$F$2,10*B87*C87,10*B87*E87))</f>
        <v/>
      </c>
      <c r="H87" s="45" t="str">
        <f>IF(AND(LECON!$D87="",LECON!$F87=""),"",IF(LECON!$F87="",LECON!$D87,LECON!$F87))</f>
        <v/>
      </c>
      <c r="I87" s="40"/>
      <c r="J87" s="40"/>
      <c r="K87" s="43"/>
      <c r="L87" s="40"/>
      <c r="M87" s="40"/>
      <c r="N87" s="47" t="str">
        <f>IF(OR(A87="",B87="",AND(J87="",L87=""),AND(J87&lt;Datos!$F$3,L87="")),"",IF(J87&gt;=Datos!$F$3,10*B87*J87,10*B87*L87))</f>
        <v/>
      </c>
      <c r="O87" s="45" t="str">
        <f>IF(AND(LECON!$K87="",LECON!$M87=""),"",IF(LECON!$M87="",LECON!$K87,LECON!$M87))</f>
        <v/>
      </c>
      <c r="P87" s="40"/>
      <c r="Q87" s="47" t="str">
        <f t="shared" si="1"/>
        <v/>
      </c>
      <c r="R87" s="45" t="str">
        <f>IF(OR(LECON!$H87="",LECON!$O87=""),"",MAX(LECON!$H87,LECON!$O87))</f>
        <v/>
      </c>
    </row>
    <row r="88" spans="1:18" x14ac:dyDescent="0.25">
      <c r="A88" s="39"/>
      <c r="B88" s="39"/>
      <c r="C88" s="39"/>
      <c r="D88" s="42"/>
      <c r="E88" s="39"/>
      <c r="F88" s="39"/>
      <c r="G88" s="48" t="str">
        <f>IF(OR(A88="",B88="",AND(C88="",E88=""),AND(C88&lt;Datos!$F$2,E88="")),"",IF(C88&gt;=Datos!$F$2,10*B88*C88,10*B88*E88))</f>
        <v/>
      </c>
      <c r="H88" s="44" t="str">
        <f>IF(AND(LECON!$D88="",LECON!$F88=""),"",IF(LECON!$F88="",LECON!$D88,LECON!$F88))</f>
        <v/>
      </c>
      <c r="I88" s="39"/>
      <c r="J88" s="39"/>
      <c r="K88" s="42"/>
      <c r="L88" s="39"/>
      <c r="M88" s="39"/>
      <c r="N88" s="46" t="str">
        <f>IF(OR(A88="",B88="",AND(J88="",L88=""),AND(J88&lt;Datos!$F$3,L88="")),"",IF(J88&gt;=Datos!$F$3,10*B88*J88,10*B88*L88))</f>
        <v/>
      </c>
      <c r="O88" s="44" t="str">
        <f>IF(AND(LECON!$K88="",LECON!$M88=""),"",IF(LECON!$M88="",LECON!$K88,LECON!$M88))</f>
        <v/>
      </c>
      <c r="P88" s="39"/>
      <c r="Q88" s="46" t="str">
        <f t="shared" si="1"/>
        <v/>
      </c>
      <c r="R88" s="44" t="str">
        <f>IF(OR(LECON!$H88="",LECON!$O88=""),"",MAX(LECON!$H88,LECON!$O88))</f>
        <v/>
      </c>
    </row>
    <row r="89" spans="1:18" x14ac:dyDescent="0.25">
      <c r="A89" s="40"/>
      <c r="B89" s="40"/>
      <c r="C89" s="40"/>
      <c r="D89" s="43"/>
      <c r="E89" s="40"/>
      <c r="F89" s="40"/>
      <c r="G89" s="49" t="str">
        <f>IF(OR(A89="",B89="",AND(C89="",E89=""),AND(C89&lt;Datos!$F$2,E89="")),"",IF(C89&gt;=Datos!$F$2,10*B89*C89,10*B89*E89))</f>
        <v/>
      </c>
      <c r="H89" s="45" t="str">
        <f>IF(AND(LECON!$D89="",LECON!$F89=""),"",IF(LECON!$F89="",LECON!$D89,LECON!$F89))</f>
        <v/>
      </c>
      <c r="I89" s="40"/>
      <c r="J89" s="40"/>
      <c r="K89" s="43"/>
      <c r="L89" s="40"/>
      <c r="M89" s="40"/>
      <c r="N89" s="47" t="str">
        <f>IF(OR(A89="",B89="",AND(J89="",L89=""),AND(J89&lt;Datos!$F$3,L89="")),"",IF(J89&gt;=Datos!$F$3,10*B89*J89,10*B89*L89))</f>
        <v/>
      </c>
      <c r="O89" s="45" t="str">
        <f>IF(AND(LECON!$K89="",LECON!$M89=""),"",IF(LECON!$M89="",LECON!$K89,LECON!$M89))</f>
        <v/>
      </c>
      <c r="P89" s="40"/>
      <c r="Q89" s="47" t="str">
        <f t="shared" si="1"/>
        <v/>
      </c>
      <c r="R89" s="45" t="str">
        <f>IF(OR(LECON!$H89="",LECON!$O89=""),"",MAX(LECON!$H89,LECON!$O89))</f>
        <v/>
      </c>
    </row>
    <row r="90" spans="1:18" x14ac:dyDescent="0.25">
      <c r="A90" s="39"/>
      <c r="B90" s="39"/>
      <c r="C90" s="39"/>
      <c r="D90" s="42"/>
      <c r="E90" s="39"/>
      <c r="F90" s="39"/>
      <c r="G90" s="48" t="str">
        <f>IF(OR(A90="",B90="",AND(C90="",E90=""),AND(C90&lt;Datos!$F$2,E90="")),"",IF(C90&gt;=Datos!$F$2,10*B90*C90,10*B90*E90))</f>
        <v/>
      </c>
      <c r="H90" s="44" t="str">
        <f>IF(AND(LECON!$D90="",LECON!$F90=""),"",IF(LECON!$F90="",LECON!$D90,LECON!$F90))</f>
        <v/>
      </c>
      <c r="I90" s="39"/>
      <c r="J90" s="39"/>
      <c r="K90" s="42"/>
      <c r="L90" s="39"/>
      <c r="M90" s="39"/>
      <c r="N90" s="46" t="str">
        <f>IF(OR(A90="",B90="",AND(J90="",L90=""),AND(J90&lt;Datos!$F$3,L90="")),"",IF(J90&gt;=Datos!$F$3,10*B90*J90,10*B90*L90))</f>
        <v/>
      </c>
      <c r="O90" s="44" t="str">
        <f>IF(AND(LECON!$K90="",LECON!$M90=""),"",IF(LECON!$M90="",LECON!$K90,LECON!$M90))</f>
        <v/>
      </c>
      <c r="P90" s="39"/>
      <c r="Q90" s="46" t="str">
        <f t="shared" si="1"/>
        <v/>
      </c>
      <c r="R90" s="44" t="str">
        <f>IF(OR(LECON!$H90="",LECON!$O90=""),"",MAX(LECON!$H90,LECON!$O90))</f>
        <v/>
      </c>
    </row>
    <row r="91" spans="1:18" x14ac:dyDescent="0.25">
      <c r="A91" s="40"/>
      <c r="B91" s="40"/>
      <c r="C91" s="40"/>
      <c r="D91" s="43"/>
      <c r="E91" s="40"/>
      <c r="F91" s="40"/>
      <c r="G91" s="49" t="str">
        <f>IF(OR(A91="",B91="",AND(C91="",E91=""),AND(C91&lt;Datos!$F$2,E91="")),"",IF(C91&gt;=Datos!$F$2,10*B91*C91,10*B91*E91))</f>
        <v/>
      </c>
      <c r="H91" s="45" t="str">
        <f>IF(AND(LECON!$D91="",LECON!$F91=""),"",IF(LECON!$F91="",LECON!$D91,LECON!$F91))</f>
        <v/>
      </c>
      <c r="I91" s="40"/>
      <c r="J91" s="40"/>
      <c r="K91" s="43"/>
      <c r="L91" s="40"/>
      <c r="M91" s="40"/>
      <c r="N91" s="47" t="str">
        <f>IF(OR(A91="",B91="",AND(J91="",L91=""),AND(J91&lt;Datos!$F$3,L91="")),"",IF(J91&gt;=Datos!$F$3,10*B91*J91,10*B91*L91))</f>
        <v/>
      </c>
      <c r="O91" s="45" t="str">
        <f>IF(AND(LECON!$K91="",LECON!$M91=""),"",IF(LECON!$M91="",LECON!$K91,LECON!$M91))</f>
        <v/>
      </c>
      <c r="P91" s="40"/>
      <c r="Q91" s="47" t="str">
        <f t="shared" si="1"/>
        <v/>
      </c>
      <c r="R91" s="45" t="str">
        <f>IF(OR(LECON!$H91="",LECON!$O91=""),"",MAX(LECON!$H91,LECON!$O91))</f>
        <v/>
      </c>
    </row>
    <row r="92" spans="1:18" x14ac:dyDescent="0.25">
      <c r="A92" s="39"/>
      <c r="B92" s="39"/>
      <c r="C92" s="39"/>
      <c r="D92" s="42"/>
      <c r="E92" s="39"/>
      <c r="F92" s="39"/>
      <c r="G92" s="48" t="str">
        <f>IF(OR(A92="",B92="",AND(C92="",E92=""),AND(C92&lt;Datos!$F$2,E92="")),"",IF(C92&gt;=Datos!$F$2,10*B92*C92,10*B92*E92))</f>
        <v/>
      </c>
      <c r="H92" s="44" t="str">
        <f>IF(AND(LECON!$D92="",LECON!$F92=""),"",IF(LECON!$F92="",LECON!$D92,LECON!$F92))</f>
        <v/>
      </c>
      <c r="I92" s="39"/>
      <c r="J92" s="39"/>
      <c r="K92" s="42"/>
      <c r="L92" s="39"/>
      <c r="M92" s="39"/>
      <c r="N92" s="46" t="str">
        <f>IF(OR(A92="",B92="",AND(J92="",L92=""),AND(J92&lt;Datos!$F$3,L92="")),"",IF(J92&gt;=Datos!$F$3,10*B92*J92,10*B92*L92))</f>
        <v/>
      </c>
      <c r="O92" s="44" t="str">
        <f>IF(AND(LECON!$K92="",LECON!$M92=""),"",IF(LECON!$M92="",LECON!$K92,LECON!$M92))</f>
        <v/>
      </c>
      <c r="P92" s="39"/>
      <c r="Q92" s="46" t="str">
        <f t="shared" si="1"/>
        <v/>
      </c>
      <c r="R92" s="44" t="str">
        <f>IF(OR(LECON!$H92="",LECON!$O92=""),"",MAX(LECON!$H92,LECON!$O92))</f>
        <v/>
      </c>
    </row>
    <row r="93" spans="1:18" x14ac:dyDescent="0.25">
      <c r="A93" s="40"/>
      <c r="B93" s="40"/>
      <c r="C93" s="40"/>
      <c r="D93" s="43"/>
      <c r="E93" s="40"/>
      <c r="F93" s="40"/>
      <c r="G93" s="49" t="str">
        <f>IF(OR(A93="",B93="",AND(C93="",E93=""),AND(C93&lt;Datos!$F$2,E93="")),"",IF(C93&gt;=Datos!$F$2,10*B93*C93,10*B93*E93))</f>
        <v/>
      </c>
      <c r="H93" s="45" t="str">
        <f>IF(AND(LECON!$D93="",LECON!$F93=""),"",IF(LECON!$F93="",LECON!$D93,LECON!$F93))</f>
        <v/>
      </c>
      <c r="I93" s="40"/>
      <c r="J93" s="40"/>
      <c r="K93" s="43"/>
      <c r="L93" s="40"/>
      <c r="M93" s="40"/>
      <c r="N93" s="47" t="str">
        <f>IF(OR(A93="",B93="",AND(J93="",L93=""),AND(J93&lt;Datos!$F$3,L93="")),"",IF(J93&gt;=Datos!$F$3,10*B93*J93,10*B93*L93))</f>
        <v/>
      </c>
      <c r="O93" s="45" t="str">
        <f>IF(AND(LECON!$K93="",LECON!$M93=""),"",IF(LECON!$M93="",LECON!$K93,LECON!$M93))</f>
        <v/>
      </c>
      <c r="P93" s="40"/>
      <c r="Q93" s="47" t="str">
        <f t="shared" si="1"/>
        <v/>
      </c>
      <c r="R93" s="45" t="str">
        <f>IF(OR(LECON!$H93="",LECON!$O93=""),"",MAX(LECON!$H93,LECON!$O93))</f>
        <v/>
      </c>
    </row>
    <row r="94" spans="1:18" x14ac:dyDescent="0.25">
      <c r="A94" s="39"/>
      <c r="B94" s="39"/>
      <c r="C94" s="39"/>
      <c r="D94" s="42"/>
      <c r="E94" s="39"/>
      <c r="F94" s="39"/>
      <c r="G94" s="48" t="str">
        <f>IF(OR(A94="",B94="",AND(C94="",E94=""),AND(C94&lt;Datos!$F$2,E94="")),"",IF(C94&gt;=Datos!$F$2,10*B94*C94,10*B94*E94))</f>
        <v/>
      </c>
      <c r="H94" s="44" t="str">
        <f>IF(AND(LECON!$D94="",LECON!$F94=""),"",IF(LECON!$F94="",LECON!$D94,LECON!$F94))</f>
        <v/>
      </c>
      <c r="I94" s="39"/>
      <c r="J94" s="39"/>
      <c r="K94" s="42"/>
      <c r="L94" s="39"/>
      <c r="M94" s="39"/>
      <c r="N94" s="46" t="str">
        <f>IF(OR(A94="",B94="",AND(J94="",L94=""),AND(J94&lt;Datos!$F$3,L94="")),"",IF(J94&gt;=Datos!$F$3,10*B94*J94,10*B94*L94))</f>
        <v/>
      </c>
      <c r="O94" s="44" t="str">
        <f>IF(AND(LECON!$K94="",LECON!$M94=""),"",IF(LECON!$M94="",LECON!$K94,LECON!$M94))</f>
        <v/>
      </c>
      <c r="P94" s="39"/>
      <c r="Q94" s="46" t="str">
        <f t="shared" si="1"/>
        <v/>
      </c>
      <c r="R94" s="44" t="str">
        <f>IF(OR(LECON!$H94="",LECON!$O94=""),"",MAX(LECON!$H94,LECON!$O94))</f>
        <v/>
      </c>
    </row>
    <row r="95" spans="1:18" x14ac:dyDescent="0.25">
      <c r="A95" s="40"/>
      <c r="B95" s="40"/>
      <c r="C95" s="40"/>
      <c r="D95" s="43"/>
      <c r="E95" s="40"/>
      <c r="F95" s="40"/>
      <c r="G95" s="49" t="str">
        <f>IF(OR(A95="",B95="",AND(C95="",E95=""),AND(C95&lt;Datos!$F$2,E95="")),"",IF(C95&gt;=Datos!$F$2,10*B95*C95,10*B95*E95))</f>
        <v/>
      </c>
      <c r="H95" s="45" t="str">
        <f>IF(AND(LECON!$D95="",LECON!$F95=""),"",IF(LECON!$F95="",LECON!$D95,LECON!$F95))</f>
        <v/>
      </c>
      <c r="I95" s="40"/>
      <c r="J95" s="40"/>
      <c r="K95" s="43"/>
      <c r="L95" s="40"/>
      <c r="M95" s="40"/>
      <c r="N95" s="47" t="str">
        <f>IF(OR(A95="",B95="",AND(J95="",L95=""),AND(J95&lt;Datos!$F$3,L95="")),"",IF(J95&gt;=Datos!$F$3,10*B95*J95,10*B95*L95))</f>
        <v/>
      </c>
      <c r="O95" s="45" t="str">
        <f>IF(AND(LECON!$K95="",LECON!$M95=""),"",IF(LECON!$M95="",LECON!$K95,LECON!$M95))</f>
        <v/>
      </c>
      <c r="P95" s="40"/>
      <c r="Q95" s="47" t="str">
        <f t="shared" si="1"/>
        <v/>
      </c>
      <c r="R95" s="45" t="str">
        <f>IF(OR(LECON!$H95="",LECON!$O95=""),"",MAX(LECON!$H95,LECON!$O95))</f>
        <v/>
      </c>
    </row>
    <row r="96" spans="1:18" x14ac:dyDescent="0.25">
      <c r="A96" s="39"/>
      <c r="B96" s="39"/>
      <c r="C96" s="39"/>
      <c r="D96" s="42"/>
      <c r="E96" s="39"/>
      <c r="F96" s="39"/>
      <c r="G96" s="48" t="str">
        <f>IF(OR(A96="",B96="",AND(C96="",E96=""),AND(C96&lt;Datos!$F$2,E96="")),"",IF(C96&gt;=Datos!$F$2,10*B96*C96,10*B96*E96))</f>
        <v/>
      </c>
      <c r="H96" s="44" t="str">
        <f>IF(AND(LECON!$D96="",LECON!$F96=""),"",IF(LECON!$F96="",LECON!$D96,LECON!$F96))</f>
        <v/>
      </c>
      <c r="I96" s="39"/>
      <c r="J96" s="39"/>
      <c r="K96" s="42"/>
      <c r="L96" s="39"/>
      <c r="M96" s="39"/>
      <c r="N96" s="46" t="str">
        <f>IF(OR(A96="",B96="",AND(J96="",L96=""),AND(J96&lt;Datos!$F$3,L96="")),"",IF(J96&gt;=Datos!$F$3,10*B96*J96,10*B96*L96))</f>
        <v/>
      </c>
      <c r="O96" s="44" t="str">
        <f>IF(AND(LECON!$K96="",LECON!$M96=""),"",IF(LECON!$M96="",LECON!$K96,LECON!$M96))</f>
        <v/>
      </c>
      <c r="P96" s="39"/>
      <c r="Q96" s="46" t="str">
        <f t="shared" si="1"/>
        <v/>
      </c>
      <c r="R96" s="44" t="str">
        <f>IF(OR(LECON!$H96="",LECON!$O96=""),"",MAX(LECON!$H96,LECON!$O96))</f>
        <v/>
      </c>
    </row>
    <row r="97" spans="1:18" x14ac:dyDescent="0.25">
      <c r="A97" s="40"/>
      <c r="B97" s="40"/>
      <c r="C97" s="40"/>
      <c r="D97" s="43"/>
      <c r="E97" s="40"/>
      <c r="F97" s="40"/>
      <c r="G97" s="49" t="str">
        <f>IF(OR(A97="",B97="",AND(C97="",E97=""),AND(C97&lt;Datos!$F$2,E97="")),"",IF(C97&gt;=Datos!$F$2,10*B97*C97,10*B97*E97))</f>
        <v/>
      </c>
      <c r="H97" s="45" t="str">
        <f>IF(AND(LECON!$D97="",LECON!$F97=""),"",IF(LECON!$F97="",LECON!$D97,LECON!$F97))</f>
        <v/>
      </c>
      <c r="I97" s="40"/>
      <c r="J97" s="40"/>
      <c r="K97" s="43"/>
      <c r="L97" s="40"/>
      <c r="M97" s="40"/>
      <c r="N97" s="47" t="str">
        <f>IF(OR(A97="",B97="",AND(J97="",L97=""),AND(J97&lt;Datos!$F$3,L97="")),"",IF(J97&gt;=Datos!$F$3,10*B97*J97,10*B97*L97))</f>
        <v/>
      </c>
      <c r="O97" s="45" t="str">
        <f>IF(AND(LECON!$K97="",LECON!$M97=""),"",IF(LECON!$M97="",LECON!$K97,LECON!$M97))</f>
        <v/>
      </c>
      <c r="P97" s="40"/>
      <c r="Q97" s="47" t="str">
        <f t="shared" si="1"/>
        <v/>
      </c>
      <c r="R97" s="45" t="str">
        <f>IF(OR(LECON!$H97="",LECON!$O97=""),"",MAX(LECON!$H97,LECON!$O97))</f>
        <v/>
      </c>
    </row>
    <row r="98" spans="1:18" x14ac:dyDescent="0.25">
      <c r="A98" s="39"/>
      <c r="B98" s="39"/>
      <c r="C98" s="39"/>
      <c r="D98" s="42"/>
      <c r="E98" s="39"/>
      <c r="F98" s="39"/>
      <c r="G98" s="48" t="str">
        <f>IF(OR(A98="",B98="",AND(C98="",E98=""),AND(C98&lt;Datos!$F$2,E98="")),"",IF(C98&gt;=Datos!$F$2,10*B98*C98,10*B98*E98))</f>
        <v/>
      </c>
      <c r="H98" s="44" t="str">
        <f>IF(AND(LECON!$D98="",LECON!$F98=""),"",IF(LECON!$F98="",LECON!$D98,LECON!$F98))</f>
        <v/>
      </c>
      <c r="I98" s="39"/>
      <c r="J98" s="39"/>
      <c r="K98" s="42"/>
      <c r="L98" s="39"/>
      <c r="M98" s="39"/>
      <c r="N98" s="46" t="str">
        <f>IF(OR(A98="",B98="",AND(J98="",L98=""),AND(J98&lt;Datos!$F$3,L98="")),"",IF(J98&gt;=Datos!$F$3,10*B98*J98,10*B98*L98))</f>
        <v/>
      </c>
      <c r="O98" s="44" t="str">
        <f>IF(AND(LECON!$K98="",LECON!$M98=""),"",IF(LECON!$M98="",LECON!$K98,LECON!$M98))</f>
        <v/>
      </c>
      <c r="P98" s="39"/>
      <c r="Q98" s="46" t="str">
        <f t="shared" si="1"/>
        <v/>
      </c>
      <c r="R98" s="44" t="str">
        <f>IF(OR(LECON!$H98="",LECON!$O98=""),"",MAX(LECON!$H98,LECON!$O98))</f>
        <v/>
      </c>
    </row>
    <row r="99" spans="1:18" x14ac:dyDescent="0.25">
      <c r="A99" s="40"/>
      <c r="B99" s="40"/>
      <c r="C99" s="40"/>
      <c r="D99" s="43"/>
      <c r="E99" s="40"/>
      <c r="F99" s="40"/>
      <c r="G99" s="49" t="str">
        <f>IF(OR(A99="",B99="",AND(C99="",E99=""),AND(C99&lt;Datos!$F$2,E99="")),"",IF(C99&gt;=Datos!$F$2,10*B99*C99,10*B99*E99))</f>
        <v/>
      </c>
      <c r="H99" s="45" t="str">
        <f>IF(AND(LECON!$D99="",LECON!$F99=""),"",IF(LECON!$F99="",LECON!$D99,LECON!$F99))</f>
        <v/>
      </c>
      <c r="I99" s="40"/>
      <c r="J99" s="40"/>
      <c r="K99" s="43"/>
      <c r="L99" s="40"/>
      <c r="M99" s="40"/>
      <c r="N99" s="47" t="str">
        <f>IF(OR(A99="",B99="",AND(J99="",L99=""),AND(J99&lt;Datos!$F$3,L99="")),"",IF(J99&gt;=Datos!$F$3,10*B99*J99,10*B99*L99))</f>
        <v/>
      </c>
      <c r="O99" s="45" t="str">
        <f>IF(AND(LECON!$K99="",LECON!$M99=""),"",IF(LECON!$M99="",LECON!$K99,LECON!$M99))</f>
        <v/>
      </c>
      <c r="P99" s="40"/>
      <c r="Q99" s="47" t="str">
        <f t="shared" si="1"/>
        <v/>
      </c>
      <c r="R99" s="45" t="str">
        <f>IF(OR(LECON!$H99="",LECON!$O99=""),"",MAX(LECON!$H99,LECON!$O99))</f>
        <v/>
      </c>
    </row>
    <row r="100" spans="1:18" x14ac:dyDescent="0.25">
      <c r="A100" s="39"/>
      <c r="B100" s="39"/>
      <c r="C100" s="39"/>
      <c r="D100" s="42"/>
      <c r="E100" s="39"/>
      <c r="F100" s="39"/>
      <c r="G100" s="48" t="str">
        <f>IF(OR(A100="",B100="",AND(C100="",E100=""),AND(C100&lt;Datos!$F$2,E100="")),"",IF(C100&gt;=Datos!$F$2,10*B100*C100,10*B100*E100))</f>
        <v/>
      </c>
      <c r="H100" s="44" t="str">
        <f>IF(AND(LECON!$D100="",LECON!$F100=""),"",IF(LECON!$F100="",LECON!$D100,LECON!$F100))</f>
        <v/>
      </c>
      <c r="I100" s="39"/>
      <c r="J100" s="39"/>
      <c r="K100" s="42"/>
      <c r="L100" s="39"/>
      <c r="M100" s="39"/>
      <c r="N100" s="46" t="str">
        <f>IF(OR(A100="",B100="",AND(J100="",L100=""),AND(J100&lt;Datos!$F$3,L100="")),"",IF(J100&gt;=Datos!$F$3,10*B100*J100,10*B100*L100))</f>
        <v/>
      </c>
      <c r="O100" s="44" t="str">
        <f>IF(AND(LECON!$K100="",LECON!$M100=""),"",IF(LECON!$M100="",LECON!$K100,LECON!$M100))</f>
        <v/>
      </c>
      <c r="P100" s="39"/>
      <c r="Q100" s="46" t="str">
        <f t="shared" si="1"/>
        <v/>
      </c>
      <c r="R100" s="44" t="str">
        <f>IF(OR(LECON!$H100="",LECON!$O100=""),"",MAX(LECON!$H100,LECON!$O100))</f>
        <v/>
      </c>
    </row>
    <row r="101" spans="1:18" x14ac:dyDescent="0.25">
      <c r="A101" s="40"/>
      <c r="B101" s="40"/>
      <c r="C101" s="40"/>
      <c r="D101" s="43"/>
      <c r="E101" s="40"/>
      <c r="F101" s="40"/>
      <c r="G101" s="49" t="str">
        <f>IF(OR(A101="",B101="",AND(C101="",E101=""),AND(C101&lt;Datos!$F$2,E101="")),"",IF(C101&gt;=Datos!$F$2,10*B101*C101,10*B101*E101))</f>
        <v/>
      </c>
      <c r="H101" s="45" t="str">
        <f>IF(AND(LECON!$D101="",LECON!$F101=""),"",IF(LECON!$F101="",LECON!$D101,LECON!$F101))</f>
        <v/>
      </c>
      <c r="I101" s="40"/>
      <c r="J101" s="40"/>
      <c r="K101" s="43"/>
      <c r="L101" s="40"/>
      <c r="M101" s="40"/>
      <c r="N101" s="47" t="str">
        <f>IF(OR(A101="",B101="",AND(J101="",L101=""),AND(J101&lt;Datos!$F$3,L101="")),"",IF(J101&gt;=Datos!$F$3,10*B101*J101,10*B101*L101))</f>
        <v/>
      </c>
      <c r="O101" s="45" t="str">
        <f>IF(AND(LECON!$K101="",LECON!$M101=""),"",IF(LECON!$M101="",LECON!$K101,LECON!$M101))</f>
        <v/>
      </c>
      <c r="P101" s="40"/>
      <c r="Q101" s="47" t="str">
        <f t="shared" si="1"/>
        <v/>
      </c>
      <c r="R101" s="45" t="str">
        <f>IF(OR(LECON!$H101="",LECON!$O101=""),"",MAX(LECON!$H101,LECON!$O101))</f>
        <v/>
      </c>
    </row>
    <row r="102" spans="1:18" x14ac:dyDescent="0.25">
      <c r="A102" s="39"/>
      <c r="B102" s="39"/>
      <c r="C102" s="39"/>
      <c r="D102" s="42"/>
      <c r="E102" s="39"/>
      <c r="F102" s="39"/>
      <c r="G102" s="48" t="str">
        <f>IF(OR(A102="",B102="",AND(C102="",E102=""),AND(C102&lt;Datos!$F$2,E102="")),"",IF(C102&gt;=Datos!$F$2,10*B102*C102,10*B102*E102))</f>
        <v/>
      </c>
      <c r="H102" s="44" t="str">
        <f>IF(AND(LECON!$D102="",LECON!$F102=""),"",IF(LECON!$F102="",LECON!$D102,LECON!$F102))</f>
        <v/>
      </c>
      <c r="I102" s="39"/>
      <c r="J102" s="39"/>
      <c r="K102" s="42"/>
      <c r="L102" s="39"/>
      <c r="M102" s="39"/>
      <c r="N102" s="46" t="str">
        <f>IF(OR(A102="",B102="",AND(J102="",L102=""),AND(J102&lt;Datos!$F$3,L102="")),"",IF(J102&gt;=Datos!$F$3,10*B102*J102,10*B102*L102))</f>
        <v/>
      </c>
      <c r="O102" s="44" t="str">
        <f>IF(AND(LECON!$K102="",LECON!$M102=""),"",IF(LECON!$M102="",LECON!$K102,LECON!$M102))</f>
        <v/>
      </c>
      <c r="P102" s="39"/>
      <c r="Q102" s="46" t="str">
        <f t="shared" si="1"/>
        <v/>
      </c>
      <c r="R102" s="44" t="str">
        <f>IF(OR(LECON!$H102="",LECON!$O102=""),"",MAX(LECON!$H102,LECON!$O102))</f>
        <v/>
      </c>
    </row>
    <row r="103" spans="1:18" x14ac:dyDescent="0.25">
      <c r="A103" s="40"/>
      <c r="B103" s="40"/>
      <c r="C103" s="40"/>
      <c r="D103" s="43"/>
      <c r="E103" s="40"/>
      <c r="F103" s="40"/>
      <c r="G103" s="49" t="str">
        <f>IF(OR(A103="",B103="",AND(C103="",E103=""),AND(C103&lt;Datos!$F$2,E103="")),"",IF(C103&gt;=Datos!$F$2,10*B103*C103,10*B103*E103))</f>
        <v/>
      </c>
      <c r="H103" s="45" t="str">
        <f>IF(AND(LECON!$D103="",LECON!$F103=""),"",IF(LECON!$F103="",LECON!$D103,LECON!$F103))</f>
        <v/>
      </c>
      <c r="I103" s="40"/>
      <c r="J103" s="40"/>
      <c r="K103" s="43"/>
      <c r="L103" s="40"/>
      <c r="M103" s="40"/>
      <c r="N103" s="47" t="str">
        <f>IF(OR(A103="",B103="",AND(J103="",L103=""),AND(J103&lt;Datos!$F$3,L103="")),"",IF(J103&gt;=Datos!$F$3,10*B103*J103,10*B103*L103))</f>
        <v/>
      </c>
      <c r="O103" s="45" t="str">
        <f>IF(AND(LECON!$K103="",LECON!$M103=""),"",IF(LECON!$M103="",LECON!$K103,LECON!$M103))</f>
        <v/>
      </c>
      <c r="P103" s="40"/>
      <c r="Q103" s="47" t="str">
        <f t="shared" si="1"/>
        <v/>
      </c>
      <c r="R103" s="45" t="str">
        <f>IF(OR(LECON!$H103="",LECON!$O103=""),"",MAX(LECON!$H103,LECON!$O103))</f>
        <v/>
      </c>
    </row>
    <row r="104" spans="1:18" x14ac:dyDescent="0.25">
      <c r="A104" s="39"/>
      <c r="B104" s="39"/>
      <c r="C104" s="39"/>
      <c r="D104" s="42"/>
      <c r="E104" s="39"/>
      <c r="F104" s="39"/>
      <c r="G104" s="48" t="str">
        <f>IF(OR(A104="",B104="",AND(C104="",E104=""),AND(C104&lt;Datos!$F$2,E104="")),"",IF(C104&gt;=Datos!$F$2,10*B104*C104,10*B104*E104))</f>
        <v/>
      </c>
      <c r="H104" s="44" t="str">
        <f>IF(AND(LECON!$D104="",LECON!$F104=""),"",IF(LECON!$F104="",LECON!$D104,LECON!$F104))</f>
        <v/>
      </c>
      <c r="I104" s="39"/>
      <c r="J104" s="39"/>
      <c r="K104" s="42"/>
      <c r="L104" s="39"/>
      <c r="M104" s="39"/>
      <c r="N104" s="46" t="str">
        <f>IF(OR(A104="",B104="",AND(J104="",L104=""),AND(J104&lt;Datos!$F$3,L104="")),"",IF(J104&gt;=Datos!$F$3,10*B104*J104,10*B104*L104))</f>
        <v/>
      </c>
      <c r="O104" s="44" t="str">
        <f>IF(AND(LECON!$K104="",LECON!$M104=""),"",IF(LECON!$M104="",LECON!$K104,LECON!$M104))</f>
        <v/>
      </c>
      <c r="P104" s="39"/>
      <c r="Q104" s="46" t="str">
        <f t="shared" si="1"/>
        <v/>
      </c>
      <c r="R104" s="44" t="str">
        <f>IF(OR(LECON!$H104="",LECON!$O104=""),"",MAX(LECON!$H104,LECON!$O104))</f>
        <v/>
      </c>
    </row>
    <row r="105" spans="1:18" x14ac:dyDescent="0.25">
      <c r="A105" s="40"/>
      <c r="B105" s="40"/>
      <c r="C105" s="40"/>
      <c r="D105" s="43"/>
      <c r="E105" s="40"/>
      <c r="F105" s="40"/>
      <c r="G105" s="49" t="str">
        <f>IF(OR(A105="",B105="",AND(C105="",E105=""),AND(C105&lt;Datos!$F$2,E105="")),"",IF(C105&gt;=Datos!$F$2,10*B105*C105,10*B105*E105))</f>
        <v/>
      </c>
      <c r="H105" s="45" t="str">
        <f>IF(AND(LECON!$D105="",LECON!$F105=""),"",IF(LECON!$F105="",LECON!$D105,LECON!$F105))</f>
        <v/>
      </c>
      <c r="I105" s="40"/>
      <c r="J105" s="40"/>
      <c r="K105" s="43"/>
      <c r="L105" s="40"/>
      <c r="M105" s="40"/>
      <c r="N105" s="47" t="str">
        <f>IF(OR(A105="",B105="",AND(J105="",L105=""),AND(J105&lt;Datos!$F$3,L105="")),"",IF(J105&gt;=Datos!$F$3,10*B105*J105,10*B105*L105))</f>
        <v/>
      </c>
      <c r="O105" s="45" t="str">
        <f>IF(AND(LECON!$K105="",LECON!$M105=""),"",IF(LECON!$M105="",LECON!$K105,LECON!$M105))</f>
        <v/>
      </c>
      <c r="P105" s="40"/>
      <c r="Q105" s="47" t="str">
        <f t="shared" si="1"/>
        <v/>
      </c>
      <c r="R105" s="45" t="str">
        <f>IF(OR(LECON!$H105="",LECON!$O105=""),"",MAX(LECON!$H105,LECON!$O105))</f>
        <v/>
      </c>
    </row>
    <row r="106" spans="1:18" x14ac:dyDescent="0.25">
      <c r="A106" s="39"/>
      <c r="B106" s="39"/>
      <c r="C106" s="39"/>
      <c r="D106" s="42"/>
      <c r="E106" s="39"/>
      <c r="F106" s="39"/>
      <c r="G106" s="48" t="str">
        <f>IF(OR(A106="",B106="",AND(C106="",E106=""),AND(C106&lt;Datos!$F$2,E106="")),"",IF(C106&gt;=Datos!$F$2,10*B106*C106,10*B106*E106))</f>
        <v/>
      </c>
      <c r="H106" s="44" t="str">
        <f>IF(AND(LECON!$D106="",LECON!$F106=""),"",IF(LECON!$F106="",LECON!$D106,LECON!$F106))</f>
        <v/>
      </c>
      <c r="I106" s="39"/>
      <c r="J106" s="39"/>
      <c r="K106" s="42"/>
      <c r="L106" s="39"/>
      <c r="M106" s="39"/>
      <c r="N106" s="46" t="str">
        <f>IF(OR(A106="",B106="",AND(J106="",L106=""),AND(J106&lt;Datos!$F$3,L106="")),"",IF(J106&gt;=Datos!$F$3,10*B106*J106,10*B106*L106))</f>
        <v/>
      </c>
      <c r="O106" s="44" t="str">
        <f>IF(AND(LECON!$K106="",LECON!$M106=""),"",IF(LECON!$M106="",LECON!$K106,LECON!$M106))</f>
        <v/>
      </c>
      <c r="P106" s="39"/>
      <c r="Q106" s="46" t="str">
        <f t="shared" si="1"/>
        <v/>
      </c>
      <c r="R106" s="44" t="str">
        <f>IF(OR(LECON!$H106="",LECON!$O106=""),"",MAX(LECON!$H106,LECON!$O106))</f>
        <v/>
      </c>
    </row>
    <row r="107" spans="1:18" x14ac:dyDescent="0.25">
      <c r="A107" s="40"/>
      <c r="B107" s="40"/>
      <c r="C107" s="40"/>
      <c r="D107" s="43"/>
      <c r="E107" s="40"/>
      <c r="F107" s="40"/>
      <c r="G107" s="49" t="str">
        <f>IF(OR(A107="",B107="",AND(C107="",E107=""),AND(C107&lt;Datos!$F$2,E107="")),"",IF(C107&gt;=Datos!$F$2,10*B107*C107,10*B107*E107))</f>
        <v/>
      </c>
      <c r="H107" s="45" t="str">
        <f>IF(AND(LECON!$D107="",LECON!$F107=""),"",IF(LECON!$F107="",LECON!$D107,LECON!$F107))</f>
        <v/>
      </c>
      <c r="I107" s="40"/>
      <c r="J107" s="40"/>
      <c r="K107" s="43"/>
      <c r="L107" s="40"/>
      <c r="M107" s="40"/>
      <c r="N107" s="47" t="str">
        <f>IF(OR(A107="",B107="",AND(J107="",L107=""),AND(J107&lt;Datos!$F$3,L107="")),"",IF(J107&gt;=Datos!$F$3,10*B107*J107,10*B107*L107))</f>
        <v/>
      </c>
      <c r="O107" s="45" t="str">
        <f>IF(AND(LECON!$K107="",LECON!$M107=""),"",IF(LECON!$M107="",LECON!$K107,LECON!$M107))</f>
        <v/>
      </c>
      <c r="P107" s="40"/>
      <c r="Q107" s="47" t="str">
        <f t="shared" si="1"/>
        <v/>
      </c>
      <c r="R107" s="45" t="str">
        <f>IF(OR(LECON!$H107="",LECON!$O107=""),"",MAX(LECON!$H107,LECON!$O107))</f>
        <v/>
      </c>
    </row>
    <row r="108" spans="1:18" x14ac:dyDescent="0.25">
      <c r="A108" s="39"/>
      <c r="B108" s="39"/>
      <c r="C108" s="39"/>
      <c r="D108" s="42"/>
      <c r="E108" s="39"/>
      <c r="F108" s="39"/>
      <c r="G108" s="48" t="str">
        <f>IF(OR(A108="",B108="",AND(C108="",E108=""),AND(C108&lt;Datos!$F$2,E108="")),"",IF(C108&gt;=Datos!$F$2,10*B108*C108,10*B108*E108))</f>
        <v/>
      </c>
      <c r="H108" s="44" t="str">
        <f>IF(AND(LECON!$D108="",LECON!$F108=""),"",IF(LECON!$F108="",LECON!$D108,LECON!$F108))</f>
        <v/>
      </c>
      <c r="I108" s="39"/>
      <c r="J108" s="39"/>
      <c r="K108" s="42"/>
      <c r="L108" s="39"/>
      <c r="M108" s="39"/>
      <c r="N108" s="46" t="str">
        <f>IF(OR(A108="",B108="",AND(J108="",L108=""),AND(J108&lt;Datos!$F$3,L108="")),"",IF(J108&gt;=Datos!$F$3,10*B108*J108,10*B108*L108))</f>
        <v/>
      </c>
      <c r="O108" s="44" t="str">
        <f>IF(AND(LECON!$K108="",LECON!$M108=""),"",IF(LECON!$M108="",LECON!$K108,LECON!$M108))</f>
        <v/>
      </c>
      <c r="P108" s="39"/>
      <c r="Q108" s="46" t="str">
        <f t="shared" si="1"/>
        <v/>
      </c>
      <c r="R108" s="44" t="str">
        <f>IF(OR(LECON!$H108="",LECON!$O108=""),"",MAX(LECON!$H108,LECON!$O108))</f>
        <v/>
      </c>
    </row>
    <row r="109" spans="1:18" x14ac:dyDescent="0.25">
      <c r="A109" s="40"/>
      <c r="B109" s="40"/>
      <c r="C109" s="40"/>
      <c r="D109" s="43"/>
      <c r="E109" s="40"/>
      <c r="F109" s="40"/>
      <c r="G109" s="49" t="str">
        <f>IF(OR(A109="",B109="",AND(C109="",E109=""),AND(C109&lt;Datos!$F$2,E109="")),"",IF(C109&gt;=Datos!$F$2,10*B109*C109,10*B109*E109))</f>
        <v/>
      </c>
      <c r="H109" s="45" t="str">
        <f>IF(AND(LECON!$D109="",LECON!$F109=""),"",IF(LECON!$F109="",LECON!$D109,LECON!$F109))</f>
        <v/>
      </c>
      <c r="I109" s="40"/>
      <c r="J109" s="40"/>
      <c r="K109" s="43"/>
      <c r="L109" s="40"/>
      <c r="M109" s="40"/>
      <c r="N109" s="47" t="str">
        <f>IF(OR(A109="",B109="",AND(J109="",L109=""),AND(J109&lt;Datos!$F$3,L109="")),"",IF(J109&gt;=Datos!$F$3,10*B109*J109,10*B109*L109))</f>
        <v/>
      </c>
      <c r="O109" s="45" t="str">
        <f>IF(AND(LECON!$K109="",LECON!$M109=""),"",IF(LECON!$M109="",LECON!$K109,LECON!$M109))</f>
        <v/>
      </c>
      <c r="P109" s="40"/>
      <c r="Q109" s="47" t="str">
        <f t="shared" si="1"/>
        <v/>
      </c>
      <c r="R109" s="45" t="str">
        <f>IF(OR(LECON!$H109="",LECON!$O109=""),"",MAX(LECON!$H109,LECON!$O109))</f>
        <v/>
      </c>
    </row>
    <row r="110" spans="1:18" x14ac:dyDescent="0.25">
      <c r="A110" s="39"/>
      <c r="B110" s="39"/>
      <c r="C110" s="39"/>
      <c r="D110" s="42"/>
      <c r="E110" s="39"/>
      <c r="F110" s="39"/>
      <c r="G110" s="48" t="str">
        <f>IF(OR(A110="",B110="",AND(C110="",E110=""),AND(C110&lt;Datos!$F$2,E110="")),"",IF(C110&gt;=Datos!$F$2,10*B110*C110,10*B110*E110))</f>
        <v/>
      </c>
      <c r="H110" s="44" t="str">
        <f>IF(AND(LECON!$D110="",LECON!$F110=""),"",IF(LECON!$F110="",LECON!$D110,LECON!$F110))</f>
        <v/>
      </c>
      <c r="I110" s="39"/>
      <c r="J110" s="39"/>
      <c r="K110" s="42"/>
      <c r="L110" s="39"/>
      <c r="M110" s="39"/>
      <c r="N110" s="46" t="str">
        <f>IF(OR(A110="",B110="",AND(J110="",L110=""),AND(J110&lt;Datos!$F$3,L110="")),"",IF(J110&gt;=Datos!$F$3,10*B110*J110,10*B110*L110))</f>
        <v/>
      </c>
      <c r="O110" s="44" t="str">
        <f>IF(AND(LECON!$K110="",LECON!$M110=""),"",IF(LECON!$M110="",LECON!$K110,LECON!$M110))</f>
        <v/>
      </c>
      <c r="P110" s="39"/>
      <c r="Q110" s="46" t="str">
        <f t="shared" si="1"/>
        <v/>
      </c>
      <c r="R110" s="44" t="str">
        <f>IF(OR(LECON!$H110="",LECON!$O110=""),"",MAX(LECON!$H110,LECON!$O110))</f>
        <v/>
      </c>
    </row>
    <row r="111" spans="1:18" x14ac:dyDescent="0.25">
      <c r="A111" s="40"/>
      <c r="B111" s="40"/>
      <c r="C111" s="40"/>
      <c r="D111" s="43"/>
      <c r="E111" s="40"/>
      <c r="F111" s="40"/>
      <c r="G111" s="49" t="str">
        <f>IF(OR(A111="",B111="",AND(C111="",E111=""),AND(C111&lt;Datos!$F$2,E111="")),"",IF(C111&gt;=Datos!$F$2,10*B111*C111,10*B111*E111))</f>
        <v/>
      </c>
      <c r="H111" s="45" t="str">
        <f>IF(AND(LECON!$D111="",LECON!$F111=""),"",IF(LECON!$F111="",LECON!$D111,LECON!$F111))</f>
        <v/>
      </c>
      <c r="I111" s="40"/>
      <c r="J111" s="40"/>
      <c r="K111" s="43"/>
      <c r="L111" s="40"/>
      <c r="M111" s="40"/>
      <c r="N111" s="47" t="str">
        <f>IF(OR(A111="",B111="",AND(J111="",L111=""),AND(J111&lt;Datos!$F$3,L111="")),"",IF(J111&gt;=Datos!$F$3,10*B111*J111,10*B111*L111))</f>
        <v/>
      </c>
      <c r="O111" s="45" t="str">
        <f>IF(AND(LECON!$K111="",LECON!$M111=""),"",IF(LECON!$M111="",LECON!$K111,LECON!$M111))</f>
        <v/>
      </c>
      <c r="P111" s="40"/>
      <c r="Q111" s="47" t="str">
        <f t="shared" si="1"/>
        <v/>
      </c>
      <c r="R111" s="45" t="str">
        <f>IF(OR(LECON!$H111="",LECON!$O111=""),"",MAX(LECON!$H111,LECON!$O111))</f>
        <v/>
      </c>
    </row>
    <row r="112" spans="1:18" x14ac:dyDescent="0.25">
      <c r="A112" s="39"/>
      <c r="B112" s="39"/>
      <c r="C112" s="39"/>
      <c r="D112" s="42"/>
      <c r="E112" s="39"/>
      <c r="F112" s="39"/>
      <c r="G112" s="48" t="str">
        <f>IF(OR(A112="",B112="",AND(C112="",E112=""),AND(C112&lt;Datos!$F$2,E112="")),"",IF(C112&gt;=Datos!$F$2,10*B112*C112,10*B112*E112))</f>
        <v/>
      </c>
      <c r="H112" s="44" t="str">
        <f>IF(AND(LECON!$D112="",LECON!$F112=""),"",IF(LECON!$F112="",LECON!$D112,LECON!$F112))</f>
        <v/>
      </c>
      <c r="I112" s="39"/>
      <c r="J112" s="39"/>
      <c r="K112" s="42"/>
      <c r="L112" s="39"/>
      <c r="M112" s="39"/>
      <c r="N112" s="46" t="str">
        <f>IF(OR(A112="",B112="",AND(J112="",L112=""),AND(J112&lt;Datos!$F$3,L112="")),"",IF(J112&gt;=Datos!$F$3,10*B112*J112,10*B112*L112))</f>
        <v/>
      </c>
      <c r="O112" s="44" t="str">
        <f>IF(AND(LECON!$K112="",LECON!$M112=""),"",IF(LECON!$M112="",LECON!$K112,LECON!$M112))</f>
        <v/>
      </c>
      <c r="P112" s="39"/>
      <c r="Q112" s="46" t="str">
        <f t="shared" si="1"/>
        <v/>
      </c>
      <c r="R112" s="44" t="str">
        <f>IF(OR(LECON!$H112="",LECON!$O112=""),"",MAX(LECON!$H112,LECON!$O112))</f>
        <v/>
      </c>
    </row>
    <row r="113" spans="1:18" x14ac:dyDescent="0.25">
      <c r="A113" s="40"/>
      <c r="B113" s="40"/>
      <c r="C113" s="40"/>
      <c r="D113" s="43"/>
      <c r="E113" s="40"/>
      <c r="F113" s="40"/>
      <c r="G113" s="49" t="str">
        <f>IF(OR(A113="",B113="",AND(C113="",E113=""),AND(C113&lt;Datos!$F$2,E113="")),"",IF(C113&gt;=Datos!$F$2,10*B113*C113,10*B113*E113))</f>
        <v/>
      </c>
      <c r="H113" s="45" t="str">
        <f>IF(AND(LECON!$D113="",LECON!$F113=""),"",IF(LECON!$F113="",LECON!$D113,LECON!$F113))</f>
        <v/>
      </c>
      <c r="I113" s="40"/>
      <c r="J113" s="40"/>
      <c r="K113" s="43"/>
      <c r="L113" s="40"/>
      <c r="M113" s="40"/>
      <c r="N113" s="47" t="str">
        <f>IF(OR(A113="",B113="",AND(J113="",L113=""),AND(J113&lt;Datos!$F$3,L113="")),"",IF(J113&gt;=Datos!$F$3,10*B113*J113,10*B113*L113))</f>
        <v/>
      </c>
      <c r="O113" s="45" t="str">
        <f>IF(AND(LECON!$K113="",LECON!$M113=""),"",IF(LECON!$M113="",LECON!$K113,LECON!$M113))</f>
        <v/>
      </c>
      <c r="P113" s="40"/>
      <c r="Q113" s="47" t="str">
        <f t="shared" si="1"/>
        <v/>
      </c>
      <c r="R113" s="45" t="str">
        <f>IF(OR(LECON!$H113="",LECON!$O113=""),"",MAX(LECON!$H113,LECON!$O113))</f>
        <v/>
      </c>
    </row>
    <row r="114" spans="1:18" x14ac:dyDescent="0.25">
      <c r="A114" s="39"/>
      <c r="B114" s="39"/>
      <c r="C114" s="39"/>
      <c r="D114" s="42"/>
      <c r="E114" s="39"/>
      <c r="F114" s="39"/>
      <c r="G114" s="48" t="str">
        <f>IF(OR(A114="",B114="",AND(C114="",E114=""),AND(C114&lt;Datos!$F$2,E114="")),"",IF(C114&gt;=Datos!$F$2,10*B114*C114,10*B114*E114))</f>
        <v/>
      </c>
      <c r="H114" s="44" t="str">
        <f>IF(AND(LECON!$D114="",LECON!$F114=""),"",IF(LECON!$F114="",LECON!$D114,LECON!$F114))</f>
        <v/>
      </c>
      <c r="I114" s="39"/>
      <c r="J114" s="39"/>
      <c r="K114" s="42"/>
      <c r="L114" s="39"/>
      <c r="M114" s="39"/>
      <c r="N114" s="46" t="str">
        <f>IF(OR(A114="",B114="",AND(J114="",L114=""),AND(J114&lt;Datos!$F$3,L114="")),"",IF(J114&gt;=Datos!$F$3,10*B114*J114,10*B114*L114))</f>
        <v/>
      </c>
      <c r="O114" s="44" t="str">
        <f>IF(AND(LECON!$K114="",LECON!$M114=""),"",IF(LECON!$M114="",LECON!$K114,LECON!$M114))</f>
        <v/>
      </c>
      <c r="P114" s="39"/>
      <c r="Q114" s="46" t="str">
        <f t="shared" si="1"/>
        <v/>
      </c>
      <c r="R114" s="44" t="str">
        <f>IF(OR(LECON!$H114="",LECON!$O114=""),"",MAX(LECON!$H114,LECON!$O114))</f>
        <v/>
      </c>
    </row>
    <row r="115" spans="1:18" x14ac:dyDescent="0.25">
      <c r="A115" s="40"/>
      <c r="B115" s="40"/>
      <c r="C115" s="40"/>
      <c r="D115" s="43"/>
      <c r="E115" s="40"/>
      <c r="F115" s="40"/>
      <c r="G115" s="49" t="str">
        <f>IF(OR(A115="",B115="",AND(C115="",E115=""),AND(C115&lt;Datos!$F$2,E115="")),"",IF(C115&gt;=Datos!$F$2,10*B115*C115,10*B115*E115))</f>
        <v/>
      </c>
      <c r="H115" s="45" t="str">
        <f>IF(AND(LECON!$D115="",LECON!$F115=""),"",IF(LECON!$F115="",LECON!$D115,LECON!$F115))</f>
        <v/>
      </c>
      <c r="I115" s="40"/>
      <c r="J115" s="40"/>
      <c r="K115" s="43"/>
      <c r="L115" s="40"/>
      <c r="M115" s="40"/>
      <c r="N115" s="47" t="str">
        <f>IF(OR(A115="",B115="",AND(J115="",L115=""),AND(J115&lt;Datos!$F$3,L115="")),"",IF(J115&gt;=Datos!$F$3,10*B115*J115,10*B115*L115))</f>
        <v/>
      </c>
      <c r="O115" s="45" t="str">
        <f>IF(AND(LECON!$K115="",LECON!$M115=""),"",IF(LECON!$M115="",LECON!$K115,LECON!$M115))</f>
        <v/>
      </c>
      <c r="P115" s="40"/>
      <c r="Q115" s="47" t="str">
        <f t="shared" si="1"/>
        <v/>
      </c>
      <c r="R115" s="45" t="str">
        <f>IF(OR(LECON!$H115="",LECON!$O115=""),"",MAX(LECON!$H115,LECON!$O115))</f>
        <v/>
      </c>
    </row>
    <row r="116" spans="1:18" x14ac:dyDescent="0.25">
      <c r="A116" s="39"/>
      <c r="B116" s="39"/>
      <c r="C116" s="39"/>
      <c r="D116" s="42"/>
      <c r="E116" s="39"/>
      <c r="F116" s="39"/>
      <c r="G116" s="48" t="str">
        <f>IF(OR(A116="",B116="",AND(C116="",E116=""),AND(C116&lt;Datos!$F$2,E116="")),"",IF(C116&gt;=Datos!$F$2,10*B116*C116,10*B116*E116))</f>
        <v/>
      </c>
      <c r="H116" s="44" t="str">
        <f>IF(AND(LECON!$D116="",LECON!$F116=""),"",IF(LECON!$F116="",LECON!$D116,LECON!$F116))</f>
        <v/>
      </c>
      <c r="I116" s="39"/>
      <c r="J116" s="39"/>
      <c r="K116" s="42"/>
      <c r="L116" s="39"/>
      <c r="M116" s="39"/>
      <c r="N116" s="46" t="str">
        <f>IF(OR(A116="",B116="",AND(J116="",L116=""),AND(J116&lt;Datos!$F$3,L116="")),"",IF(J116&gt;=Datos!$F$3,10*B116*J116,10*B116*L116))</f>
        <v/>
      </c>
      <c r="O116" s="44" t="str">
        <f>IF(AND(LECON!$K116="",LECON!$M116=""),"",IF(LECON!$M116="",LECON!$K116,LECON!$M116))</f>
        <v/>
      </c>
      <c r="P116" s="39"/>
      <c r="Q116" s="46" t="str">
        <f t="shared" si="1"/>
        <v/>
      </c>
      <c r="R116" s="44" t="str">
        <f>IF(OR(LECON!$H116="",LECON!$O116=""),"",MAX(LECON!$H116,LECON!$O116))</f>
        <v/>
      </c>
    </row>
    <row r="117" spans="1:18" x14ac:dyDescent="0.25">
      <c r="A117" s="40"/>
      <c r="B117" s="40"/>
      <c r="C117" s="40"/>
      <c r="D117" s="43"/>
      <c r="E117" s="40"/>
      <c r="F117" s="40"/>
      <c r="G117" s="49" t="str">
        <f>IF(OR(A117="",B117="",AND(C117="",E117=""),AND(C117&lt;Datos!$F$2,E117="")),"",IF(C117&gt;=Datos!$F$2,10*B117*C117,10*B117*E117))</f>
        <v/>
      </c>
      <c r="H117" s="45" t="str">
        <f>IF(AND(LECON!$D117="",LECON!$F117=""),"",IF(LECON!$F117="",LECON!$D117,LECON!$F117))</f>
        <v/>
      </c>
      <c r="I117" s="40"/>
      <c r="J117" s="40"/>
      <c r="K117" s="43"/>
      <c r="L117" s="40"/>
      <c r="M117" s="40"/>
      <c r="N117" s="47" t="str">
        <f>IF(OR(A117="",B117="",AND(J117="",L117=""),AND(J117&lt;Datos!$F$3,L117="")),"",IF(J117&gt;=Datos!$F$3,10*B117*J117,10*B117*L117))</f>
        <v/>
      </c>
      <c r="O117" s="45" t="str">
        <f>IF(AND(LECON!$K117="",LECON!$M117=""),"",IF(LECON!$M117="",LECON!$K117,LECON!$M117))</f>
        <v/>
      </c>
      <c r="P117" s="40"/>
      <c r="Q117" s="47" t="str">
        <f t="shared" si="1"/>
        <v/>
      </c>
      <c r="R117" s="45" t="str">
        <f>IF(OR(LECON!$H117="",LECON!$O117=""),"",MAX(LECON!$H117,LECON!$O117))</f>
        <v/>
      </c>
    </row>
    <row r="118" spans="1:18" x14ac:dyDescent="0.25">
      <c r="A118" s="39"/>
      <c r="B118" s="39"/>
      <c r="C118" s="39"/>
      <c r="D118" s="42"/>
      <c r="E118" s="39"/>
      <c r="F118" s="39"/>
      <c r="G118" s="48" t="str">
        <f>IF(OR(A118="",B118="",AND(C118="",E118=""),AND(C118&lt;Datos!$F$2,E118="")),"",IF(C118&gt;=Datos!$F$2,10*B118*C118,10*B118*E118))</f>
        <v/>
      </c>
      <c r="H118" s="44" t="str">
        <f>IF(AND(LECON!$D118="",LECON!$F118=""),"",IF(LECON!$F118="",LECON!$D118,LECON!$F118))</f>
        <v/>
      </c>
      <c r="I118" s="39"/>
      <c r="J118" s="39"/>
      <c r="K118" s="42"/>
      <c r="L118" s="39"/>
      <c r="M118" s="39"/>
      <c r="N118" s="46" t="str">
        <f>IF(OR(A118="",B118="",AND(J118="",L118=""),AND(J118&lt;Datos!$F$3,L118="")),"",IF(J118&gt;=Datos!$F$3,10*B118*J118,10*B118*L118))</f>
        <v/>
      </c>
      <c r="O118" s="44" t="str">
        <f>IF(AND(LECON!$K118="",LECON!$M118=""),"",IF(LECON!$M118="",LECON!$K118,LECON!$M118))</f>
        <v/>
      </c>
      <c r="P118" s="39"/>
      <c r="Q118" s="46" t="str">
        <f t="shared" si="1"/>
        <v/>
      </c>
      <c r="R118" s="44" t="str">
        <f>IF(OR(LECON!$H118="",LECON!$O118=""),"",MAX(LECON!$H118,LECON!$O118))</f>
        <v/>
      </c>
    </row>
    <row r="119" spans="1:18" x14ac:dyDescent="0.25">
      <c r="A119" s="40"/>
      <c r="B119" s="40"/>
      <c r="C119" s="40"/>
      <c r="D119" s="43"/>
      <c r="E119" s="40"/>
      <c r="F119" s="40"/>
      <c r="G119" s="49" t="str">
        <f>IF(OR(A119="",B119="",AND(C119="",E119=""),AND(C119&lt;Datos!$F$2,E119="")),"",IF(C119&gt;=Datos!$F$2,10*B119*C119,10*B119*E119))</f>
        <v/>
      </c>
      <c r="H119" s="45" t="str">
        <f>IF(AND(LECON!$D119="",LECON!$F119=""),"",IF(LECON!$F119="",LECON!$D119,LECON!$F119))</f>
        <v/>
      </c>
      <c r="I119" s="40"/>
      <c r="J119" s="40"/>
      <c r="K119" s="43"/>
      <c r="L119" s="40"/>
      <c r="M119" s="40"/>
      <c r="N119" s="47" t="str">
        <f>IF(OR(A119="",B119="",AND(J119="",L119=""),AND(J119&lt;Datos!$F$3,L119="")),"",IF(J119&gt;=Datos!$F$3,10*B119*J119,10*B119*L119))</f>
        <v/>
      </c>
      <c r="O119" s="45" t="str">
        <f>IF(AND(LECON!$K119="",LECON!$M119=""),"",IF(LECON!$M119="",LECON!$K119,LECON!$M119))</f>
        <v/>
      </c>
      <c r="P119" s="40"/>
      <c r="Q119" s="47" t="str">
        <f t="shared" si="1"/>
        <v/>
      </c>
      <c r="R119" s="45" t="str">
        <f>IF(OR(LECON!$H119="",LECON!$O119=""),"",MAX(LECON!$H119,LECON!$O119))</f>
        <v/>
      </c>
    </row>
    <row r="120" spans="1:18" x14ac:dyDescent="0.25">
      <c r="A120" s="39"/>
      <c r="B120" s="39"/>
      <c r="C120" s="39"/>
      <c r="D120" s="42"/>
      <c r="E120" s="39"/>
      <c r="F120" s="39"/>
      <c r="G120" s="48" t="str">
        <f>IF(OR(A120="",B120="",AND(C120="",E120=""),AND(C120&lt;Datos!$F$2,E120="")),"",IF(C120&gt;=Datos!$F$2,10*B120*C120,10*B120*E120))</f>
        <v/>
      </c>
      <c r="H120" s="44" t="str">
        <f>IF(AND(LECON!$D120="",LECON!$F120=""),"",IF(LECON!$F120="",LECON!$D120,LECON!$F120))</f>
        <v/>
      </c>
      <c r="I120" s="39"/>
      <c r="J120" s="39"/>
      <c r="K120" s="42"/>
      <c r="L120" s="39"/>
      <c r="M120" s="39"/>
      <c r="N120" s="46" t="str">
        <f>IF(OR(A120="",B120="",AND(J120="",L120=""),AND(J120&lt;Datos!$F$3,L120="")),"",IF(J120&gt;=Datos!$F$3,10*B120*J120,10*B120*L120))</f>
        <v/>
      </c>
      <c r="O120" s="44" t="str">
        <f>IF(AND(LECON!$K120="",LECON!$M120=""),"",IF(LECON!$M120="",LECON!$K120,LECON!$M120))</f>
        <v/>
      </c>
      <c r="P120" s="39"/>
      <c r="Q120" s="46" t="str">
        <f t="shared" si="1"/>
        <v/>
      </c>
      <c r="R120" s="44" t="str">
        <f>IF(OR(LECON!$H120="",LECON!$O120=""),"",MAX(LECON!$H120,LECON!$O120))</f>
        <v/>
      </c>
    </row>
    <row r="121" spans="1:18" x14ac:dyDescent="0.25">
      <c r="A121" s="40"/>
      <c r="B121" s="40"/>
      <c r="C121" s="40"/>
      <c r="D121" s="43"/>
      <c r="E121" s="40"/>
      <c r="F121" s="40"/>
      <c r="G121" s="49" t="str">
        <f>IF(OR(A121="",B121="",AND(C121="",E121=""),AND(C121&lt;Datos!$F$2,E121="")),"",IF(C121&gt;=Datos!$F$2,10*B121*C121,10*B121*E121))</f>
        <v/>
      </c>
      <c r="H121" s="45" t="str">
        <f>IF(AND(LECON!$D121="",LECON!$F121=""),"",IF(LECON!$F121="",LECON!$D121,LECON!$F121))</f>
        <v/>
      </c>
      <c r="I121" s="40"/>
      <c r="J121" s="40"/>
      <c r="K121" s="43"/>
      <c r="L121" s="40"/>
      <c r="M121" s="40"/>
      <c r="N121" s="47" t="str">
        <f>IF(OR(A121="",B121="",AND(J121="",L121=""),AND(J121&lt;Datos!$F$3,L121="")),"",IF(J121&gt;=Datos!$F$3,10*B121*J121,10*B121*L121))</f>
        <v/>
      </c>
      <c r="O121" s="45" t="str">
        <f>IF(AND(LECON!$K121="",LECON!$M121=""),"",IF(LECON!$M121="",LECON!$K121,LECON!$M121))</f>
        <v/>
      </c>
      <c r="P121" s="40"/>
      <c r="Q121" s="47" t="str">
        <f t="shared" si="1"/>
        <v/>
      </c>
      <c r="R121" s="45" t="str">
        <f>IF(OR(LECON!$H121="",LECON!$O121=""),"",MAX(LECON!$H121,LECON!$O121))</f>
        <v/>
      </c>
    </row>
    <row r="122" spans="1:18" x14ac:dyDescent="0.25">
      <c r="A122" s="39"/>
      <c r="B122" s="39"/>
      <c r="C122" s="39"/>
      <c r="D122" s="42"/>
      <c r="E122" s="39"/>
      <c r="F122" s="39"/>
      <c r="G122" s="48" t="str">
        <f>IF(OR(A122="",B122="",AND(C122="",E122=""),AND(C122&lt;Datos!$F$2,E122="")),"",IF(C122&gt;=Datos!$F$2,10*B122*C122,10*B122*E122))</f>
        <v/>
      </c>
      <c r="H122" s="44" t="str">
        <f>IF(AND(LECON!$D122="",LECON!$F122=""),"",IF(LECON!$F122="",LECON!$D122,LECON!$F122))</f>
        <v/>
      </c>
      <c r="I122" s="39"/>
      <c r="J122" s="39"/>
      <c r="K122" s="42"/>
      <c r="L122" s="39"/>
      <c r="M122" s="39"/>
      <c r="N122" s="46" t="str">
        <f>IF(OR(A122="",B122="",AND(J122="",L122=""),AND(J122&lt;Datos!$F$3,L122="")),"",IF(J122&gt;=Datos!$F$3,10*B122*J122,10*B122*L122))</f>
        <v/>
      </c>
      <c r="O122" s="44" t="str">
        <f>IF(AND(LECON!$K122="",LECON!$M122=""),"",IF(LECON!$M122="",LECON!$K122,LECON!$M122))</f>
        <v/>
      </c>
      <c r="P122" s="39"/>
      <c r="Q122" s="46" t="str">
        <f t="shared" si="1"/>
        <v/>
      </c>
      <c r="R122" s="44" t="str">
        <f>IF(OR(LECON!$H122="",LECON!$O122=""),"",MAX(LECON!$H122,LECON!$O122))</f>
        <v/>
      </c>
    </row>
    <row r="123" spans="1:18" x14ac:dyDescent="0.25">
      <c r="A123" s="40"/>
      <c r="B123" s="40"/>
      <c r="C123" s="40"/>
      <c r="D123" s="43"/>
      <c r="E123" s="40"/>
      <c r="F123" s="40"/>
      <c r="G123" s="49" t="str">
        <f>IF(OR(A123="",B123="",AND(C123="",E123=""),AND(C123&lt;Datos!$F$2,E123="")),"",IF(C123&gt;=Datos!$F$2,10*B123*C123,10*B123*E123))</f>
        <v/>
      </c>
      <c r="H123" s="45" t="str">
        <f>IF(AND(LECON!$D123="",LECON!$F123=""),"",IF(LECON!$F123="",LECON!$D123,LECON!$F123))</f>
        <v/>
      </c>
      <c r="I123" s="40"/>
      <c r="J123" s="40"/>
      <c r="K123" s="43"/>
      <c r="L123" s="40"/>
      <c r="M123" s="40"/>
      <c r="N123" s="47" t="str">
        <f>IF(OR(A123="",B123="",AND(J123="",L123=""),AND(J123&lt;Datos!$F$3,L123="")),"",IF(J123&gt;=Datos!$F$3,10*B123*J123,10*B123*L123))</f>
        <v/>
      </c>
      <c r="O123" s="45" t="str">
        <f>IF(AND(LECON!$K123="",LECON!$M123=""),"",IF(LECON!$M123="",LECON!$K123,LECON!$M123))</f>
        <v/>
      </c>
      <c r="P123" s="40"/>
      <c r="Q123" s="47" t="str">
        <f t="shared" si="1"/>
        <v/>
      </c>
      <c r="R123" s="45" t="str">
        <f>IF(OR(LECON!$H123="",LECON!$O123=""),"",MAX(LECON!$H123,LECON!$O123))</f>
        <v/>
      </c>
    </row>
    <row r="124" spans="1:18" x14ac:dyDescent="0.25">
      <c r="A124" s="39"/>
      <c r="B124" s="39"/>
      <c r="C124" s="39"/>
      <c r="D124" s="42"/>
      <c r="E124" s="39"/>
      <c r="F124" s="39"/>
      <c r="G124" s="48" t="str">
        <f>IF(OR(A124="",B124="",AND(C124="",E124=""),AND(C124&lt;Datos!$F$2,E124="")),"",IF(C124&gt;=Datos!$F$2,10*B124*C124,10*B124*E124))</f>
        <v/>
      </c>
      <c r="H124" s="44" t="str">
        <f>IF(AND(LECON!$D124="",LECON!$F124=""),"",IF(LECON!$F124="",LECON!$D124,LECON!$F124))</f>
        <v/>
      </c>
      <c r="I124" s="39"/>
      <c r="J124" s="39"/>
      <c r="K124" s="42"/>
      <c r="L124" s="39"/>
      <c r="M124" s="39"/>
      <c r="N124" s="46" t="str">
        <f>IF(OR(A124="",B124="",AND(J124="",L124=""),AND(J124&lt;Datos!$F$3,L124="")),"",IF(J124&gt;=Datos!$F$3,10*B124*J124,10*B124*L124))</f>
        <v/>
      </c>
      <c r="O124" s="44" t="str">
        <f>IF(AND(LECON!$K124="",LECON!$M124=""),"",IF(LECON!$M124="",LECON!$K124,LECON!$M124))</f>
        <v/>
      </c>
      <c r="P124" s="39"/>
      <c r="Q124" s="46" t="str">
        <f t="shared" si="1"/>
        <v/>
      </c>
      <c r="R124" s="44" t="str">
        <f>IF(OR(LECON!$H124="",LECON!$O124=""),"",MAX(LECON!$H124,LECON!$O124))</f>
        <v/>
      </c>
    </row>
    <row r="125" spans="1:18" x14ac:dyDescent="0.25">
      <c r="A125" s="40"/>
      <c r="B125" s="40"/>
      <c r="C125" s="40"/>
      <c r="D125" s="43"/>
      <c r="E125" s="40"/>
      <c r="F125" s="40"/>
      <c r="G125" s="49" t="str">
        <f>IF(OR(A125="",B125="",AND(C125="",E125=""),AND(C125&lt;Datos!$F$2,E125="")),"",IF(C125&gt;=Datos!$F$2,10*B125*C125,10*B125*E125))</f>
        <v/>
      </c>
      <c r="H125" s="45" t="str">
        <f>IF(AND(LECON!$D125="",LECON!$F125=""),"",IF(LECON!$F125="",LECON!$D125,LECON!$F125))</f>
        <v/>
      </c>
      <c r="I125" s="40"/>
      <c r="J125" s="40"/>
      <c r="K125" s="43"/>
      <c r="L125" s="40"/>
      <c r="M125" s="40"/>
      <c r="N125" s="47" t="str">
        <f>IF(OR(A125="",B125="",AND(J125="",L125=""),AND(J125&lt;Datos!$F$3,L125="")),"",IF(J125&gt;=Datos!$F$3,10*B125*J125,10*B125*L125))</f>
        <v/>
      </c>
      <c r="O125" s="45" t="str">
        <f>IF(AND(LECON!$K125="",LECON!$M125=""),"",IF(LECON!$M125="",LECON!$K125,LECON!$M125))</f>
        <v/>
      </c>
      <c r="P125" s="40"/>
      <c r="Q125" s="47" t="str">
        <f t="shared" si="1"/>
        <v/>
      </c>
      <c r="R125" s="45" t="str">
        <f>IF(OR(LECON!$H125="",LECON!$O125=""),"",MAX(LECON!$H125,LECON!$O125))</f>
        <v/>
      </c>
    </row>
    <row r="126" spans="1:18" x14ac:dyDescent="0.25">
      <c r="A126" s="39"/>
      <c r="B126" s="39"/>
      <c r="C126" s="39"/>
      <c r="D126" s="42"/>
      <c r="E126" s="39"/>
      <c r="F126" s="39"/>
      <c r="G126" s="48" t="str">
        <f>IF(OR(A126="",B126="",AND(C126="",E126=""),AND(C126&lt;Datos!$F$2,E126="")),"",IF(C126&gt;=Datos!$F$2,10*B126*C126,10*B126*E126))</f>
        <v/>
      </c>
      <c r="H126" s="44" t="str">
        <f>IF(AND(LECON!$D126="",LECON!$F126=""),"",IF(LECON!$F126="",LECON!$D126,LECON!$F126))</f>
        <v/>
      </c>
      <c r="I126" s="39"/>
      <c r="J126" s="39"/>
      <c r="K126" s="42"/>
      <c r="L126" s="39"/>
      <c r="M126" s="39"/>
      <c r="N126" s="46" t="str">
        <f>IF(OR(A126="",B126="",AND(J126="",L126=""),AND(J126&lt;Datos!$F$3,L126="")),"",IF(J126&gt;=Datos!$F$3,10*B126*J126,10*B126*L126))</f>
        <v/>
      </c>
      <c r="O126" s="44" t="str">
        <f>IF(AND(LECON!$K126="",LECON!$M126=""),"",IF(LECON!$M126="",LECON!$K126,LECON!$M126))</f>
        <v/>
      </c>
      <c r="P126" s="39"/>
      <c r="Q126" s="46" t="str">
        <f t="shared" si="1"/>
        <v/>
      </c>
      <c r="R126" s="44" t="str">
        <f>IF(OR(LECON!$H126="",LECON!$O126=""),"",MAX(LECON!$H126,LECON!$O126))</f>
        <v/>
      </c>
    </row>
    <row r="127" spans="1:18" x14ac:dyDescent="0.25">
      <c r="A127" s="40"/>
      <c r="B127" s="40"/>
      <c r="C127" s="40"/>
      <c r="D127" s="43"/>
      <c r="E127" s="40"/>
      <c r="F127" s="40"/>
      <c r="G127" s="49" t="str">
        <f>IF(OR(A127="",B127="",AND(C127="",E127=""),AND(C127&lt;Datos!$F$2,E127="")),"",IF(C127&gt;=Datos!$F$2,10*B127*C127,10*B127*E127))</f>
        <v/>
      </c>
      <c r="H127" s="45" t="str">
        <f>IF(AND(LECON!$D127="",LECON!$F127=""),"",IF(LECON!$F127="",LECON!$D127,LECON!$F127))</f>
        <v/>
      </c>
      <c r="I127" s="40"/>
      <c r="J127" s="40"/>
      <c r="K127" s="43"/>
      <c r="L127" s="40"/>
      <c r="M127" s="40"/>
      <c r="N127" s="47" t="str">
        <f>IF(OR(A127="",B127="",AND(J127="",L127=""),AND(J127&lt;Datos!$F$3,L127="")),"",IF(J127&gt;=Datos!$F$3,10*B127*J127,10*B127*L127))</f>
        <v/>
      </c>
      <c r="O127" s="45" t="str">
        <f>IF(AND(LECON!$K127="",LECON!$M127=""),"",IF(LECON!$M127="",LECON!$K127,LECON!$M127))</f>
        <v/>
      </c>
      <c r="P127" s="40"/>
      <c r="Q127" s="47" t="str">
        <f t="shared" si="1"/>
        <v/>
      </c>
      <c r="R127" s="45" t="str">
        <f>IF(OR(LECON!$H127="",LECON!$O127=""),"",MAX(LECON!$H127,LECON!$O127))</f>
        <v/>
      </c>
    </row>
    <row r="128" spans="1:18" x14ac:dyDescent="0.25">
      <c r="A128" s="39"/>
      <c r="B128" s="39"/>
      <c r="C128" s="39"/>
      <c r="D128" s="42"/>
      <c r="E128" s="39"/>
      <c r="F128" s="39"/>
      <c r="G128" s="48" t="str">
        <f>IF(OR(A128="",B128="",AND(C128="",E128=""),AND(C128&lt;Datos!$F$2,E128="")),"",IF(C128&gt;=Datos!$F$2,10*B128*C128,10*B128*E128))</f>
        <v/>
      </c>
      <c r="H128" s="44" t="str">
        <f>IF(AND(LECON!$D128="",LECON!$F128=""),"",IF(LECON!$F128="",LECON!$D128,LECON!$F128))</f>
        <v/>
      </c>
      <c r="I128" s="39"/>
      <c r="J128" s="39"/>
      <c r="K128" s="42"/>
      <c r="L128" s="39"/>
      <c r="M128" s="39"/>
      <c r="N128" s="46" t="str">
        <f>IF(OR(A128="",B128="",AND(J128="",L128=""),AND(J128&lt;Datos!$F$3,L128="")),"",IF(J128&gt;=Datos!$F$3,10*B128*J128,10*B128*L128))</f>
        <v/>
      </c>
      <c r="O128" s="44" t="str">
        <f>IF(AND(LECON!$K128="",LECON!$M128=""),"",IF(LECON!$M128="",LECON!$K128,LECON!$M128))</f>
        <v/>
      </c>
      <c r="P128" s="39"/>
      <c r="Q128" s="46" t="str">
        <f t="shared" si="1"/>
        <v/>
      </c>
      <c r="R128" s="44" t="str">
        <f>IF(OR(LECON!$H128="",LECON!$O128=""),"",MAX(LECON!$H128,LECON!$O128))</f>
        <v/>
      </c>
    </row>
    <row r="129" spans="1:18" x14ac:dyDescent="0.25">
      <c r="A129" s="40"/>
      <c r="B129" s="40"/>
      <c r="C129" s="40"/>
      <c r="D129" s="43"/>
      <c r="E129" s="40"/>
      <c r="F129" s="40"/>
      <c r="G129" s="49" t="str">
        <f>IF(OR(A129="",B129="",AND(C129="",E129=""),AND(C129&lt;Datos!$F$2,E129="")),"",IF(C129&gt;=Datos!$F$2,10*B129*C129,10*B129*E129))</f>
        <v/>
      </c>
      <c r="H129" s="45" t="str">
        <f>IF(AND(LECON!$D129="",LECON!$F129=""),"",IF(LECON!$F129="",LECON!$D129,LECON!$F129))</f>
        <v/>
      </c>
      <c r="I129" s="40"/>
      <c r="J129" s="40"/>
      <c r="K129" s="43"/>
      <c r="L129" s="40"/>
      <c r="M129" s="40"/>
      <c r="N129" s="47" t="str">
        <f>IF(OR(A129="",B129="",AND(J129="",L129=""),AND(J129&lt;Datos!$F$3,L129="")),"",IF(J129&gt;=Datos!$F$3,10*B129*J129,10*B129*L129))</f>
        <v/>
      </c>
      <c r="O129" s="45" t="str">
        <f>IF(AND(LECON!$K129="",LECON!$M129=""),"",IF(LECON!$M129="",LECON!$K129,LECON!$M129))</f>
        <v/>
      </c>
      <c r="P129" s="40"/>
      <c r="Q129" s="47" t="str">
        <f t="shared" si="1"/>
        <v/>
      </c>
      <c r="R129" s="45" t="str">
        <f>IF(OR(LECON!$H129="",LECON!$O129=""),"",MAX(LECON!$H129,LECON!$O129))</f>
        <v/>
      </c>
    </row>
    <row r="130" spans="1:18" x14ac:dyDescent="0.25">
      <c r="A130" s="39"/>
      <c r="B130" s="39"/>
      <c r="C130" s="39"/>
      <c r="D130" s="42"/>
      <c r="E130" s="39"/>
      <c r="F130" s="39"/>
      <c r="G130" s="48" t="str">
        <f>IF(OR(A130="",B130="",AND(C130="",E130=""),AND(C130&lt;Datos!$F$2,E130="")),"",IF(C130&gt;=Datos!$F$2,10*B130*C130,10*B130*E130))</f>
        <v/>
      </c>
      <c r="H130" s="44" t="str">
        <f>IF(AND(LECON!$D130="",LECON!$F130=""),"",IF(LECON!$F130="",LECON!$D130,LECON!$F130))</f>
        <v/>
      </c>
      <c r="I130" s="39"/>
      <c r="J130" s="39"/>
      <c r="K130" s="42"/>
      <c r="L130" s="39"/>
      <c r="M130" s="39"/>
      <c r="N130" s="46" t="str">
        <f>IF(OR(A130="",B130="",AND(J130="",L130=""),AND(J130&lt;Datos!$F$3,L130="")),"",IF(J130&gt;=Datos!$F$3,10*B130*J130,10*B130*L130))</f>
        <v/>
      </c>
      <c r="O130" s="44" t="str">
        <f>IF(AND(LECON!$K130="",LECON!$M130=""),"",IF(LECON!$M130="",LECON!$K130,LECON!$M130))</f>
        <v/>
      </c>
      <c r="P130" s="39"/>
      <c r="Q130" s="46" t="str">
        <f t="shared" si="1"/>
        <v/>
      </c>
      <c r="R130" s="44" t="str">
        <f>IF(OR(LECON!$H130="",LECON!$O130=""),"",MAX(LECON!$H130,LECON!$O130))</f>
        <v/>
      </c>
    </row>
    <row r="131" spans="1:18" x14ac:dyDescent="0.25">
      <c r="A131" s="40"/>
      <c r="B131" s="40"/>
      <c r="C131" s="40"/>
      <c r="D131" s="43"/>
      <c r="E131" s="40"/>
      <c r="F131" s="40"/>
      <c r="G131" s="49" t="str">
        <f>IF(OR(A131="",B131="",AND(C131="",E131=""),AND(C131&lt;Datos!$F$2,E131="")),"",IF(C131&gt;=Datos!$F$2,10*B131*C131,10*B131*E131))</f>
        <v/>
      </c>
      <c r="H131" s="45" t="str">
        <f>IF(AND(LECON!$D131="",LECON!$F131=""),"",IF(LECON!$F131="",LECON!$D131,LECON!$F131))</f>
        <v/>
      </c>
      <c r="I131" s="40"/>
      <c r="J131" s="40"/>
      <c r="K131" s="43"/>
      <c r="L131" s="40"/>
      <c r="M131" s="40"/>
      <c r="N131" s="47" t="str">
        <f>IF(OR(A131="",B131="",AND(J131="",L131=""),AND(J131&lt;Datos!$F$3,L131="")),"",IF(J131&gt;=Datos!$F$3,10*B131*J131,10*B131*L131))</f>
        <v/>
      </c>
      <c r="O131" s="45" t="str">
        <f>IF(AND(LECON!$K131="",LECON!$M131=""),"",IF(LECON!$M131="",LECON!$K131,LECON!$M131))</f>
        <v/>
      </c>
      <c r="P131" s="40"/>
      <c r="Q131" s="47" t="str">
        <f t="shared" ref="Q131:Q172" si="2">IF(OR(G131="",N131=""),"",G131/N131)</f>
        <v/>
      </c>
      <c r="R131" s="45" t="str">
        <f>IF(OR(LECON!$H131="",LECON!$O131=""),"",MAX(LECON!$H131,LECON!$O131))</f>
        <v/>
      </c>
    </row>
    <row r="132" spans="1:18" x14ac:dyDescent="0.25">
      <c r="A132" s="39"/>
      <c r="B132" s="39"/>
      <c r="C132" s="39"/>
      <c r="D132" s="42"/>
      <c r="E132" s="39"/>
      <c r="F132" s="39"/>
      <c r="G132" s="48" t="str">
        <f>IF(OR(A132="",B132="",AND(C132="",E132=""),AND(C132&lt;Datos!$F$2,E132="")),"",IF(C132&gt;=Datos!$F$2,10*B132*C132,10*B132*E132))</f>
        <v/>
      </c>
      <c r="H132" s="44" t="str">
        <f>IF(AND(LECON!$D132="",LECON!$F132=""),"",IF(LECON!$F132="",LECON!$D132,LECON!$F132))</f>
        <v/>
      </c>
      <c r="I132" s="39"/>
      <c r="J132" s="39"/>
      <c r="K132" s="42"/>
      <c r="L132" s="39"/>
      <c r="M132" s="39"/>
      <c r="N132" s="46" t="str">
        <f>IF(OR(A132="",B132="",AND(J132="",L132=""),AND(J132&lt;Datos!$F$3,L132="")),"",IF(J132&gt;=Datos!$F$3,10*B132*J132,10*B132*L132))</f>
        <v/>
      </c>
      <c r="O132" s="44" t="str">
        <f>IF(AND(LECON!$K132="",LECON!$M132=""),"",IF(LECON!$M132="",LECON!$K132,LECON!$M132))</f>
        <v/>
      </c>
      <c r="P132" s="39"/>
      <c r="Q132" s="46" t="str">
        <f t="shared" si="2"/>
        <v/>
      </c>
      <c r="R132" s="44" t="str">
        <f>IF(OR(LECON!$H132="",LECON!$O132=""),"",MAX(LECON!$H132,LECON!$O132))</f>
        <v/>
      </c>
    </row>
    <row r="133" spans="1:18" x14ac:dyDescent="0.25">
      <c r="A133" s="40"/>
      <c r="B133" s="40"/>
      <c r="C133" s="40"/>
      <c r="D133" s="43"/>
      <c r="E133" s="40"/>
      <c r="F133" s="40"/>
      <c r="G133" s="49" t="str">
        <f>IF(OR(A133="",B133="",AND(C133="",E133=""),AND(C133&lt;Datos!$F$2,E133="")),"",IF(C133&gt;=Datos!$F$2,10*B133*C133,10*B133*E133))</f>
        <v/>
      </c>
      <c r="H133" s="45" t="str">
        <f>IF(AND(LECON!$D133="",LECON!$F133=""),"",IF(LECON!$F133="",LECON!$D133,LECON!$F133))</f>
        <v/>
      </c>
      <c r="I133" s="40"/>
      <c r="J133" s="40"/>
      <c r="K133" s="43"/>
      <c r="L133" s="40"/>
      <c r="M133" s="40"/>
      <c r="N133" s="47" t="str">
        <f>IF(OR(A133="",B133="",AND(J133="",L133=""),AND(J133&lt;Datos!$F$3,L133="")),"",IF(J133&gt;=Datos!$F$3,10*B133*J133,10*B133*L133))</f>
        <v/>
      </c>
      <c r="O133" s="45" t="str">
        <f>IF(AND(LECON!$K133="",LECON!$M133=""),"",IF(LECON!$M133="",LECON!$K133,LECON!$M133))</f>
        <v/>
      </c>
      <c r="P133" s="40"/>
      <c r="Q133" s="47" t="str">
        <f t="shared" si="2"/>
        <v/>
      </c>
      <c r="R133" s="45" t="str">
        <f>IF(OR(LECON!$H133="",LECON!$O133=""),"",MAX(LECON!$H133,LECON!$O133))</f>
        <v/>
      </c>
    </row>
    <row r="134" spans="1:18" x14ac:dyDescent="0.25">
      <c r="A134" s="39"/>
      <c r="B134" s="39"/>
      <c r="C134" s="39"/>
      <c r="D134" s="42"/>
      <c r="E134" s="39"/>
      <c r="F134" s="39"/>
      <c r="G134" s="48" t="str">
        <f>IF(OR(A134="",B134="",AND(C134="",E134=""),AND(C134&lt;Datos!$F$2,E134="")),"",IF(C134&gt;=Datos!$F$2,10*B134*C134,10*B134*E134))</f>
        <v/>
      </c>
      <c r="H134" s="44" t="str">
        <f>IF(AND(LECON!$D134="",LECON!$F134=""),"",IF(LECON!$F134="",LECON!$D134,LECON!$F134))</f>
        <v/>
      </c>
      <c r="I134" s="39"/>
      <c r="J134" s="39"/>
      <c r="K134" s="42"/>
      <c r="L134" s="39"/>
      <c r="M134" s="39"/>
      <c r="N134" s="46" t="str">
        <f>IF(OR(A134="",B134="",AND(J134="",L134=""),AND(J134&lt;Datos!$F$3,L134="")),"",IF(J134&gt;=Datos!$F$3,10*B134*J134,10*B134*L134))</f>
        <v/>
      </c>
      <c r="O134" s="44" t="str">
        <f>IF(AND(LECON!$K134="",LECON!$M134=""),"",IF(LECON!$M134="",LECON!$K134,LECON!$M134))</f>
        <v/>
      </c>
      <c r="P134" s="39"/>
      <c r="Q134" s="46" t="str">
        <f t="shared" si="2"/>
        <v/>
      </c>
      <c r="R134" s="44" t="str">
        <f>IF(OR(LECON!$H134="",LECON!$O134=""),"",MAX(LECON!$H134,LECON!$O134))</f>
        <v/>
      </c>
    </row>
    <row r="135" spans="1:18" x14ac:dyDescent="0.25">
      <c r="A135" s="40"/>
      <c r="B135" s="40"/>
      <c r="C135" s="40"/>
      <c r="D135" s="43"/>
      <c r="E135" s="40"/>
      <c r="F135" s="40"/>
      <c r="G135" s="49" t="str">
        <f>IF(OR(A135="",B135="",AND(C135="",E135=""),AND(C135&lt;Datos!$F$2,E135="")),"",IF(C135&gt;=Datos!$F$2,10*B135*C135,10*B135*E135))</f>
        <v/>
      </c>
      <c r="H135" s="45" t="str">
        <f>IF(AND(LECON!$D135="",LECON!$F135=""),"",IF(LECON!$F135="",LECON!$D135,LECON!$F135))</f>
        <v/>
      </c>
      <c r="I135" s="40"/>
      <c r="J135" s="40"/>
      <c r="K135" s="43"/>
      <c r="L135" s="40"/>
      <c r="M135" s="40"/>
      <c r="N135" s="47" t="str">
        <f>IF(OR(A135="",B135="",AND(J135="",L135=""),AND(J135&lt;Datos!$F$3,L135="")),"",IF(J135&gt;=Datos!$F$3,10*B135*J135,10*B135*L135))</f>
        <v/>
      </c>
      <c r="O135" s="45" t="str">
        <f>IF(AND(LECON!$K135="",LECON!$M135=""),"",IF(LECON!$M135="",LECON!$K135,LECON!$M135))</f>
        <v/>
      </c>
      <c r="P135" s="40"/>
      <c r="Q135" s="47" t="str">
        <f t="shared" si="2"/>
        <v/>
      </c>
      <c r="R135" s="45" t="str">
        <f>IF(OR(LECON!$H135="",LECON!$O135=""),"",MAX(LECON!$H135,LECON!$O135))</f>
        <v/>
      </c>
    </row>
    <row r="136" spans="1:18" x14ac:dyDescent="0.25">
      <c r="A136" s="39"/>
      <c r="B136" s="39"/>
      <c r="C136" s="39"/>
      <c r="D136" s="42"/>
      <c r="E136" s="39"/>
      <c r="F136" s="39"/>
      <c r="G136" s="48" t="str">
        <f>IF(OR(A136="",B136="",AND(C136="",E136=""),AND(C136&lt;Datos!$F$2,E136="")),"",IF(C136&gt;=Datos!$F$2,10*B136*C136,10*B136*E136))</f>
        <v/>
      </c>
      <c r="H136" s="44" t="str">
        <f>IF(AND(LECON!$D136="",LECON!$F136=""),"",IF(LECON!$F136="",LECON!$D136,LECON!$F136))</f>
        <v/>
      </c>
      <c r="I136" s="39"/>
      <c r="J136" s="39"/>
      <c r="K136" s="42"/>
      <c r="L136" s="39"/>
      <c r="M136" s="39"/>
      <c r="N136" s="46" t="str">
        <f>IF(OR(A136="",B136="",AND(J136="",L136=""),AND(J136&lt;Datos!$F$3,L136="")),"",IF(J136&gt;=Datos!$F$3,10*B136*J136,10*B136*L136))</f>
        <v/>
      </c>
      <c r="O136" s="44" t="str">
        <f>IF(AND(LECON!$K136="",LECON!$M136=""),"",IF(LECON!$M136="",LECON!$K136,LECON!$M136))</f>
        <v/>
      </c>
      <c r="P136" s="39"/>
      <c r="Q136" s="46" t="str">
        <f t="shared" si="2"/>
        <v/>
      </c>
      <c r="R136" s="44" t="str">
        <f>IF(OR(LECON!$H136="",LECON!$O136=""),"",MAX(LECON!$H136,LECON!$O136))</f>
        <v/>
      </c>
    </row>
    <row r="137" spans="1:18" x14ac:dyDescent="0.25">
      <c r="A137" s="40"/>
      <c r="B137" s="40"/>
      <c r="C137" s="40"/>
      <c r="D137" s="43"/>
      <c r="E137" s="40"/>
      <c r="F137" s="40"/>
      <c r="G137" s="49" t="str">
        <f>IF(OR(A137="",B137="",AND(C137="",E137=""),AND(C137&lt;Datos!$F$2,E137="")),"",IF(C137&gt;=Datos!$F$2,10*B137*C137,10*B137*E137))</f>
        <v/>
      </c>
      <c r="H137" s="45" t="str">
        <f>IF(AND(LECON!$D137="",LECON!$F137=""),"",IF(LECON!$F137="",LECON!$D137,LECON!$F137))</f>
        <v/>
      </c>
      <c r="I137" s="40"/>
      <c r="J137" s="40"/>
      <c r="K137" s="43"/>
      <c r="L137" s="40"/>
      <c r="M137" s="40"/>
      <c r="N137" s="47" t="str">
        <f>IF(OR(A137="",B137="",AND(J137="",L137=""),AND(J137&lt;Datos!$F$3,L137="")),"",IF(J137&gt;=Datos!$F$3,10*B137*J137,10*B137*L137))</f>
        <v/>
      </c>
      <c r="O137" s="45" t="str">
        <f>IF(AND(LECON!$K137="",LECON!$M137=""),"",IF(LECON!$M137="",LECON!$K137,LECON!$M137))</f>
        <v/>
      </c>
      <c r="P137" s="40"/>
      <c r="Q137" s="47" t="str">
        <f t="shared" si="2"/>
        <v/>
      </c>
      <c r="R137" s="45" t="str">
        <f>IF(OR(LECON!$H137="",LECON!$O137=""),"",MAX(LECON!$H137,LECON!$O137))</f>
        <v/>
      </c>
    </row>
    <row r="138" spans="1:18" x14ac:dyDescent="0.25">
      <c r="A138" s="39"/>
      <c r="B138" s="39"/>
      <c r="C138" s="39"/>
      <c r="D138" s="42"/>
      <c r="E138" s="39"/>
      <c r="F138" s="39"/>
      <c r="G138" s="48" t="str">
        <f>IF(OR(A138="",B138="",AND(C138="",E138=""),AND(C138&lt;Datos!$F$2,E138="")),"",IF(C138&gt;=Datos!$F$2,10*B138*C138,10*B138*E138))</f>
        <v/>
      </c>
      <c r="H138" s="44" t="str">
        <f>IF(AND(LECON!$D138="",LECON!$F138=""),"",IF(LECON!$F138="",LECON!$D138,LECON!$F138))</f>
        <v/>
      </c>
      <c r="I138" s="39"/>
      <c r="J138" s="39"/>
      <c r="K138" s="42"/>
      <c r="L138" s="39"/>
      <c r="M138" s="39"/>
      <c r="N138" s="46" t="str">
        <f>IF(OR(A138="",B138="",AND(J138="",L138=""),AND(J138&lt;Datos!$F$3,L138="")),"",IF(J138&gt;=Datos!$F$3,10*B138*J138,10*B138*L138))</f>
        <v/>
      </c>
      <c r="O138" s="44" t="str">
        <f>IF(AND(LECON!$K138="",LECON!$M138=""),"",IF(LECON!$M138="",LECON!$K138,LECON!$M138))</f>
        <v/>
      </c>
      <c r="P138" s="39"/>
      <c r="Q138" s="46" t="str">
        <f t="shared" si="2"/>
        <v/>
      </c>
      <c r="R138" s="44" t="str">
        <f>IF(OR(LECON!$H138="",LECON!$O138=""),"",MAX(LECON!$H138,LECON!$O138))</f>
        <v/>
      </c>
    </row>
    <row r="139" spans="1:18" x14ac:dyDescent="0.25">
      <c r="A139" s="40"/>
      <c r="B139" s="40"/>
      <c r="C139" s="40"/>
      <c r="D139" s="43"/>
      <c r="E139" s="40"/>
      <c r="F139" s="40"/>
      <c r="G139" s="49" t="str">
        <f>IF(OR(A139="",B139="",AND(C139="",E139=""),AND(C139&lt;Datos!$F$2,E139="")),"",IF(C139&gt;=Datos!$F$2,10*B139*C139,10*B139*E139))</f>
        <v/>
      </c>
      <c r="H139" s="45" t="str">
        <f>IF(AND(LECON!$D139="",LECON!$F139=""),"",IF(LECON!$F139="",LECON!$D139,LECON!$F139))</f>
        <v/>
      </c>
      <c r="I139" s="40"/>
      <c r="J139" s="40"/>
      <c r="K139" s="43"/>
      <c r="L139" s="40"/>
      <c r="M139" s="40"/>
      <c r="N139" s="47" t="str">
        <f>IF(OR(A139="",B139="",AND(J139="",L139=""),AND(J139&lt;Datos!$F$3,L139="")),"",IF(J139&gt;=Datos!$F$3,10*B139*J139,10*B139*L139))</f>
        <v/>
      </c>
      <c r="O139" s="45" t="str">
        <f>IF(AND(LECON!$K139="",LECON!$M139=""),"",IF(LECON!$M139="",LECON!$K139,LECON!$M139))</f>
        <v/>
      </c>
      <c r="P139" s="40"/>
      <c r="Q139" s="47" t="str">
        <f t="shared" si="2"/>
        <v/>
      </c>
      <c r="R139" s="45" t="str">
        <f>IF(OR(LECON!$H139="",LECON!$O139=""),"",MAX(LECON!$H139,LECON!$O139))</f>
        <v/>
      </c>
    </row>
    <row r="140" spans="1:18" x14ac:dyDescent="0.25">
      <c r="A140" s="39"/>
      <c r="B140" s="39"/>
      <c r="C140" s="39"/>
      <c r="D140" s="42"/>
      <c r="E140" s="39"/>
      <c r="F140" s="39"/>
      <c r="G140" s="48" t="str">
        <f>IF(OR(A140="",B140="",AND(C140="",E140=""),AND(C140&lt;Datos!$F$2,E140="")),"",IF(C140&gt;=Datos!$F$2,10*B140*C140,10*B140*E140))</f>
        <v/>
      </c>
      <c r="H140" s="44" t="str">
        <f>IF(AND(LECON!$D140="",LECON!$F140=""),"",IF(LECON!$F140="",LECON!$D140,LECON!$F140))</f>
        <v/>
      </c>
      <c r="I140" s="39"/>
      <c r="J140" s="39"/>
      <c r="K140" s="42"/>
      <c r="L140" s="39"/>
      <c r="M140" s="39"/>
      <c r="N140" s="46" t="str">
        <f>IF(OR(A140="",B140="",AND(J140="",L140=""),AND(J140&lt;Datos!$F$3,L140="")),"",IF(J140&gt;=Datos!$F$3,10*B140*J140,10*B140*L140))</f>
        <v/>
      </c>
      <c r="O140" s="44" t="str">
        <f>IF(AND(LECON!$K140="",LECON!$M140=""),"",IF(LECON!$M140="",LECON!$K140,LECON!$M140))</f>
        <v/>
      </c>
      <c r="P140" s="39"/>
      <c r="Q140" s="46" t="str">
        <f t="shared" si="2"/>
        <v/>
      </c>
      <c r="R140" s="44" t="str">
        <f>IF(OR(LECON!$H140="",LECON!$O140=""),"",MAX(LECON!$H140,LECON!$O140))</f>
        <v/>
      </c>
    </row>
    <row r="141" spans="1:18" x14ac:dyDescent="0.25">
      <c r="A141" s="40"/>
      <c r="B141" s="40"/>
      <c r="C141" s="40"/>
      <c r="D141" s="43"/>
      <c r="E141" s="40"/>
      <c r="F141" s="40"/>
      <c r="G141" s="49" t="str">
        <f>IF(OR(A141="",B141="",AND(C141="",E141=""),AND(C141&lt;Datos!$F$2,E141="")),"",IF(C141&gt;=Datos!$F$2,10*B141*C141,10*B141*E141))</f>
        <v/>
      </c>
      <c r="H141" s="45" t="str">
        <f>IF(AND(LECON!$D141="",LECON!$F141=""),"",IF(LECON!$F141="",LECON!$D141,LECON!$F141))</f>
        <v/>
      </c>
      <c r="I141" s="40"/>
      <c r="J141" s="40"/>
      <c r="K141" s="43"/>
      <c r="L141" s="40"/>
      <c r="M141" s="40"/>
      <c r="N141" s="47" t="str">
        <f>IF(OR(A141="",B141="",AND(J141="",L141=""),AND(J141&lt;Datos!$F$3,L141="")),"",IF(J141&gt;=Datos!$F$3,10*B141*J141,10*B141*L141))</f>
        <v/>
      </c>
      <c r="O141" s="45" t="str">
        <f>IF(AND(LECON!$K141="",LECON!$M141=""),"",IF(LECON!$M141="",LECON!$K141,LECON!$M141))</f>
        <v/>
      </c>
      <c r="P141" s="40"/>
      <c r="Q141" s="47" t="str">
        <f t="shared" si="2"/>
        <v/>
      </c>
      <c r="R141" s="45" t="str">
        <f>IF(OR(LECON!$H141="",LECON!$O141=""),"",MAX(LECON!$H141,LECON!$O141))</f>
        <v/>
      </c>
    </row>
    <row r="142" spans="1:18" x14ac:dyDescent="0.25">
      <c r="A142" s="39"/>
      <c r="B142" s="39"/>
      <c r="C142" s="39"/>
      <c r="D142" s="42"/>
      <c r="E142" s="39"/>
      <c r="F142" s="39"/>
      <c r="G142" s="48" t="str">
        <f>IF(OR(A142="",B142="",AND(C142="",E142=""),AND(C142&lt;Datos!$F$2,E142="")),"",IF(C142&gt;=Datos!$F$2,10*B142*C142,10*B142*E142))</f>
        <v/>
      </c>
      <c r="H142" s="44" t="str">
        <f>IF(AND(LECON!$D142="",LECON!$F142=""),"",IF(LECON!$F142="",LECON!$D142,LECON!$F142))</f>
        <v/>
      </c>
      <c r="I142" s="39"/>
      <c r="J142" s="39"/>
      <c r="K142" s="42"/>
      <c r="L142" s="39"/>
      <c r="M142" s="39"/>
      <c r="N142" s="46" t="str">
        <f>IF(OR(A142="",B142="",AND(J142="",L142=""),AND(J142&lt;Datos!$F$3,L142="")),"",IF(J142&gt;=Datos!$F$3,10*B142*J142,10*B142*L142))</f>
        <v/>
      </c>
      <c r="O142" s="44" t="str">
        <f>IF(AND(LECON!$K142="",LECON!$M142=""),"",IF(LECON!$M142="",LECON!$K142,LECON!$M142))</f>
        <v/>
      </c>
      <c r="P142" s="39"/>
      <c r="Q142" s="46" t="str">
        <f t="shared" si="2"/>
        <v/>
      </c>
      <c r="R142" s="44" t="str">
        <f>IF(OR(LECON!$H142="",LECON!$O142=""),"",MAX(LECON!$H142,LECON!$O142))</f>
        <v/>
      </c>
    </row>
    <row r="143" spans="1:18" x14ac:dyDescent="0.25">
      <c r="A143" s="40"/>
      <c r="B143" s="40"/>
      <c r="C143" s="40"/>
      <c r="D143" s="43"/>
      <c r="E143" s="40"/>
      <c r="F143" s="40"/>
      <c r="G143" s="49" t="str">
        <f>IF(OR(A143="",B143="",AND(C143="",E143=""),AND(C143&lt;Datos!$F$2,E143="")),"",IF(C143&gt;=Datos!$F$2,10*B143*C143,10*B143*E143))</f>
        <v/>
      </c>
      <c r="H143" s="45" t="str">
        <f>IF(AND(LECON!$D143="",LECON!$F143=""),"",IF(LECON!$F143="",LECON!$D143,LECON!$F143))</f>
        <v/>
      </c>
      <c r="I143" s="40"/>
      <c r="J143" s="40"/>
      <c r="K143" s="43"/>
      <c r="L143" s="40"/>
      <c r="M143" s="40"/>
      <c r="N143" s="47" t="str">
        <f>IF(OR(A143="",B143="",AND(J143="",L143=""),AND(J143&lt;Datos!$F$3,L143="")),"",IF(J143&gt;=Datos!$F$3,10*B143*J143,10*B143*L143))</f>
        <v/>
      </c>
      <c r="O143" s="45" t="str">
        <f>IF(AND(LECON!$K143="",LECON!$M143=""),"",IF(LECON!$M143="",LECON!$K143,LECON!$M143))</f>
        <v/>
      </c>
      <c r="P143" s="40"/>
      <c r="Q143" s="47" t="str">
        <f t="shared" si="2"/>
        <v/>
      </c>
      <c r="R143" s="45" t="str">
        <f>IF(OR(LECON!$H143="",LECON!$O143=""),"",MAX(LECON!$H143,LECON!$O143))</f>
        <v/>
      </c>
    </row>
    <row r="144" spans="1:18" x14ac:dyDescent="0.25">
      <c r="A144" s="39"/>
      <c r="B144" s="39"/>
      <c r="C144" s="39"/>
      <c r="D144" s="42"/>
      <c r="E144" s="39"/>
      <c r="F144" s="39"/>
      <c r="G144" s="48" t="str">
        <f>IF(OR(A144="",B144="",AND(C144="",E144=""),AND(C144&lt;Datos!$F$2,E144="")),"",IF(C144&gt;=Datos!$F$2,10*B144*C144,10*B144*E144))</f>
        <v/>
      </c>
      <c r="H144" s="44" t="str">
        <f>IF(AND(LECON!$D144="",LECON!$F144=""),"",IF(LECON!$F144="",LECON!$D144,LECON!$F144))</f>
        <v/>
      </c>
      <c r="I144" s="39"/>
      <c r="J144" s="39"/>
      <c r="K144" s="42"/>
      <c r="L144" s="39"/>
      <c r="M144" s="39"/>
      <c r="N144" s="46" t="str">
        <f>IF(OR(A144="",B144="",AND(J144="",L144=""),AND(J144&lt;Datos!$F$3,L144="")),"",IF(J144&gt;=Datos!$F$3,10*B144*J144,10*B144*L144))</f>
        <v/>
      </c>
      <c r="O144" s="44" t="str">
        <f>IF(AND(LECON!$K144="",LECON!$M144=""),"",IF(LECON!$M144="",LECON!$K144,LECON!$M144))</f>
        <v/>
      </c>
      <c r="P144" s="39"/>
      <c r="Q144" s="46" t="str">
        <f t="shared" si="2"/>
        <v/>
      </c>
      <c r="R144" s="44" t="str">
        <f>IF(OR(LECON!$H144="",LECON!$O144=""),"",MAX(LECON!$H144,LECON!$O144))</f>
        <v/>
      </c>
    </row>
    <row r="145" spans="1:18" x14ac:dyDescent="0.25">
      <c r="A145" s="40"/>
      <c r="B145" s="40"/>
      <c r="C145" s="40"/>
      <c r="D145" s="43"/>
      <c r="E145" s="40"/>
      <c r="F145" s="40"/>
      <c r="G145" s="49" t="str">
        <f>IF(OR(A145="",B145="",AND(C145="",E145=""),AND(C145&lt;Datos!$F$2,E145="")),"",IF(C145&gt;=Datos!$F$2,10*B145*C145,10*B145*E145))</f>
        <v/>
      </c>
      <c r="H145" s="45" t="str">
        <f>IF(AND(LECON!$D145="",LECON!$F145=""),"",IF(LECON!$F145="",LECON!$D145,LECON!$F145))</f>
        <v/>
      </c>
      <c r="I145" s="40"/>
      <c r="J145" s="40"/>
      <c r="K145" s="43"/>
      <c r="L145" s="40"/>
      <c r="M145" s="40"/>
      <c r="N145" s="47" t="str">
        <f>IF(OR(A145="",B145="",AND(J145="",L145=""),AND(J145&lt;Datos!$F$3,L145="")),"",IF(J145&gt;=Datos!$F$3,10*B145*J145,10*B145*L145))</f>
        <v/>
      </c>
      <c r="O145" s="45" t="str">
        <f>IF(AND(LECON!$K145="",LECON!$M145=""),"",IF(LECON!$M145="",LECON!$K145,LECON!$M145))</f>
        <v/>
      </c>
      <c r="P145" s="40"/>
      <c r="Q145" s="47" t="str">
        <f t="shared" si="2"/>
        <v/>
      </c>
      <c r="R145" s="45" t="str">
        <f>IF(OR(LECON!$H145="",LECON!$O145=""),"",MAX(LECON!$H145,LECON!$O145))</f>
        <v/>
      </c>
    </row>
    <row r="146" spans="1:18" x14ac:dyDescent="0.25">
      <c r="A146" s="39"/>
      <c r="B146" s="39"/>
      <c r="C146" s="39"/>
      <c r="D146" s="42"/>
      <c r="E146" s="39"/>
      <c r="F146" s="39"/>
      <c r="G146" s="48" t="str">
        <f>IF(OR(A146="",B146="",AND(C146="",E146=""),AND(C146&lt;Datos!$F$2,E146="")),"",IF(C146&gt;=Datos!$F$2,10*B146*C146,10*B146*E146))</f>
        <v/>
      </c>
      <c r="H146" s="44" t="str">
        <f>IF(AND(LECON!$D146="",LECON!$F146=""),"",IF(LECON!$F146="",LECON!$D146,LECON!$F146))</f>
        <v/>
      </c>
      <c r="I146" s="39"/>
      <c r="J146" s="39"/>
      <c r="K146" s="42"/>
      <c r="L146" s="39"/>
      <c r="M146" s="39"/>
      <c r="N146" s="46" t="str">
        <f>IF(OR(A146="",B146="",AND(J146="",L146=""),AND(J146&lt;Datos!$F$3,L146="")),"",IF(J146&gt;=Datos!$F$3,10*B146*J146,10*B146*L146))</f>
        <v/>
      </c>
      <c r="O146" s="44" t="str">
        <f>IF(AND(LECON!$K146="",LECON!$M146=""),"",IF(LECON!$M146="",LECON!$K146,LECON!$M146))</f>
        <v/>
      </c>
      <c r="P146" s="39"/>
      <c r="Q146" s="46" t="str">
        <f t="shared" si="2"/>
        <v/>
      </c>
      <c r="R146" s="44" t="str">
        <f>IF(OR(LECON!$H146="",LECON!$O146=""),"",MAX(LECON!$H146,LECON!$O146))</f>
        <v/>
      </c>
    </row>
    <row r="147" spans="1:18" x14ac:dyDescent="0.25">
      <c r="A147" s="40"/>
      <c r="B147" s="40"/>
      <c r="C147" s="40"/>
      <c r="D147" s="43"/>
      <c r="E147" s="40"/>
      <c r="F147" s="40"/>
      <c r="G147" s="49" t="str">
        <f>IF(OR(A147="",B147="",AND(C147="",E147=""),AND(C147&lt;Datos!$F$2,E147="")),"",IF(C147&gt;=Datos!$F$2,10*B147*C147,10*B147*E147))</f>
        <v/>
      </c>
      <c r="H147" s="45" t="str">
        <f>IF(AND(LECON!$D147="",LECON!$F147=""),"",IF(LECON!$F147="",LECON!$D147,LECON!$F147))</f>
        <v/>
      </c>
      <c r="I147" s="40"/>
      <c r="J147" s="40"/>
      <c r="K147" s="43"/>
      <c r="L147" s="40"/>
      <c r="M147" s="40"/>
      <c r="N147" s="47" t="str">
        <f>IF(OR(A147="",B147="",AND(J147="",L147=""),AND(J147&lt;Datos!$F$3,L147="")),"",IF(J147&gt;=Datos!$F$3,10*B147*J147,10*B147*L147))</f>
        <v/>
      </c>
      <c r="O147" s="45" t="str">
        <f>IF(AND(LECON!$K147="",LECON!$M147=""),"",IF(LECON!$M147="",LECON!$K147,LECON!$M147))</f>
        <v/>
      </c>
      <c r="P147" s="40"/>
      <c r="Q147" s="47" t="str">
        <f t="shared" si="2"/>
        <v/>
      </c>
      <c r="R147" s="45" t="str">
        <f>IF(OR(LECON!$H147="",LECON!$O147=""),"",MAX(LECON!$H147,LECON!$O147))</f>
        <v/>
      </c>
    </row>
    <row r="148" spans="1:18" x14ac:dyDescent="0.25">
      <c r="A148" s="39"/>
      <c r="B148" s="39"/>
      <c r="C148" s="39"/>
      <c r="D148" s="42"/>
      <c r="E148" s="39"/>
      <c r="F148" s="39"/>
      <c r="G148" s="48" t="str">
        <f>IF(OR(A148="",B148="",AND(C148="",E148=""),AND(C148&lt;Datos!$F$2,E148="")),"",IF(C148&gt;=Datos!$F$2,10*B148*C148,10*B148*E148))</f>
        <v/>
      </c>
      <c r="H148" s="44" t="str">
        <f>IF(AND(LECON!$D148="",LECON!$F148=""),"",IF(LECON!$F148="",LECON!$D148,LECON!$F148))</f>
        <v/>
      </c>
      <c r="I148" s="39"/>
      <c r="J148" s="39"/>
      <c r="K148" s="42"/>
      <c r="L148" s="39"/>
      <c r="M148" s="39"/>
      <c r="N148" s="46" t="str">
        <f>IF(OR(A148="",B148="",AND(J148="",L148=""),AND(J148&lt;Datos!$F$3,L148="")),"",IF(J148&gt;=Datos!$F$3,10*B148*J148,10*B148*L148))</f>
        <v/>
      </c>
      <c r="O148" s="44" t="str">
        <f>IF(AND(LECON!$K148="",LECON!$M148=""),"",IF(LECON!$M148="",LECON!$K148,LECON!$M148))</f>
        <v/>
      </c>
      <c r="P148" s="39"/>
      <c r="Q148" s="46" t="str">
        <f t="shared" si="2"/>
        <v/>
      </c>
      <c r="R148" s="44" t="str">
        <f>IF(OR(LECON!$H148="",LECON!$O148=""),"",MAX(LECON!$H148,LECON!$O148))</f>
        <v/>
      </c>
    </row>
    <row r="149" spans="1:18" x14ac:dyDescent="0.25">
      <c r="A149" s="40"/>
      <c r="B149" s="40"/>
      <c r="C149" s="40"/>
      <c r="D149" s="43"/>
      <c r="E149" s="40"/>
      <c r="F149" s="40"/>
      <c r="G149" s="49" t="str">
        <f>IF(OR(A149="",B149="",AND(C149="",E149=""),AND(C149&lt;Datos!$F$2,E149="")),"",IF(C149&gt;=Datos!$F$2,10*B149*C149,10*B149*E149))</f>
        <v/>
      </c>
      <c r="H149" s="45" t="str">
        <f>IF(AND(LECON!$D149="",LECON!$F149=""),"",IF(LECON!$F149="",LECON!$D149,LECON!$F149))</f>
        <v/>
      </c>
      <c r="I149" s="40"/>
      <c r="J149" s="40"/>
      <c r="K149" s="43"/>
      <c r="L149" s="40"/>
      <c r="M149" s="40"/>
      <c r="N149" s="47" t="str">
        <f>IF(OR(A149="",B149="",AND(J149="",L149=""),AND(J149&lt;Datos!$F$3,L149="")),"",IF(J149&gt;=Datos!$F$3,10*B149*J149,10*B149*L149))</f>
        <v/>
      </c>
      <c r="O149" s="45" t="str">
        <f>IF(AND(LECON!$K149="",LECON!$M149=""),"",IF(LECON!$M149="",LECON!$K149,LECON!$M149))</f>
        <v/>
      </c>
      <c r="P149" s="40"/>
      <c r="Q149" s="47" t="str">
        <f t="shared" si="2"/>
        <v/>
      </c>
      <c r="R149" s="45" t="str">
        <f>IF(OR(LECON!$H149="",LECON!$O149=""),"",MAX(LECON!$H149,LECON!$O149))</f>
        <v/>
      </c>
    </row>
    <row r="150" spans="1:18" x14ac:dyDescent="0.25">
      <c r="A150" s="39"/>
      <c r="B150" s="39"/>
      <c r="C150" s="39"/>
      <c r="D150" s="42"/>
      <c r="E150" s="39"/>
      <c r="F150" s="39"/>
      <c r="G150" s="48" t="str">
        <f>IF(OR(A150="",B150="",AND(C150="",E150=""),AND(C150&lt;Datos!$F$2,E150="")),"",IF(C150&gt;=Datos!$F$2,10*B150*C150,10*B150*E150))</f>
        <v/>
      </c>
      <c r="H150" s="44" t="str">
        <f>IF(AND(LECON!$D150="",LECON!$F150=""),"",IF(LECON!$F150="",LECON!$D150,LECON!$F150))</f>
        <v/>
      </c>
      <c r="I150" s="39"/>
      <c r="J150" s="39"/>
      <c r="K150" s="42"/>
      <c r="L150" s="39"/>
      <c r="M150" s="39"/>
      <c r="N150" s="46" t="str">
        <f>IF(OR(A150="",B150="",AND(J150="",L150=""),AND(J150&lt;Datos!$F$3,L150="")),"",IF(J150&gt;=Datos!$F$3,10*B150*J150,10*B150*L150))</f>
        <v/>
      </c>
      <c r="O150" s="44" t="str">
        <f>IF(AND(LECON!$K150="",LECON!$M150=""),"",IF(LECON!$M150="",LECON!$K150,LECON!$M150))</f>
        <v/>
      </c>
      <c r="P150" s="39"/>
      <c r="Q150" s="46" t="str">
        <f t="shared" si="2"/>
        <v/>
      </c>
      <c r="R150" s="44" t="str">
        <f>IF(OR(LECON!$H150="",LECON!$O150=""),"",MAX(LECON!$H150,LECON!$O150))</f>
        <v/>
      </c>
    </row>
    <row r="151" spans="1:18" x14ac:dyDescent="0.25">
      <c r="A151" s="40"/>
      <c r="B151" s="40"/>
      <c r="C151" s="40"/>
      <c r="D151" s="43"/>
      <c r="E151" s="40"/>
      <c r="F151" s="40"/>
      <c r="G151" s="49" t="str">
        <f>IF(OR(A151="",B151="",AND(C151="",E151=""),AND(C151&lt;Datos!$F$2,E151="")),"",IF(C151&gt;=Datos!$F$2,10*B151*C151,10*B151*E151))</f>
        <v/>
      </c>
      <c r="H151" s="45" t="str">
        <f>IF(AND(LECON!$D151="",LECON!$F151=""),"",IF(LECON!$F151="",LECON!$D151,LECON!$F151))</f>
        <v/>
      </c>
      <c r="I151" s="40"/>
      <c r="J151" s="40"/>
      <c r="K151" s="43"/>
      <c r="L151" s="40"/>
      <c r="M151" s="40"/>
      <c r="N151" s="47" t="str">
        <f>IF(OR(A151="",B151="",AND(J151="",L151=""),AND(J151&lt;Datos!$F$3,L151="")),"",IF(J151&gt;=Datos!$F$3,10*B151*J151,10*B151*L151))</f>
        <v/>
      </c>
      <c r="O151" s="45" t="str">
        <f>IF(AND(LECON!$K151="",LECON!$M151=""),"",IF(LECON!$M151="",LECON!$K151,LECON!$M151))</f>
        <v/>
      </c>
      <c r="P151" s="40"/>
      <c r="Q151" s="47" t="str">
        <f t="shared" si="2"/>
        <v/>
      </c>
      <c r="R151" s="45" t="str">
        <f>IF(OR(LECON!$H151="",LECON!$O151=""),"",MAX(LECON!$H151,LECON!$O151))</f>
        <v/>
      </c>
    </row>
    <row r="152" spans="1:18" x14ac:dyDescent="0.25">
      <c r="A152" s="39"/>
      <c r="B152" s="39"/>
      <c r="C152" s="39"/>
      <c r="D152" s="42"/>
      <c r="E152" s="39"/>
      <c r="F152" s="39"/>
      <c r="G152" s="48" t="str">
        <f>IF(OR(A152="",B152="",AND(C152="",E152=""),AND(C152&lt;Datos!$F$2,E152="")),"",IF(C152&gt;=Datos!$F$2,10*B152*C152,10*B152*E152))</f>
        <v/>
      </c>
      <c r="H152" s="44" t="str">
        <f>IF(AND(LECON!$D152="",LECON!$F152=""),"",IF(LECON!$F152="",LECON!$D152,LECON!$F152))</f>
        <v/>
      </c>
      <c r="I152" s="39"/>
      <c r="J152" s="39"/>
      <c r="K152" s="42"/>
      <c r="L152" s="39"/>
      <c r="M152" s="39"/>
      <c r="N152" s="46" t="str">
        <f>IF(OR(A152="",B152="",AND(J152="",L152=""),AND(J152&lt;Datos!$F$3,L152="")),"",IF(J152&gt;=Datos!$F$3,10*B152*J152,10*B152*L152))</f>
        <v/>
      </c>
      <c r="O152" s="44" t="str">
        <f>IF(AND(LECON!$K152="",LECON!$M152=""),"",IF(LECON!$M152="",LECON!$K152,LECON!$M152))</f>
        <v/>
      </c>
      <c r="P152" s="39"/>
      <c r="Q152" s="46" t="str">
        <f t="shared" si="2"/>
        <v/>
      </c>
      <c r="R152" s="44" t="str">
        <f>IF(OR(LECON!$H152="",LECON!$O152=""),"",MAX(LECON!$H152,LECON!$O152))</f>
        <v/>
      </c>
    </row>
    <row r="153" spans="1:18" x14ac:dyDescent="0.25">
      <c r="A153" s="40"/>
      <c r="B153" s="40"/>
      <c r="C153" s="40"/>
      <c r="D153" s="43"/>
      <c r="E153" s="40"/>
      <c r="F153" s="40"/>
      <c r="G153" s="49" t="str">
        <f>IF(OR(A153="",B153="",AND(C153="",E153=""),AND(C153&lt;Datos!$F$2,E153="")),"",IF(C153&gt;=Datos!$F$2,10*B153*C153,10*B153*E153))</f>
        <v/>
      </c>
      <c r="H153" s="45" t="str">
        <f>IF(AND(LECON!$D153="",LECON!$F153=""),"",IF(LECON!$F153="",LECON!$D153,LECON!$F153))</f>
        <v/>
      </c>
      <c r="I153" s="40"/>
      <c r="J153" s="40"/>
      <c r="K153" s="43"/>
      <c r="L153" s="40"/>
      <c r="M153" s="40"/>
      <c r="N153" s="47" t="str">
        <f>IF(OR(A153="",B153="",AND(J153="",L153=""),AND(J153&lt;Datos!$F$3,L153="")),"",IF(J153&gt;=Datos!$F$3,10*B153*J153,10*B153*L153))</f>
        <v/>
      </c>
      <c r="O153" s="45" t="str">
        <f>IF(AND(LECON!$K153="",LECON!$M153=""),"",IF(LECON!$M153="",LECON!$K153,LECON!$M153))</f>
        <v/>
      </c>
      <c r="P153" s="40"/>
      <c r="Q153" s="47" t="str">
        <f t="shared" si="2"/>
        <v/>
      </c>
      <c r="R153" s="45" t="str">
        <f>IF(OR(LECON!$H153="",LECON!$O153=""),"",MAX(LECON!$H153,LECON!$O153))</f>
        <v/>
      </c>
    </row>
    <row r="154" spans="1:18" x14ac:dyDescent="0.25">
      <c r="A154" s="39"/>
      <c r="B154" s="39"/>
      <c r="C154" s="39"/>
      <c r="D154" s="42"/>
      <c r="E154" s="39"/>
      <c r="F154" s="39"/>
      <c r="G154" s="48" t="str">
        <f>IF(OR(A154="",B154="",AND(C154="",E154=""),AND(C154&lt;Datos!$F$2,E154="")),"",IF(C154&gt;=Datos!$F$2,10*B154*C154,10*B154*E154))</f>
        <v/>
      </c>
      <c r="H154" s="44" t="str">
        <f>IF(AND(LECON!$D154="",LECON!$F154=""),"",IF(LECON!$F154="",LECON!$D154,LECON!$F154))</f>
        <v/>
      </c>
      <c r="I154" s="39"/>
      <c r="J154" s="39"/>
      <c r="K154" s="42"/>
      <c r="L154" s="39"/>
      <c r="M154" s="39"/>
      <c r="N154" s="46" t="str">
        <f>IF(OR(A154="",B154="",AND(J154="",L154=""),AND(J154&lt;Datos!$F$3,L154="")),"",IF(J154&gt;=Datos!$F$3,10*B154*J154,10*B154*L154))</f>
        <v/>
      </c>
      <c r="O154" s="44" t="str">
        <f>IF(AND(LECON!$K154="",LECON!$M154=""),"",IF(LECON!$M154="",LECON!$K154,LECON!$M154))</f>
        <v/>
      </c>
      <c r="P154" s="39"/>
      <c r="Q154" s="46" t="str">
        <f t="shared" si="2"/>
        <v/>
      </c>
      <c r="R154" s="44" t="str">
        <f>IF(OR(LECON!$H154="",LECON!$O154=""),"",MAX(LECON!$H154,LECON!$O154))</f>
        <v/>
      </c>
    </row>
    <row r="155" spans="1:18" x14ac:dyDescent="0.25">
      <c r="A155" s="40"/>
      <c r="B155" s="40"/>
      <c r="C155" s="40"/>
      <c r="D155" s="43"/>
      <c r="E155" s="40"/>
      <c r="F155" s="40"/>
      <c r="G155" s="49" t="str">
        <f>IF(OR(A155="",B155="",AND(C155="",E155=""),AND(C155&lt;Datos!$F$2,E155="")),"",IF(C155&gt;=Datos!$F$2,10*B155*C155,10*B155*E155))</f>
        <v/>
      </c>
      <c r="H155" s="45" t="str">
        <f>IF(AND(LECON!$D155="",LECON!$F155=""),"",IF(LECON!$F155="",LECON!$D155,LECON!$F155))</f>
        <v/>
      </c>
      <c r="I155" s="40"/>
      <c r="J155" s="40"/>
      <c r="K155" s="43"/>
      <c r="L155" s="40"/>
      <c r="M155" s="40"/>
      <c r="N155" s="47" t="str">
        <f>IF(OR(A155="",B155="",AND(J155="",L155=""),AND(J155&lt;Datos!$F$3,L155="")),"",IF(J155&gt;=Datos!$F$3,10*B155*J155,10*B155*L155))</f>
        <v/>
      </c>
      <c r="O155" s="45" t="str">
        <f>IF(AND(LECON!$K155="",LECON!$M155=""),"",IF(LECON!$M155="",LECON!$K155,LECON!$M155))</f>
        <v/>
      </c>
      <c r="P155" s="40"/>
      <c r="Q155" s="47" t="str">
        <f t="shared" si="2"/>
        <v/>
      </c>
      <c r="R155" s="45" t="str">
        <f>IF(OR(LECON!$H155="",LECON!$O155=""),"",MAX(LECON!$H155,LECON!$O155))</f>
        <v/>
      </c>
    </row>
    <row r="156" spans="1:18" x14ac:dyDescent="0.25">
      <c r="A156" s="39"/>
      <c r="B156" s="39"/>
      <c r="C156" s="39"/>
      <c r="D156" s="42"/>
      <c r="E156" s="39"/>
      <c r="F156" s="39"/>
      <c r="G156" s="48" t="str">
        <f>IF(OR(A156="",B156="",AND(C156="",E156=""),AND(C156&lt;Datos!$F$2,E156="")),"",IF(C156&gt;=Datos!$F$2,10*B156*C156,10*B156*E156))</f>
        <v/>
      </c>
      <c r="H156" s="44" t="str">
        <f>IF(AND(LECON!$D156="",LECON!$F156=""),"",IF(LECON!$F156="",LECON!$D156,LECON!$F156))</f>
        <v/>
      </c>
      <c r="I156" s="39"/>
      <c r="J156" s="39"/>
      <c r="K156" s="42"/>
      <c r="L156" s="39"/>
      <c r="M156" s="39"/>
      <c r="N156" s="46" t="str">
        <f>IF(OR(A156="",B156="",AND(J156="",L156=""),AND(J156&lt;Datos!$F$3,L156="")),"",IF(J156&gt;=Datos!$F$3,10*B156*J156,10*B156*L156))</f>
        <v/>
      </c>
      <c r="O156" s="44" t="str">
        <f>IF(AND(LECON!$K156="",LECON!$M156=""),"",IF(LECON!$M156="",LECON!$K156,LECON!$M156))</f>
        <v/>
      </c>
      <c r="P156" s="39"/>
      <c r="Q156" s="46" t="str">
        <f t="shared" si="2"/>
        <v/>
      </c>
      <c r="R156" s="44" t="str">
        <f>IF(OR(LECON!$H156="",LECON!$O156=""),"",MAX(LECON!$H156,LECON!$O156))</f>
        <v/>
      </c>
    </row>
    <row r="157" spans="1:18" x14ac:dyDescent="0.25">
      <c r="A157" s="40"/>
      <c r="B157" s="40"/>
      <c r="C157" s="40"/>
      <c r="D157" s="43"/>
      <c r="E157" s="40"/>
      <c r="F157" s="40"/>
      <c r="G157" s="49" t="str">
        <f>IF(OR(A157="",B157="",AND(C157="",E157=""),AND(C157&lt;Datos!$F$2,E157="")),"",IF(C157&gt;=Datos!$F$2,10*B157*C157,10*B157*E157))</f>
        <v/>
      </c>
      <c r="H157" s="45" t="str">
        <f>IF(AND(LECON!$D157="",LECON!$F157=""),"",IF(LECON!$F157="",LECON!$D157,LECON!$F157))</f>
        <v/>
      </c>
      <c r="I157" s="40"/>
      <c r="J157" s="40"/>
      <c r="K157" s="43"/>
      <c r="L157" s="40"/>
      <c r="M157" s="40"/>
      <c r="N157" s="47" t="str">
        <f>IF(OR(A157="",B157="",AND(J157="",L157=""),AND(J157&lt;Datos!$F$3,L157="")),"",IF(J157&gt;=Datos!$F$3,10*B157*J157,10*B157*L157))</f>
        <v/>
      </c>
      <c r="O157" s="45" t="str">
        <f>IF(AND(LECON!$K157="",LECON!$M157=""),"",IF(LECON!$M157="",LECON!$K157,LECON!$M157))</f>
        <v/>
      </c>
      <c r="P157" s="40"/>
      <c r="Q157" s="47" t="str">
        <f t="shared" si="2"/>
        <v/>
      </c>
      <c r="R157" s="45" t="str">
        <f>IF(OR(LECON!$H157="",LECON!$O157=""),"",MAX(LECON!$H157,LECON!$O157))</f>
        <v/>
      </c>
    </row>
    <row r="158" spans="1:18" x14ac:dyDescent="0.25">
      <c r="A158" s="39"/>
      <c r="B158" s="39"/>
      <c r="C158" s="39"/>
      <c r="D158" s="42"/>
      <c r="E158" s="39"/>
      <c r="F158" s="39"/>
      <c r="G158" s="48" t="str">
        <f>IF(OR(A158="",B158="",AND(C158="",E158=""),AND(C158&lt;Datos!$F$2,E158="")),"",IF(C158&gt;=Datos!$F$2,10*B158*C158,10*B158*E158))</f>
        <v/>
      </c>
      <c r="H158" s="44" t="str">
        <f>IF(AND(LECON!$D158="",LECON!$F158=""),"",IF(LECON!$F158="",LECON!$D158,LECON!$F158))</f>
        <v/>
      </c>
      <c r="I158" s="39"/>
      <c r="J158" s="39"/>
      <c r="K158" s="42"/>
      <c r="L158" s="39"/>
      <c r="M158" s="39"/>
      <c r="N158" s="46" t="str">
        <f>IF(OR(A158="",B158="",AND(J158="",L158=""),AND(J158&lt;Datos!$F$3,L158="")),"",IF(J158&gt;=Datos!$F$3,10*B158*J158,10*B158*L158))</f>
        <v/>
      </c>
      <c r="O158" s="44" t="str">
        <f>IF(AND(LECON!$K158="",LECON!$M158=""),"",IF(LECON!$M158="",LECON!$K158,LECON!$M158))</f>
        <v/>
      </c>
      <c r="P158" s="39"/>
      <c r="Q158" s="46" t="str">
        <f t="shared" si="2"/>
        <v/>
      </c>
      <c r="R158" s="44" t="str">
        <f>IF(OR(LECON!$H158="",LECON!$O158=""),"",MAX(LECON!$H158,LECON!$O158))</f>
        <v/>
      </c>
    </row>
    <row r="159" spans="1:18" x14ac:dyDescent="0.25">
      <c r="A159" s="40"/>
      <c r="B159" s="40"/>
      <c r="C159" s="40"/>
      <c r="D159" s="43"/>
      <c r="E159" s="40"/>
      <c r="F159" s="40"/>
      <c r="G159" s="49" t="str">
        <f>IF(OR(A159="",B159="",AND(C159="",E159=""),AND(C159&lt;Datos!$F$2,E159="")),"",IF(C159&gt;=Datos!$F$2,10*B159*C159,10*B159*E159))</f>
        <v/>
      </c>
      <c r="H159" s="45" t="str">
        <f>IF(AND(LECON!$D159="",LECON!$F159=""),"",IF(LECON!$F159="",LECON!$D159,LECON!$F159))</f>
        <v/>
      </c>
      <c r="I159" s="40"/>
      <c r="J159" s="40"/>
      <c r="K159" s="43"/>
      <c r="L159" s="40"/>
      <c r="M159" s="40"/>
      <c r="N159" s="47" t="str">
        <f>IF(OR(A159="",B159="",AND(J159="",L159=""),AND(J159&lt;Datos!$F$3,L159="")),"",IF(J159&gt;=Datos!$F$3,10*B159*J159,10*B159*L159))</f>
        <v/>
      </c>
      <c r="O159" s="45" t="str">
        <f>IF(AND(LECON!$K159="",LECON!$M159=""),"",IF(LECON!$M159="",LECON!$K159,LECON!$M159))</f>
        <v/>
      </c>
      <c r="P159" s="40"/>
      <c r="Q159" s="47" t="str">
        <f t="shared" si="2"/>
        <v/>
      </c>
      <c r="R159" s="45" t="str">
        <f>IF(OR(LECON!$H159="",LECON!$O159=""),"",MAX(LECON!$H159,LECON!$O159))</f>
        <v/>
      </c>
    </row>
    <row r="160" spans="1:18" x14ac:dyDescent="0.25">
      <c r="A160" s="39"/>
      <c r="B160" s="39"/>
      <c r="C160" s="39"/>
      <c r="D160" s="42"/>
      <c r="E160" s="39"/>
      <c r="F160" s="39"/>
      <c r="G160" s="48" t="str">
        <f>IF(OR(A160="",B160="",AND(C160="",E160=""),AND(C160&lt;Datos!$F$2,E160="")),"",IF(C160&gt;=Datos!$F$2,10*B160*C160,10*B160*E160))</f>
        <v/>
      </c>
      <c r="H160" s="44" t="str">
        <f>IF(AND(LECON!$D160="",LECON!$F160=""),"",IF(LECON!$F160="",LECON!$D160,LECON!$F160))</f>
        <v/>
      </c>
      <c r="I160" s="39"/>
      <c r="J160" s="39"/>
      <c r="K160" s="42"/>
      <c r="L160" s="39"/>
      <c r="M160" s="39"/>
      <c r="N160" s="46" t="str">
        <f>IF(OR(A160="",B160="",AND(J160="",L160=""),AND(J160&lt;Datos!$F$3,L160="")),"",IF(J160&gt;=Datos!$F$3,10*B160*J160,10*B160*L160))</f>
        <v/>
      </c>
      <c r="O160" s="44" t="str">
        <f>IF(AND(LECON!$K160="",LECON!$M160=""),"",IF(LECON!$M160="",LECON!$K160,LECON!$M160))</f>
        <v/>
      </c>
      <c r="P160" s="39"/>
      <c r="Q160" s="46" t="str">
        <f t="shared" si="2"/>
        <v/>
      </c>
      <c r="R160" s="44" t="str">
        <f>IF(OR(LECON!$H160="",LECON!$O160=""),"",MAX(LECON!$H160,LECON!$O160))</f>
        <v/>
      </c>
    </row>
    <row r="161" spans="1:18" x14ac:dyDescent="0.25">
      <c r="A161" s="40"/>
      <c r="B161" s="40"/>
      <c r="C161" s="40"/>
      <c r="D161" s="43"/>
      <c r="E161" s="40"/>
      <c r="F161" s="40"/>
      <c r="G161" s="49" t="str">
        <f>IF(OR(A161="",B161="",AND(C161="",E161=""),AND(C161&lt;Datos!$F$2,E161="")),"",IF(C161&gt;=Datos!$F$2,10*B161*C161,10*B161*E161))</f>
        <v/>
      </c>
      <c r="H161" s="45" t="str">
        <f>IF(AND(LECON!$D161="",LECON!$F161=""),"",IF(LECON!$F161="",LECON!$D161,LECON!$F161))</f>
        <v/>
      </c>
      <c r="I161" s="40"/>
      <c r="J161" s="40"/>
      <c r="K161" s="43"/>
      <c r="L161" s="40"/>
      <c r="M161" s="40"/>
      <c r="N161" s="47" t="str">
        <f>IF(OR(A161="",B161="",AND(J161="",L161=""),AND(J161&lt;Datos!$F$3,L161="")),"",IF(J161&gt;=Datos!$F$3,10*B161*J161,10*B161*L161))</f>
        <v/>
      </c>
      <c r="O161" s="45" t="str">
        <f>IF(AND(LECON!$K161="",LECON!$M161=""),"",IF(LECON!$M161="",LECON!$K161,LECON!$M161))</f>
        <v/>
      </c>
      <c r="P161" s="40"/>
      <c r="Q161" s="47" t="str">
        <f t="shared" si="2"/>
        <v/>
      </c>
      <c r="R161" s="45" t="str">
        <f>IF(OR(LECON!$H161="",LECON!$O161=""),"",MAX(LECON!$H161,LECON!$O161))</f>
        <v/>
      </c>
    </row>
    <row r="162" spans="1:18" x14ac:dyDescent="0.25">
      <c r="A162" s="39"/>
      <c r="B162" s="39"/>
      <c r="C162" s="39"/>
      <c r="D162" s="42"/>
      <c r="E162" s="39"/>
      <c r="F162" s="39"/>
      <c r="G162" s="48" t="str">
        <f>IF(OR(A162="",B162="",AND(C162="",E162=""),AND(C162&lt;Datos!$F$2,E162="")),"",IF(C162&gt;=Datos!$F$2,10*B162*C162,10*B162*E162))</f>
        <v/>
      </c>
      <c r="H162" s="44" t="str">
        <f>IF(AND(LECON!$D162="",LECON!$F162=""),"",IF(LECON!$F162="",LECON!$D162,LECON!$F162))</f>
        <v/>
      </c>
      <c r="I162" s="39"/>
      <c r="J162" s="39"/>
      <c r="K162" s="42"/>
      <c r="L162" s="39"/>
      <c r="M162" s="39"/>
      <c r="N162" s="46" t="str">
        <f>IF(OR(A162="",B162="",AND(J162="",L162=""),AND(J162&lt;Datos!$F$3,L162="")),"",IF(J162&gt;=Datos!$F$3,10*B162*J162,10*B162*L162))</f>
        <v/>
      </c>
      <c r="O162" s="44" t="str">
        <f>IF(AND(LECON!$K162="",LECON!$M162=""),"",IF(LECON!$M162="",LECON!$K162,LECON!$M162))</f>
        <v/>
      </c>
      <c r="P162" s="39"/>
      <c r="Q162" s="46" t="str">
        <f t="shared" si="2"/>
        <v/>
      </c>
      <c r="R162" s="44" t="str">
        <f>IF(OR(LECON!$H162="",LECON!$O162=""),"",MAX(LECON!$H162,LECON!$O162))</f>
        <v/>
      </c>
    </row>
    <row r="163" spans="1:18" x14ac:dyDescent="0.25">
      <c r="A163" s="40"/>
      <c r="B163" s="40"/>
      <c r="C163" s="40"/>
      <c r="D163" s="43"/>
      <c r="E163" s="40"/>
      <c r="F163" s="40"/>
      <c r="G163" s="49" t="str">
        <f>IF(OR(A163="",B163="",AND(C163="",E163=""),AND(C163&lt;Datos!$F$2,E163="")),"",IF(C163&gt;=Datos!$F$2,10*B163*C163,10*B163*E163))</f>
        <v/>
      </c>
      <c r="H163" s="45" t="str">
        <f>IF(AND(LECON!$D163="",LECON!$F163=""),"",IF(LECON!$F163="",LECON!$D163,LECON!$F163))</f>
        <v/>
      </c>
      <c r="I163" s="40"/>
      <c r="J163" s="40"/>
      <c r="K163" s="43"/>
      <c r="L163" s="40"/>
      <c r="M163" s="40"/>
      <c r="N163" s="47" t="str">
        <f>IF(OR(A163="",B163="",AND(J163="",L163=""),AND(J163&lt;Datos!$F$3,L163="")),"",IF(J163&gt;=Datos!$F$3,10*B163*J163,10*B163*L163))</f>
        <v/>
      </c>
      <c r="O163" s="45" t="str">
        <f>IF(AND(LECON!$K163="",LECON!$M163=""),"",IF(LECON!$M163="",LECON!$K163,LECON!$M163))</f>
        <v/>
      </c>
      <c r="P163" s="40"/>
      <c r="Q163" s="47" t="str">
        <f t="shared" si="2"/>
        <v/>
      </c>
      <c r="R163" s="45" t="str">
        <f>IF(OR(LECON!$H163="",LECON!$O163=""),"",MAX(LECON!$H163,LECON!$O163))</f>
        <v/>
      </c>
    </row>
    <row r="164" spans="1:18" x14ac:dyDescent="0.25">
      <c r="A164" s="39"/>
      <c r="B164" s="39"/>
      <c r="C164" s="39"/>
      <c r="D164" s="42"/>
      <c r="E164" s="39"/>
      <c r="F164" s="39"/>
      <c r="G164" s="48" t="str">
        <f>IF(OR(A164="",B164="",AND(C164="",E164=""),AND(C164&lt;Datos!$F$2,E164="")),"",IF(C164&gt;=Datos!$F$2,10*B164*C164,10*B164*E164))</f>
        <v/>
      </c>
      <c r="H164" s="44" t="str">
        <f>IF(AND(LECON!$D164="",LECON!$F164=""),"",IF(LECON!$F164="",LECON!$D164,LECON!$F164))</f>
        <v/>
      </c>
      <c r="I164" s="39"/>
      <c r="J164" s="39"/>
      <c r="K164" s="42"/>
      <c r="L164" s="39"/>
      <c r="M164" s="39"/>
      <c r="N164" s="46" t="str">
        <f>IF(OR(A164="",B164="",AND(J164="",L164=""),AND(J164&lt;Datos!$F$3,L164="")),"",IF(J164&gt;=Datos!$F$3,10*B164*J164,10*B164*L164))</f>
        <v/>
      </c>
      <c r="O164" s="44" t="str">
        <f>IF(AND(LECON!$K164="",LECON!$M164=""),"",IF(LECON!$M164="",LECON!$K164,LECON!$M164))</f>
        <v/>
      </c>
      <c r="P164" s="39"/>
      <c r="Q164" s="46" t="str">
        <f t="shared" si="2"/>
        <v/>
      </c>
      <c r="R164" s="44" t="str">
        <f>IF(OR(LECON!$H164="",LECON!$O164=""),"",MAX(LECON!$H164,LECON!$O164))</f>
        <v/>
      </c>
    </row>
    <row r="165" spans="1:18" x14ac:dyDescent="0.25">
      <c r="A165" s="40"/>
      <c r="B165" s="40"/>
      <c r="C165" s="40"/>
      <c r="D165" s="43"/>
      <c r="E165" s="40"/>
      <c r="F165" s="40"/>
      <c r="G165" s="49" t="str">
        <f>IF(OR(A165="",B165="",AND(C165="",E165=""),AND(C165&lt;Datos!$F$2,E165="")),"",IF(C165&gt;=Datos!$F$2,10*B165*C165,10*B165*E165))</f>
        <v/>
      </c>
      <c r="H165" s="45" t="str">
        <f>IF(AND(LECON!$D165="",LECON!$F165=""),"",IF(LECON!$F165="",LECON!$D165,LECON!$F165))</f>
        <v/>
      </c>
      <c r="I165" s="40"/>
      <c r="J165" s="40"/>
      <c r="K165" s="43"/>
      <c r="L165" s="40"/>
      <c r="M165" s="40"/>
      <c r="N165" s="47" t="str">
        <f>IF(OR(A165="",B165="",AND(J165="",L165=""),AND(J165&lt;Datos!$F$3,L165="")),"",IF(J165&gt;=Datos!$F$3,10*B165*J165,10*B165*L165))</f>
        <v/>
      </c>
      <c r="O165" s="45" t="str">
        <f>IF(AND(LECON!$K165="",LECON!$M165=""),"",IF(LECON!$M165="",LECON!$K165,LECON!$M165))</f>
        <v/>
      </c>
      <c r="P165" s="40"/>
      <c r="Q165" s="47" t="str">
        <f t="shared" si="2"/>
        <v/>
      </c>
      <c r="R165" s="45" t="str">
        <f>IF(OR(LECON!$H165="",LECON!$O165=""),"",MAX(LECON!$H165,LECON!$O165))</f>
        <v/>
      </c>
    </row>
    <row r="166" spans="1:18" x14ac:dyDescent="0.25">
      <c r="A166" s="39"/>
      <c r="B166" s="39"/>
      <c r="C166" s="39"/>
      <c r="D166" s="42"/>
      <c r="E166" s="39"/>
      <c r="F166" s="39"/>
      <c r="G166" s="48" t="str">
        <f>IF(OR(A166="",B166="",AND(C166="",E166=""),AND(C166&lt;Datos!$F$2,E166="")),"",IF(C166&gt;=Datos!$F$2,10*B166*C166,10*B166*E166))</f>
        <v/>
      </c>
      <c r="H166" s="44" t="str">
        <f>IF(AND(LECON!$D166="",LECON!$F166=""),"",IF(LECON!$F166="",LECON!$D166,LECON!$F166))</f>
        <v/>
      </c>
      <c r="I166" s="39"/>
      <c r="J166" s="39"/>
      <c r="K166" s="42"/>
      <c r="L166" s="39"/>
      <c r="M166" s="39"/>
      <c r="N166" s="46" t="str">
        <f>IF(OR(A166="",B166="",AND(J166="",L166=""),AND(J166&lt;Datos!$F$3,L166="")),"",IF(J166&gt;=Datos!$F$3,10*B166*J166,10*B166*L166))</f>
        <v/>
      </c>
      <c r="O166" s="44" t="str">
        <f>IF(AND(LECON!$K166="",LECON!$M166=""),"",IF(LECON!$M166="",LECON!$K166,LECON!$M166))</f>
        <v/>
      </c>
      <c r="P166" s="39"/>
      <c r="Q166" s="46" t="str">
        <f t="shared" si="2"/>
        <v/>
      </c>
      <c r="R166" s="44" t="str">
        <f>IF(OR(LECON!$H166="",LECON!$O166=""),"",MAX(LECON!$H166,LECON!$O166))</f>
        <v/>
      </c>
    </row>
    <row r="167" spans="1:18" x14ac:dyDescent="0.25">
      <c r="A167" s="40"/>
      <c r="B167" s="40"/>
      <c r="C167" s="40"/>
      <c r="D167" s="43"/>
      <c r="E167" s="40"/>
      <c r="F167" s="40"/>
      <c r="G167" s="49" t="str">
        <f>IF(OR(A167="",B167="",AND(C167="",E167=""),AND(C167&lt;Datos!$F$2,E167="")),"",IF(C167&gt;=Datos!$F$2,10*B167*C167,10*B167*E167))</f>
        <v/>
      </c>
      <c r="H167" s="45" t="str">
        <f>IF(AND(LECON!$D167="",LECON!$F167=""),"",IF(LECON!$F167="",LECON!$D167,LECON!$F167))</f>
        <v/>
      </c>
      <c r="I167" s="40"/>
      <c r="J167" s="40"/>
      <c r="K167" s="43"/>
      <c r="L167" s="40"/>
      <c r="M167" s="40"/>
      <c r="N167" s="47" t="str">
        <f>IF(OR(A167="",B167="",AND(J167="",L167=""),AND(J167&lt;Datos!$F$3,L167="")),"",IF(J167&gt;=Datos!$F$3,10*B167*J167,10*B167*L167))</f>
        <v/>
      </c>
      <c r="O167" s="45" t="str">
        <f>IF(AND(LECON!$K167="",LECON!$M167=""),"",IF(LECON!$M167="",LECON!$K167,LECON!$M167))</f>
        <v/>
      </c>
      <c r="P167" s="40"/>
      <c r="Q167" s="47" t="str">
        <f t="shared" si="2"/>
        <v/>
      </c>
      <c r="R167" s="45" t="str">
        <f>IF(OR(LECON!$H167="",LECON!$O167=""),"",MAX(LECON!$H167,LECON!$O167))</f>
        <v/>
      </c>
    </row>
    <row r="168" spans="1:18" x14ac:dyDescent="0.25">
      <c r="A168" s="39"/>
      <c r="B168" s="39"/>
      <c r="C168" s="39"/>
      <c r="D168" s="42"/>
      <c r="E168" s="39"/>
      <c r="F168" s="39"/>
      <c r="G168" s="48" t="str">
        <f>IF(OR(A168="",B168="",AND(C168="",E168=""),AND(C168&lt;Datos!$F$2,E168="")),"",IF(C168&gt;=Datos!$F$2,10*B168*C168,10*B168*E168))</f>
        <v/>
      </c>
      <c r="H168" s="44" t="str">
        <f>IF(AND(LECON!$D168="",LECON!$F168=""),"",IF(LECON!$F168="",LECON!$D168,LECON!$F168))</f>
        <v/>
      </c>
      <c r="I168" s="39"/>
      <c r="J168" s="39"/>
      <c r="K168" s="42"/>
      <c r="L168" s="39"/>
      <c r="M168" s="39"/>
      <c r="N168" s="46" t="str">
        <f>IF(OR(A168="",B168="",AND(J168="",L168=""),AND(J168&lt;Datos!$F$3,L168="")),"",IF(J168&gt;=Datos!$F$3,10*B168*J168,10*B168*L168))</f>
        <v/>
      </c>
      <c r="O168" s="44" t="str">
        <f>IF(AND(LECON!$K168="",LECON!$M168=""),"",IF(LECON!$M168="",LECON!$K168,LECON!$M168))</f>
        <v/>
      </c>
      <c r="P168" s="39"/>
      <c r="Q168" s="46" t="str">
        <f t="shared" si="2"/>
        <v/>
      </c>
      <c r="R168" s="44" t="str">
        <f>IF(OR(LECON!$H168="",LECON!$O168=""),"",MAX(LECON!$H168,LECON!$O168))</f>
        <v/>
      </c>
    </row>
    <row r="169" spans="1:18" x14ac:dyDescent="0.25">
      <c r="A169" s="40"/>
      <c r="B169" s="40"/>
      <c r="C169" s="40"/>
      <c r="D169" s="43"/>
      <c r="E169" s="40"/>
      <c r="F169" s="40"/>
      <c r="G169" s="49" t="str">
        <f>IF(OR(A169="",B169="",AND(C169="",E169=""),AND(C169&lt;Datos!$F$2,E169="")),"",IF(C169&gt;=Datos!$F$2,10*B169*C169,10*B169*E169))</f>
        <v/>
      </c>
      <c r="H169" s="45" t="str">
        <f>IF(AND(LECON!$D169="",LECON!$F169=""),"",IF(LECON!$F169="",LECON!$D169,LECON!$F169))</f>
        <v/>
      </c>
      <c r="I169" s="40"/>
      <c r="J169" s="40"/>
      <c r="K169" s="43"/>
      <c r="L169" s="40"/>
      <c r="M169" s="40"/>
      <c r="N169" s="47" t="str">
        <f>IF(OR(A169="",B169="",AND(J169="",L169=""),AND(J169&lt;Datos!$F$3,L169="")),"",IF(J169&gt;=Datos!$F$3,10*B169*J169,10*B169*L169))</f>
        <v/>
      </c>
      <c r="O169" s="45" t="str">
        <f>IF(AND(LECON!$K169="",LECON!$M169=""),"",IF(LECON!$M169="",LECON!$K169,LECON!$M169))</f>
        <v/>
      </c>
      <c r="P169" s="40"/>
      <c r="Q169" s="47" t="str">
        <f t="shared" si="2"/>
        <v/>
      </c>
      <c r="R169" s="45" t="str">
        <f>IF(OR(LECON!$H169="",LECON!$O169=""),"",MAX(LECON!$H169,LECON!$O169))</f>
        <v/>
      </c>
    </row>
    <row r="170" spans="1:18" x14ac:dyDescent="0.25">
      <c r="A170" s="39"/>
      <c r="B170" s="39"/>
      <c r="C170" s="39"/>
      <c r="D170" s="42"/>
      <c r="E170" s="39"/>
      <c r="F170" s="39"/>
      <c r="G170" s="48" t="str">
        <f>IF(OR(A170="",B170="",AND(C170="",E170=""),AND(C170&lt;Datos!$F$2,E170="")),"",IF(C170&gt;=Datos!$F$2,10*B170*C170,10*B170*E170))</f>
        <v/>
      </c>
      <c r="H170" s="44" t="str">
        <f>IF(AND(LECON!$D170="",LECON!$F170=""),"",IF(LECON!$F170="",LECON!$D170,LECON!$F170))</f>
        <v/>
      </c>
      <c r="I170" s="39"/>
      <c r="J170" s="39"/>
      <c r="K170" s="42"/>
      <c r="L170" s="39"/>
      <c r="M170" s="39"/>
      <c r="N170" s="46" t="str">
        <f>IF(OR(A170="",B170="",AND(J170="",L170=""),AND(J170&lt;Datos!$F$3,L170="")),"",IF(J170&gt;=Datos!$F$3,10*B170*J170,10*B170*L170))</f>
        <v/>
      </c>
      <c r="O170" s="44" t="str">
        <f>IF(AND(LECON!$K170="",LECON!$M170=""),"",IF(LECON!$M170="",LECON!$K170,LECON!$M170))</f>
        <v/>
      </c>
      <c r="P170" s="39"/>
      <c r="Q170" s="46" t="str">
        <f t="shared" si="2"/>
        <v/>
      </c>
      <c r="R170" s="44" t="str">
        <f>IF(OR(LECON!$H170="",LECON!$O170=""),"",MAX(LECON!$H170,LECON!$O170))</f>
        <v/>
      </c>
    </row>
    <row r="171" spans="1:18" x14ac:dyDescent="0.25">
      <c r="A171" s="40"/>
      <c r="B171" s="40"/>
      <c r="C171" s="40"/>
      <c r="D171" s="43"/>
      <c r="E171" s="40"/>
      <c r="F171" s="40"/>
      <c r="G171" s="49" t="str">
        <f>IF(OR(A171="",B171="",AND(C171="",E171=""),AND(C171&lt;Datos!$F$2,E171="")),"",IF(C171&gt;=Datos!$F$2,10*B171*C171,10*B171*E171))</f>
        <v/>
      </c>
      <c r="H171" s="45" t="str">
        <f>IF(AND(LECON!$D171="",LECON!$F171=""),"",IF(LECON!$F171="",LECON!$D171,LECON!$F171))</f>
        <v/>
      </c>
      <c r="I171" s="40"/>
      <c r="J171" s="40"/>
      <c r="K171" s="43"/>
      <c r="L171" s="40"/>
      <c r="M171" s="40"/>
      <c r="N171" s="47" t="str">
        <f>IF(OR(A171="",B171="",AND(J171="",L171=""),AND(J171&lt;Datos!$F$3,L171="")),"",IF(J171&gt;=Datos!$F$3,10*B171*J171,10*B171*L171))</f>
        <v/>
      </c>
      <c r="O171" s="45" t="str">
        <f>IF(AND(LECON!$K171="",LECON!$M171=""),"",IF(LECON!$M171="",LECON!$K171,LECON!$M171))</f>
        <v/>
      </c>
      <c r="P171" s="40"/>
      <c r="Q171" s="47" t="str">
        <f t="shared" si="2"/>
        <v/>
      </c>
      <c r="R171" s="45" t="str">
        <f>IF(OR(LECON!$H171="",LECON!$O171=""),"",MAX(LECON!$H171,LECON!$O171))</f>
        <v/>
      </c>
    </row>
    <row r="172" spans="1:18" x14ac:dyDescent="0.25">
      <c r="A172" s="39"/>
      <c r="B172" s="39"/>
      <c r="C172" s="39"/>
      <c r="D172" s="42"/>
      <c r="E172" s="39"/>
      <c r="F172" s="39"/>
      <c r="G172" s="48" t="str">
        <f>IF(OR(A172="",B172="",AND(C172="",E172=""),AND(C172&lt;Datos!$F$2,E172="")),"",IF(C172&gt;=Datos!$F$2,10*B172*C172,10*B172*E172))</f>
        <v/>
      </c>
      <c r="H172" s="44" t="str">
        <f>IF(AND(LECON!$D172="",LECON!$F172=""),"",IF(LECON!$F172="",LECON!$D172,LECON!$F172))</f>
        <v/>
      </c>
      <c r="I172" s="39"/>
      <c r="J172" s="39"/>
      <c r="K172" s="42"/>
      <c r="L172" s="39"/>
      <c r="M172" s="39"/>
      <c r="N172" s="46" t="str">
        <f>IF(OR(A172="",B172="",AND(J172="",L172=""),AND(J172&lt;Datos!$F$3,L172="")),"",IF(J172&gt;=Datos!$F$3,10*B172*J172,10*B172*L172))</f>
        <v/>
      </c>
      <c r="O172" s="44" t="str">
        <f>IF(AND(LECON!$K172="",LECON!$M172=""),"",IF(LECON!$M172="",LECON!$K172,LECON!$M172))</f>
        <v/>
      </c>
      <c r="P172" s="39"/>
      <c r="Q172" s="46" t="str">
        <f t="shared" si="2"/>
        <v/>
      </c>
      <c r="R172" s="44" t="str">
        <f>IF(OR(LECON!$H172="",LECON!$O172=""),"",MAX(LECON!$H172,LECON!$O172))</f>
        <v/>
      </c>
    </row>
  </sheetData>
  <sheetProtection password="D1D1" sheet="1" objects="1" scenarios="1" formatCells="0" formatColumns="0" formatRows="0"/>
  <pageMargins left="0.7" right="0.7" top="0.75" bottom="0.75" header="0.3" footer="0.3"/>
  <pageSetup paperSize="9" scale="75" orientation="landscape" r:id="rId1"/>
  <rowBreaks count="1" manualBreakCount="1">
    <brk id="108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CS43"/>
  <sheetViews>
    <sheetView zoomScaleNormal="100" workbookViewId="0">
      <selection activeCell="A2" sqref="A2"/>
    </sheetView>
  </sheetViews>
  <sheetFormatPr baseColWidth="10" defaultColWidth="11.42578125" defaultRowHeight="15" x14ac:dyDescent="0.25"/>
  <cols>
    <col min="1" max="1" width="14" style="2" customWidth="1"/>
    <col min="2" max="2" width="14" style="3" customWidth="1"/>
    <col min="3" max="3" width="14.28515625" style="4" customWidth="1"/>
    <col min="4" max="4" width="8.7109375" style="5" customWidth="1"/>
    <col min="5" max="5" width="8.85546875" style="6" customWidth="1"/>
    <col min="6" max="16" width="10.7109375" style="8" customWidth="1"/>
    <col min="17" max="60" width="7.7109375" style="4" customWidth="1"/>
    <col min="61" max="61" width="7.7109375" style="8" customWidth="1"/>
    <col min="62" max="62" width="7.7109375" style="5" customWidth="1"/>
    <col min="63" max="63" width="14.140625" style="9" customWidth="1"/>
    <col min="64" max="64" width="7.7109375" style="8" customWidth="1"/>
    <col min="65" max="65" width="7.7109375" style="5" customWidth="1"/>
    <col min="66" max="66" width="13.42578125" style="9" bestFit="1" customWidth="1"/>
    <col min="67" max="67" width="7.7109375" style="8" customWidth="1"/>
    <col min="68" max="68" width="7.7109375" style="5" customWidth="1"/>
    <col min="69" max="69" width="13.28515625" style="9" customWidth="1"/>
    <col min="70" max="70" width="7.7109375" style="8" customWidth="1"/>
    <col min="71" max="71" width="7.7109375" style="5" customWidth="1"/>
    <col min="72" max="72" width="13.42578125" style="9" bestFit="1" customWidth="1"/>
    <col min="73" max="73" width="7.7109375" style="8" customWidth="1"/>
    <col min="74" max="74" width="7.7109375" style="5" customWidth="1"/>
    <col min="75" max="75" width="13.42578125" style="9" bestFit="1" customWidth="1"/>
    <col min="76" max="76" width="7.7109375" style="8" customWidth="1"/>
    <col min="77" max="77" width="7.7109375" style="5" customWidth="1"/>
    <col min="78" max="78" width="13.42578125" style="9" bestFit="1" customWidth="1"/>
    <col min="79" max="79" width="7.7109375" style="8" customWidth="1"/>
    <col min="80" max="80" width="7.7109375" style="5" customWidth="1"/>
    <col min="81" max="81" width="13.42578125" style="9" bestFit="1" customWidth="1"/>
    <col min="82" max="82" width="7.7109375" style="8" customWidth="1"/>
    <col min="83" max="83" width="7.7109375" style="5" customWidth="1"/>
    <col min="84" max="84" width="13.42578125" style="9" bestFit="1" customWidth="1"/>
    <col min="85" max="85" width="7.7109375" style="8" customWidth="1"/>
    <col min="86" max="86" width="7.7109375" style="5" customWidth="1"/>
    <col min="87" max="87" width="13.42578125" style="9" bestFit="1" customWidth="1"/>
    <col min="88" max="88" width="7.7109375" style="8" customWidth="1"/>
    <col min="89" max="89" width="7.7109375" style="5" customWidth="1"/>
    <col min="90" max="90" width="13.42578125" style="9" bestFit="1" customWidth="1"/>
    <col min="91" max="91" width="7.7109375" style="8" customWidth="1"/>
    <col min="92" max="92" width="7.7109375" style="5" customWidth="1"/>
    <col min="93" max="93" width="13.42578125" style="9" bestFit="1" customWidth="1"/>
    <col min="94" max="16384" width="11.42578125" style="7"/>
  </cols>
  <sheetData>
    <row r="1" spans="1:97" s="1" customFormat="1" ht="45" customHeight="1" x14ac:dyDescent="0.25">
      <c r="A1" s="14" t="s">
        <v>0</v>
      </c>
      <c r="B1" s="10" t="s">
        <v>32</v>
      </c>
      <c r="C1" s="11" t="s">
        <v>1</v>
      </c>
      <c r="D1" s="12" t="s">
        <v>2</v>
      </c>
      <c r="E1" s="15" t="s">
        <v>3</v>
      </c>
      <c r="F1" s="11" t="s">
        <v>29</v>
      </c>
      <c r="G1" s="11" t="s">
        <v>30</v>
      </c>
      <c r="H1" s="11" t="s">
        <v>31</v>
      </c>
      <c r="I1" s="11" t="s">
        <v>4</v>
      </c>
      <c r="J1" s="11" t="s">
        <v>43</v>
      </c>
      <c r="K1" s="11" t="s">
        <v>44</v>
      </c>
      <c r="L1" s="11" t="s">
        <v>45</v>
      </c>
      <c r="M1" s="11" t="s">
        <v>46</v>
      </c>
      <c r="N1" s="11" t="s">
        <v>42</v>
      </c>
      <c r="O1" s="11" t="s">
        <v>47</v>
      </c>
      <c r="P1" s="11" t="s">
        <v>41</v>
      </c>
      <c r="Q1" s="11" t="s">
        <v>7</v>
      </c>
      <c r="R1" s="11" t="s">
        <v>8</v>
      </c>
      <c r="S1" s="11" t="s">
        <v>9</v>
      </c>
      <c r="T1" s="11" t="s">
        <v>10</v>
      </c>
      <c r="U1" s="11" t="s">
        <v>12</v>
      </c>
      <c r="V1" s="11" t="s">
        <v>13</v>
      </c>
      <c r="W1" s="11" t="s">
        <v>14</v>
      </c>
      <c r="X1" s="11" t="s">
        <v>15</v>
      </c>
      <c r="Y1" s="11" t="s">
        <v>17</v>
      </c>
      <c r="Z1" s="11" t="s">
        <v>18</v>
      </c>
      <c r="AA1" s="11" t="s">
        <v>19</v>
      </c>
      <c r="AB1" s="11" t="s">
        <v>20</v>
      </c>
      <c r="AC1" s="11" t="s">
        <v>22</v>
      </c>
      <c r="AD1" s="11" t="s">
        <v>23</v>
      </c>
      <c r="AE1" s="11" t="s">
        <v>24</v>
      </c>
      <c r="AF1" s="11" t="s">
        <v>25</v>
      </c>
      <c r="AG1" s="11" t="s">
        <v>62</v>
      </c>
      <c r="AH1" s="11" t="s">
        <v>63</v>
      </c>
      <c r="AI1" s="11" t="s">
        <v>64</v>
      </c>
      <c r="AJ1" s="11" t="s">
        <v>65</v>
      </c>
      <c r="AK1" s="11" t="s">
        <v>66</v>
      </c>
      <c r="AL1" s="11" t="s">
        <v>67</v>
      </c>
      <c r="AM1" s="11" t="s">
        <v>68</v>
      </c>
      <c r="AN1" s="11" t="s">
        <v>69</v>
      </c>
      <c r="AO1" s="11" t="s">
        <v>70</v>
      </c>
      <c r="AP1" s="11" t="s">
        <v>71</v>
      </c>
      <c r="AQ1" s="11" t="s">
        <v>72</v>
      </c>
      <c r="AR1" s="11" t="s">
        <v>73</v>
      </c>
      <c r="AS1" s="11" t="s">
        <v>74</v>
      </c>
      <c r="AT1" s="11" t="s">
        <v>75</v>
      </c>
      <c r="AU1" s="11" t="s">
        <v>76</v>
      </c>
      <c r="AV1" s="11" t="s">
        <v>77</v>
      </c>
      <c r="AW1" s="11" t="s">
        <v>52</v>
      </c>
      <c r="AX1" s="11" t="s">
        <v>53</v>
      </c>
      <c r="AY1" s="11" t="s">
        <v>54</v>
      </c>
      <c r="AZ1" s="11" t="s">
        <v>55</v>
      </c>
      <c r="BA1" s="11" t="s">
        <v>78</v>
      </c>
      <c r="BB1" s="11" t="s">
        <v>79</v>
      </c>
      <c r="BC1" s="11" t="s">
        <v>80</v>
      </c>
      <c r="BD1" s="11" t="s">
        <v>81</v>
      </c>
      <c r="BE1" s="11" t="s">
        <v>48</v>
      </c>
      <c r="BF1" s="11" t="s">
        <v>49</v>
      </c>
      <c r="BG1" s="11" t="s">
        <v>50</v>
      </c>
      <c r="BH1" s="11" t="s">
        <v>51</v>
      </c>
      <c r="BI1" s="11" t="s">
        <v>26</v>
      </c>
      <c r="BJ1" s="12" t="s">
        <v>6</v>
      </c>
      <c r="BK1" s="13" t="s">
        <v>123</v>
      </c>
      <c r="BL1" s="11" t="s">
        <v>27</v>
      </c>
      <c r="BM1" s="12" t="s">
        <v>16</v>
      </c>
      <c r="BN1" s="13" t="s">
        <v>124</v>
      </c>
      <c r="BO1" s="11" t="s">
        <v>28</v>
      </c>
      <c r="BP1" s="12" t="s">
        <v>21</v>
      </c>
      <c r="BQ1" s="13" t="s">
        <v>125</v>
      </c>
      <c r="BR1" s="11" t="s">
        <v>11</v>
      </c>
      <c r="BS1" s="12" t="s">
        <v>5</v>
      </c>
      <c r="BT1" s="13" t="s">
        <v>82</v>
      </c>
      <c r="BU1" s="11" t="s">
        <v>83</v>
      </c>
      <c r="BV1" s="12" t="s">
        <v>84</v>
      </c>
      <c r="BW1" s="13" t="s">
        <v>126</v>
      </c>
      <c r="BX1" s="11" t="s">
        <v>85</v>
      </c>
      <c r="BY1" s="12" t="s">
        <v>86</v>
      </c>
      <c r="BZ1" s="13" t="s">
        <v>127</v>
      </c>
      <c r="CA1" s="11" t="s">
        <v>87</v>
      </c>
      <c r="CB1" s="12" t="s">
        <v>88</v>
      </c>
      <c r="CC1" s="13" t="s">
        <v>89</v>
      </c>
      <c r="CD1" s="11" t="s">
        <v>90</v>
      </c>
      <c r="CE1" s="12" t="s">
        <v>91</v>
      </c>
      <c r="CF1" s="13" t="s">
        <v>92</v>
      </c>
      <c r="CG1" s="11" t="s">
        <v>57</v>
      </c>
      <c r="CH1" s="12" t="s">
        <v>60</v>
      </c>
      <c r="CI1" s="13" t="s">
        <v>61</v>
      </c>
      <c r="CJ1" s="11" t="s">
        <v>93</v>
      </c>
      <c r="CK1" s="12" t="s">
        <v>94</v>
      </c>
      <c r="CL1" s="13" t="s">
        <v>95</v>
      </c>
      <c r="CM1" s="11" t="s">
        <v>56</v>
      </c>
      <c r="CN1" s="12" t="s">
        <v>58</v>
      </c>
      <c r="CO1" s="13" t="s">
        <v>59</v>
      </c>
    </row>
    <row r="2" spans="1:97" x14ac:dyDescent="0.25">
      <c r="A2" s="50"/>
      <c r="B2" s="51"/>
      <c r="C2" s="50"/>
      <c r="D2" s="18">
        <v>50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6" t="str">
        <f>IF(AND(MACROMICROELEMENTOS!$U2="",MACROMICROELEMENTOS!$V2="",MACROMICROELEMENTOS!$W2="",MACROMICROELEMENTOS!$X2=""),"",AVERAGE(MACROMICROELEMENTOS!$U2,MACROMICROELEMENTOS!$V2,MACROMICROELEMENTOS!$W2,MACROMICROELEMENTOS!$X2))</f>
        <v/>
      </c>
      <c r="BJ2" s="18">
        <v>1</v>
      </c>
      <c r="BK2" s="53" t="str">
        <f>IF(OR(MACROMICROELEMENTOS!$A2="",MACROMICROELEMENTOS!$B2="",MACROMICROELEMENTOS!$C2="",MACROMICROELEMENTOS!$D2="",MACROMICROELEMENTOS!$E2="",MACROMICROELEMENTOS!$F2="",MACROMICROELEMENTOS!$BI2="",MACROMICROELEMENTOS!$BJ2=""),"",((MACROMICROELEMENTOS!$F2-MACROMICROELEMENTOS!$BI2)*MACROMICROELEMENTOS!$BJ2*MACROMICROELEMENTOS!$D2*(1/MACROMICROELEMENTOS!$C2)*MACROMICROELEMENTOS!$E2/1000))</f>
        <v/>
      </c>
      <c r="BL2" s="16" t="str">
        <f>IF(AND(MACROMICROELEMENTOS!$Y2="",MACROMICROELEMENTOS!$Z2="",MACROMICROELEMENTOS!$AA2="",MACROMICROELEMENTOS!$AB2=""),"",AVERAGE(MACROMICROELEMENTOS!$Y2,MACROMICROELEMENTOS!$Z2,MACROMICROELEMENTOS!$AA2,MACROMICROELEMENTOS!$AB2))</f>
        <v/>
      </c>
      <c r="BM2" s="18">
        <v>1</v>
      </c>
      <c r="BN2" s="53" t="str">
        <f>IF(OR(MACROMICROELEMENTOS!$A2="",MACROMICROELEMENTOS!$B2="",MACROMICROELEMENTOS!$C2="",MACROMICROELEMENTOS!$D2="",MACROMICROELEMENTOS!$E2="",MACROMICROELEMENTOS!$G2="",MACROMICROELEMENTOS!$BL2="",MACROMICROELEMENTOS!$BM2=""),"",((MACROMICROELEMENTOS!$G2-MACROMICROELEMENTOS!$BL2)*MACROMICROELEMENTOS!$BM2*MACROMICROELEMENTOS!$D2*(1/MACROMICROELEMENTOS!$C2)*MACROMICROELEMENTOS!$E2/1000))</f>
        <v/>
      </c>
      <c r="BO2" s="16" t="str">
        <f>IF(AND(MACROMICROELEMENTOS!$AC2="",MACROMICROELEMENTOS!$AD2="",MACROMICROELEMENTOS!$AE2="",MACROMICROELEMENTOS!$AF2=""),"",AVERAGE(MACROMICROELEMENTOS!$AC2,MACROMICROELEMENTOS!$AD2,MACROMICROELEMENTOS!$AE2,MACROMICROELEMENTOS!$AF2))</f>
        <v/>
      </c>
      <c r="BP2" s="18">
        <v>1</v>
      </c>
      <c r="BQ2" s="53" t="str">
        <f>IF(OR(MACROMICROELEMENTOS!$A2="",MACROMICROELEMENTOS!$B2="",MACROMICROELEMENTOS!$C2="",MACROMICROELEMENTOS!$D2="",MACROMICROELEMENTOS!$E2="",MACROMICROELEMENTOS!$H2="",MACROMICROELEMENTOS!$BO2="",MACROMICROELEMENTOS!$BP2=""),"",((MACROMICROELEMENTOS!$H2-MACROMICROELEMENTOS!$BO2)*MACROMICROELEMENTOS!$BP2*MACROMICROELEMENTOS!$D2*(1/MACROMICROELEMENTOS!$C2)*MACROMICROELEMENTOS!$E2/1000))</f>
        <v/>
      </c>
      <c r="BR2" s="16" t="str">
        <f>IF(AND(MACROMICROELEMENTOS!$Q2="",MACROMICROELEMENTOS!$R2="",MACROMICROELEMENTOS!$S2="",MACROMICROELEMENTOS!$T2=""),"",AVERAGE(MACROMICROELEMENTOS!$Q2,MACROMICROELEMENTOS!$R2,MACROMICROELEMENTOS!$S2,MACROMICROELEMENTOS!$T2))</f>
        <v/>
      </c>
      <c r="BS2" s="18">
        <v>1</v>
      </c>
      <c r="BT2" s="53" t="str">
        <f>IF(OR(MACROMICROELEMENTOS!$A2="",MACROMICROELEMENTOS!$B2="",MACROMICROELEMENTOS!$C2="",MACROMICROELEMENTOS!$D2="",MACROMICROELEMENTOS!$E2="",MACROMICROELEMENTOS!$I2="",MACROMICROELEMENTOS!$BR2="",MACROMICROELEMENTOS!$BS2=""),"",((MACROMICROELEMENTOS!$I2-MACROMICROELEMENTOS!$BR2)*MACROMICROELEMENTOS!$BS2*MACROMICROELEMENTOS!$D2*(1/MACROMICROELEMENTOS!$C2)*MACROMICROELEMENTOS!$E2))</f>
        <v/>
      </c>
      <c r="BU2" s="16" t="str">
        <f>IF(AND(MACROMICROELEMENTOS!$AG2="",MACROMICROELEMENTOS!$AH2="",MACROMICROELEMENTOS!$AI2="",MACROMICROELEMENTOS!$AJ2=""),"",AVERAGE(MACROMICROELEMENTOS!$AG2,MACROMICROELEMENTOS!$AH2,MACROMICROELEMENTOS!$AI2,MACROMICROELEMENTOS!$AJ2))</f>
        <v/>
      </c>
      <c r="BV2" s="18">
        <v>1</v>
      </c>
      <c r="BW2" s="53" t="str">
        <f>IF(OR(MACROMICROELEMENTOS!$A2="",MACROMICROELEMENTOS!$B2="",MACROMICROELEMENTOS!$C2="",MACROMICROELEMENTOS!$D2="",MACROMICROELEMENTOS!$E2="",MACROMICROELEMENTOS!$J2="",MACROMICROELEMENTOS!$BU2="",MACROMICROELEMENTOS!$BV2=""),"",((MACROMICROELEMENTOS!$J2-MACROMICROELEMENTOS!$BU2)*MACROMICROELEMENTOS!$BV2*MACROMICROELEMENTOS!$D2*(1/MACROMICROELEMENTOS!$C2)*MACROMICROELEMENTOS!$E2/1000))</f>
        <v/>
      </c>
      <c r="BX2" s="16" t="str">
        <f>IF(AND(MACROMICROELEMENTOS!$AK2="",MACROMICROELEMENTOS!$AL2="",MACROMICROELEMENTOS!$AM2="",MACROMICROELEMENTOS!$AN2=""),"",AVERAGE(MACROMICROELEMENTOS!$AK2,MACROMICROELEMENTOS!$AL2,MACROMICROELEMENTOS!$AM2,MACROMICROELEMENTOS!$AN2))</f>
        <v/>
      </c>
      <c r="BY2" s="18">
        <v>1</v>
      </c>
      <c r="BZ2" s="53" t="str">
        <f>IF(OR(MACROMICROELEMENTOS!$A2="",MACROMICROELEMENTOS!$B2="",MACROMICROELEMENTOS!$C2="",MACROMICROELEMENTOS!$D2="",MACROMICROELEMENTOS!$E2="",MACROMICROELEMENTOS!$K2="",MACROMICROELEMENTOS!$BX2="",MACROMICROELEMENTOS!$BY2=""),"",((MACROMICROELEMENTOS!$K2-MACROMICROELEMENTOS!$BX2)*MACROMICROELEMENTOS!$BY2*MACROMICROELEMENTOS!$D2*(1/MACROMICROELEMENTOS!$C2)*MACROMICROELEMENTOS!$E2/1000))</f>
        <v/>
      </c>
      <c r="CA2" s="16" t="str">
        <f>IF(AND(MACROMICROELEMENTOS!$AO2="",MACROMICROELEMENTOS!$AP2="",MACROMICROELEMENTOS!$AQ2="",MACROMICROELEMENTOS!$AR2=""),"",AVERAGE(MACROMICROELEMENTOS!$AO2,MACROMICROELEMENTOS!$AP2,MACROMICROELEMENTOS!$AQ2,MACROMICROELEMENTOS!$AR2))</f>
        <v/>
      </c>
      <c r="CB2" s="18">
        <v>1</v>
      </c>
      <c r="CC2" s="53" t="str">
        <f>IF(OR(MACROMICROELEMENTOS!$A2="",MACROMICROELEMENTOS!$B2="",MACROMICROELEMENTOS!$C2="",MACROMICROELEMENTOS!$D2="",MACROMICROELEMENTOS!$E2="",MACROMICROELEMENTOS!$L2="",MACROMICROELEMENTOS!$CA2="",MACROMICROELEMENTOS!$CB2=""),"",((MACROMICROELEMENTOS!$L2-MACROMICROELEMENTOS!$CA2)*MACROMICROELEMENTOS!$CB2*MACROMICROELEMENTOS!$D2*(1/MACROMICROELEMENTOS!$C2)*MACROMICROELEMENTOS!$E2))</f>
        <v/>
      </c>
      <c r="CD2" s="16" t="str">
        <f>IF(AND(MACROMICROELEMENTOS!$AS2="",MACROMICROELEMENTOS!$AT2="",MACROMICROELEMENTOS!$AU2="",MACROMICROELEMENTOS!$AV2=""),"",AVERAGE(MACROMICROELEMENTOS!$AS2,MACROMICROELEMENTOS!$AT2,MACROMICROELEMENTOS!$AU2,MACROMICROELEMENTOS!$AV2))</f>
        <v/>
      </c>
      <c r="CE2" s="18">
        <v>1</v>
      </c>
      <c r="CF2" s="53" t="str">
        <f>IF(OR(MACROMICROELEMENTOS!$A2="",MACROMICROELEMENTOS!$B2="",MACROMICROELEMENTOS!$C2="",MACROMICROELEMENTOS!$D2="",MACROMICROELEMENTOS!$E2="",MACROMICROELEMENTOS!$M2="",MACROMICROELEMENTOS!$CD2="",MACROMICROELEMENTOS!$CE2=""),"",((MACROMICROELEMENTOS!$M2-MACROMICROELEMENTOS!$CD2)*MACROMICROELEMENTOS!$CE2*MACROMICROELEMENTOS!$D2*(1/MACROMICROELEMENTOS!$C2)*MACROMICROELEMENTOS!$E2))</f>
        <v/>
      </c>
      <c r="CG2" s="16" t="str">
        <f>IF(AND(MACROMICROELEMENTOS!$AW2="",MACROMICROELEMENTOS!$AX2="",MACROMICROELEMENTOS!$AY2="",MACROMICROELEMENTOS!$AZ2=""),"",AVERAGE(MACROMICROELEMENTOS!$AW2,MACROMICROELEMENTOS!$AX2,MACROMICROELEMENTOS!$AY2,MACROMICROELEMENTOS!$AZ2))</f>
        <v/>
      </c>
      <c r="CH2" s="18">
        <v>1</v>
      </c>
      <c r="CI2" s="53" t="str">
        <f>IF(OR(MACROMICROELEMENTOS!$A2="",MACROMICROELEMENTOS!$B2="",MACROMICROELEMENTOS!$C2="",MACROMICROELEMENTOS!$D2="",MACROMICROELEMENTOS!$E2="",MACROMICROELEMENTOS!$N2="",MACROMICROELEMENTOS!$CG2="",MACROMICROELEMENTOS!$CH2=""),"",((MACROMICROELEMENTOS!$N2-MACROMICROELEMENTOS!$CG2)*MACROMICROELEMENTOS!$CH2*MACROMICROELEMENTOS!$D2*(1/MACROMICROELEMENTOS!$C2)*MACROMICROELEMENTOS!$E2))</f>
        <v/>
      </c>
      <c r="CJ2" s="16" t="str">
        <f>IF(AND(MACROMICROELEMENTOS!$BA2="",MACROMICROELEMENTOS!$BB2="",MACROMICROELEMENTOS!$BC2="",MACROMICROELEMENTOS!$BD2=""),"",IF(O2&gt;5,0,AVERAGE(MACROMICROELEMENTOS!$BA2,MACROMICROELEMENTOS!$BB2,MACROMICROELEMENTOS!$BC2,MACROMICROELEMENTOS!$BD2)))</f>
        <v/>
      </c>
      <c r="CK2" s="18">
        <v>1</v>
      </c>
      <c r="CL2" s="53" t="str">
        <f>IF(OR(MACROMICROELEMENTOS!$A2="",MACROMICROELEMENTOS!$B2="",MACROMICROELEMENTOS!$C2="",MACROMICROELEMENTOS!$D2="",MACROMICROELEMENTOS!$E2="",MACROMICROELEMENTOS!$O2="",MACROMICROELEMENTOS!$CJ2="",MACROMICROELEMENTOS!$CK2=""),"",((MACROMICROELEMENTOS!$O2-MACROMICROELEMENTOS!$CJ2)*MACROMICROELEMENTOS!$CK2*MACROMICROELEMENTOS!$D2*(1/MACROMICROELEMENTOS!$C2)*MACROMICROELEMENTOS!$E2))</f>
        <v/>
      </c>
      <c r="CM2" s="16" t="str">
        <f>IF(AND(MACROMICROELEMENTOS!$BE2="",MACROMICROELEMENTOS!$BF2="",MACROMICROELEMENTOS!$BG2="",MACROMICROELEMENTOS!$BH2=""),"",AVERAGE(MACROMICROELEMENTOS!$BE2,MACROMICROELEMENTOS!$BF2,MACROMICROELEMENTOS!$BG2,MACROMICROELEMENTOS!$BH2))</f>
        <v/>
      </c>
      <c r="CN2" s="18">
        <v>1</v>
      </c>
      <c r="CO2" s="53" t="str">
        <f>IF(OR(MACROMICROELEMENTOS!$A2="",MACROMICROELEMENTOS!$B2="",MACROMICROELEMENTOS!$C2="",MACROMICROELEMENTOS!$D2="",MACROMICROELEMENTOS!$E2="",MACROMICROELEMENTOS!$P2="",MACROMICROELEMENTOS!$CM2="",MACROMICROELEMENTOS!$CN2=""),"",((MACROMICROELEMENTOS!$P2-MACROMICROELEMENTOS!$CM2)*MACROMICROELEMENTOS!$CN2*MACROMICROELEMENTOS!$D2*(1/MACROMICROELEMENTOS!$C2)*MACROMICROELEMENTOS!$E2))</f>
        <v/>
      </c>
    </row>
    <row r="3" spans="1:97" x14ac:dyDescent="0.25">
      <c r="A3" s="50"/>
      <c r="B3" s="51"/>
      <c r="C3" s="50"/>
      <c r="D3" s="18">
        <v>50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6" t="str">
        <f>IF(AND(MACROMICROELEMENTOS!$U3="",MACROMICROELEMENTOS!$V3="",MACROMICROELEMENTOS!$W3="",MACROMICROELEMENTOS!$X3=""),"",AVERAGE(MACROMICROELEMENTOS!$U3,MACROMICROELEMENTOS!$V3,MACROMICROELEMENTOS!$W3,MACROMICROELEMENTOS!$X3))</f>
        <v/>
      </c>
      <c r="BJ3" s="18">
        <v>1</v>
      </c>
      <c r="BK3" s="53" t="str">
        <f>IF(OR(MACROMICROELEMENTOS!$A3="",MACROMICROELEMENTOS!$B3="",MACROMICROELEMENTOS!$C3="",MACROMICROELEMENTOS!$D3="",MACROMICROELEMENTOS!$E3="",MACROMICROELEMENTOS!$F3="",MACROMICROELEMENTOS!$BI3="",MACROMICROELEMENTOS!$BJ3=""),"",((MACROMICROELEMENTOS!$F3-MACROMICROELEMENTOS!$BI3)*MACROMICROELEMENTOS!$BJ3*MACROMICROELEMENTOS!$D3*(1/MACROMICROELEMENTOS!$C3)*MACROMICROELEMENTOS!$E3/1000))</f>
        <v/>
      </c>
      <c r="BL3" s="16" t="str">
        <f>IF(AND(MACROMICROELEMENTOS!$Y3="",MACROMICROELEMENTOS!$Z3="",MACROMICROELEMENTOS!$AA3="",MACROMICROELEMENTOS!$AB3=""),"",AVERAGE(MACROMICROELEMENTOS!$Y3,MACROMICROELEMENTOS!$Z3,MACROMICROELEMENTOS!$AA3,MACROMICROELEMENTOS!$AB3))</f>
        <v/>
      </c>
      <c r="BM3" s="18">
        <v>1</v>
      </c>
      <c r="BN3" s="53" t="str">
        <f>IF(OR(MACROMICROELEMENTOS!$A3="",MACROMICROELEMENTOS!$B3="",MACROMICROELEMENTOS!$C3="",MACROMICROELEMENTOS!$D3="",MACROMICROELEMENTOS!$E3="",MACROMICROELEMENTOS!$G3="",MACROMICROELEMENTOS!$BL3="",MACROMICROELEMENTOS!$BM3=""),"",((MACROMICROELEMENTOS!$G3-MACROMICROELEMENTOS!$BL3)*MACROMICROELEMENTOS!$BM3*MACROMICROELEMENTOS!$D3*(1/MACROMICROELEMENTOS!$C3)*MACROMICROELEMENTOS!$E3/1000))</f>
        <v/>
      </c>
      <c r="BO3" s="16" t="str">
        <f>IF(AND(MACROMICROELEMENTOS!$AC3="",MACROMICROELEMENTOS!$AD3="",MACROMICROELEMENTOS!$AE3="",MACROMICROELEMENTOS!$AF3=""),"",AVERAGE(MACROMICROELEMENTOS!$AC3,MACROMICROELEMENTOS!$AD3,MACROMICROELEMENTOS!$AE3,MACROMICROELEMENTOS!$AF3))</f>
        <v/>
      </c>
      <c r="BP3" s="18">
        <v>1</v>
      </c>
      <c r="BQ3" s="53" t="str">
        <f>IF(OR(MACROMICROELEMENTOS!$A3="",MACROMICROELEMENTOS!$B3="",MACROMICROELEMENTOS!$C3="",MACROMICROELEMENTOS!$D3="",MACROMICROELEMENTOS!$E3="",MACROMICROELEMENTOS!$H3="",MACROMICROELEMENTOS!$BO3="",MACROMICROELEMENTOS!$BP3=""),"",((MACROMICROELEMENTOS!$H3-MACROMICROELEMENTOS!$BO3)*MACROMICROELEMENTOS!$BP3*MACROMICROELEMENTOS!$D3*(1/MACROMICROELEMENTOS!$C3)*MACROMICROELEMENTOS!$E3/1000))</f>
        <v/>
      </c>
      <c r="BR3" s="16" t="str">
        <f>IF(AND(MACROMICROELEMENTOS!$Q3="",MACROMICROELEMENTOS!$R3="",MACROMICROELEMENTOS!$S3="",MACROMICROELEMENTOS!$T3=""),"",AVERAGE(MACROMICROELEMENTOS!$Q3,MACROMICROELEMENTOS!$R3,MACROMICROELEMENTOS!$S3,MACROMICROELEMENTOS!$T3))</f>
        <v/>
      </c>
      <c r="BS3" s="18">
        <v>1</v>
      </c>
      <c r="BT3" s="53" t="str">
        <f>IF(OR(MACROMICROELEMENTOS!$A3="",MACROMICROELEMENTOS!$B3="",MACROMICROELEMENTOS!$C3="",MACROMICROELEMENTOS!$D3="",MACROMICROELEMENTOS!$E3="",MACROMICROELEMENTOS!$I3="",MACROMICROELEMENTOS!$BR3="",MACROMICROELEMENTOS!$BS3=""),"",((MACROMICROELEMENTOS!$I3-MACROMICROELEMENTOS!$BR3)*MACROMICROELEMENTOS!$BS3*MACROMICROELEMENTOS!$D3*(1/MACROMICROELEMENTOS!$C3)*MACROMICROELEMENTOS!$E3))</f>
        <v/>
      </c>
      <c r="BU3" s="16" t="str">
        <f>IF(AND(MACROMICROELEMENTOS!$AG3="",MACROMICROELEMENTOS!$AH3="",MACROMICROELEMENTOS!$AI3="",MACROMICROELEMENTOS!$AJ3=""),"",AVERAGE(MACROMICROELEMENTOS!$AG3,MACROMICROELEMENTOS!$AH3,MACROMICROELEMENTOS!$AI3,MACROMICROELEMENTOS!$AJ3))</f>
        <v/>
      </c>
      <c r="BV3" s="18">
        <v>1</v>
      </c>
      <c r="BW3" s="53" t="str">
        <f>IF(OR(MACROMICROELEMENTOS!$A3="",MACROMICROELEMENTOS!$B3="",MACROMICROELEMENTOS!$C3="",MACROMICROELEMENTOS!$D3="",MACROMICROELEMENTOS!$E3="",MACROMICROELEMENTOS!$J3="",MACROMICROELEMENTOS!$BU3="",MACROMICROELEMENTOS!$BV3=""),"",((MACROMICROELEMENTOS!$J3-MACROMICROELEMENTOS!$BU3)*MACROMICROELEMENTOS!$BV3*MACROMICROELEMENTOS!$D3*(1/MACROMICROELEMENTOS!$C3)*MACROMICROELEMENTOS!$E3/1000))</f>
        <v/>
      </c>
      <c r="BX3" s="16" t="str">
        <f>IF(AND(MACROMICROELEMENTOS!$AK3="",MACROMICROELEMENTOS!$AL3="",MACROMICROELEMENTOS!$AM3="",MACROMICROELEMENTOS!$AN3=""),"",AVERAGE(MACROMICROELEMENTOS!$AK3,MACROMICROELEMENTOS!$AL3,MACROMICROELEMENTOS!$AM3,MACROMICROELEMENTOS!$AN3))</f>
        <v/>
      </c>
      <c r="BY3" s="18">
        <v>1</v>
      </c>
      <c r="BZ3" s="53" t="str">
        <f>IF(OR(MACROMICROELEMENTOS!$A3="",MACROMICROELEMENTOS!$B3="",MACROMICROELEMENTOS!$C3="",MACROMICROELEMENTOS!$D3="",MACROMICROELEMENTOS!$E3="",MACROMICROELEMENTOS!$K3="",MACROMICROELEMENTOS!$BX3="",MACROMICROELEMENTOS!$BY3=""),"",((MACROMICROELEMENTOS!$K3-MACROMICROELEMENTOS!$BX3)*MACROMICROELEMENTOS!$BY3*MACROMICROELEMENTOS!$D3*(1/MACROMICROELEMENTOS!$C3)*MACROMICROELEMENTOS!$E3/1000))</f>
        <v/>
      </c>
      <c r="CA3" s="16" t="str">
        <f>IF(AND(MACROMICROELEMENTOS!$AO3="",MACROMICROELEMENTOS!$AP3="",MACROMICROELEMENTOS!$AQ3="",MACROMICROELEMENTOS!$AR3=""),"",AVERAGE(MACROMICROELEMENTOS!$AO3,MACROMICROELEMENTOS!$AP3,MACROMICROELEMENTOS!$AQ3,MACROMICROELEMENTOS!$AR3))</f>
        <v/>
      </c>
      <c r="CB3" s="18">
        <v>1</v>
      </c>
      <c r="CC3" s="53" t="str">
        <f>IF(OR(MACROMICROELEMENTOS!$A3="",MACROMICROELEMENTOS!$B3="",MACROMICROELEMENTOS!$C3="",MACROMICROELEMENTOS!$D3="",MACROMICROELEMENTOS!$E3="",MACROMICROELEMENTOS!$L3="",MACROMICROELEMENTOS!$CA3="",MACROMICROELEMENTOS!$CB3=""),"",((MACROMICROELEMENTOS!$L3-MACROMICROELEMENTOS!$CA3)*MACROMICROELEMENTOS!$CB3*MACROMICROELEMENTOS!$D3*(1/MACROMICROELEMENTOS!$C3)*MACROMICROELEMENTOS!$E3))</f>
        <v/>
      </c>
      <c r="CD3" s="16" t="str">
        <f>IF(AND(MACROMICROELEMENTOS!$AS3="",MACROMICROELEMENTOS!$AT3="",MACROMICROELEMENTOS!$AU3="",MACROMICROELEMENTOS!$AV3=""),"",AVERAGE(MACROMICROELEMENTOS!$AS3,MACROMICROELEMENTOS!$AT3,MACROMICROELEMENTOS!$AU3,MACROMICROELEMENTOS!$AV3))</f>
        <v/>
      </c>
      <c r="CE3" s="18">
        <v>1</v>
      </c>
      <c r="CF3" s="53" t="str">
        <f>IF(OR(MACROMICROELEMENTOS!$A3="",MACROMICROELEMENTOS!$B3="",MACROMICROELEMENTOS!$C3="",MACROMICROELEMENTOS!$D3="",MACROMICROELEMENTOS!$E3="",MACROMICROELEMENTOS!$M3="",MACROMICROELEMENTOS!$CD3="",MACROMICROELEMENTOS!$CE3=""),"",((MACROMICROELEMENTOS!$M3-MACROMICROELEMENTOS!$CD3)*MACROMICROELEMENTOS!$CE3*MACROMICROELEMENTOS!$D3*(1/MACROMICROELEMENTOS!$C3)*MACROMICROELEMENTOS!$E3))</f>
        <v/>
      </c>
      <c r="CG3" s="16" t="str">
        <f>IF(AND(MACROMICROELEMENTOS!$AW3="",MACROMICROELEMENTOS!$AX3="",MACROMICROELEMENTOS!$AY3="",MACROMICROELEMENTOS!$AZ3=""),"",AVERAGE(MACROMICROELEMENTOS!$AW3,MACROMICROELEMENTOS!$AX3,MACROMICROELEMENTOS!$AY3,MACROMICROELEMENTOS!$AZ3))</f>
        <v/>
      </c>
      <c r="CH3" s="18">
        <v>1</v>
      </c>
      <c r="CI3" s="53" t="str">
        <f>IF(OR(MACROMICROELEMENTOS!$A3="",MACROMICROELEMENTOS!$B3="",MACROMICROELEMENTOS!$C3="",MACROMICROELEMENTOS!$D3="",MACROMICROELEMENTOS!$E3="",MACROMICROELEMENTOS!$N3="",MACROMICROELEMENTOS!$CG3="",MACROMICROELEMENTOS!$CH3=""),"",((MACROMICROELEMENTOS!$N3-MACROMICROELEMENTOS!$CG3)*MACROMICROELEMENTOS!$CH3*MACROMICROELEMENTOS!$D3*(1/MACROMICROELEMENTOS!$C3)*MACROMICROELEMENTOS!$E3))</f>
        <v/>
      </c>
      <c r="CJ3" s="16" t="str">
        <f>IF(AND(MACROMICROELEMENTOS!$BA3="",MACROMICROELEMENTOS!$BB3="",MACROMICROELEMENTOS!$BC3="",MACROMICROELEMENTOS!$BD3=""),"",IF(O3&gt;5,0,AVERAGE(MACROMICROELEMENTOS!$BA3,MACROMICROELEMENTOS!$BB3,MACROMICROELEMENTOS!$BC3,MACROMICROELEMENTOS!$BD3)))</f>
        <v/>
      </c>
      <c r="CK3" s="18">
        <v>1</v>
      </c>
      <c r="CL3" s="53" t="str">
        <f>IF(OR(MACROMICROELEMENTOS!$A3="",MACROMICROELEMENTOS!$B3="",MACROMICROELEMENTOS!$C3="",MACROMICROELEMENTOS!$D3="",MACROMICROELEMENTOS!$E3="",MACROMICROELEMENTOS!$O3="",MACROMICROELEMENTOS!$CJ3="",MACROMICROELEMENTOS!$CK3=""),"",((MACROMICROELEMENTOS!$O3-MACROMICROELEMENTOS!$CJ3)*MACROMICROELEMENTOS!$CK3*MACROMICROELEMENTOS!$D3*(1/MACROMICROELEMENTOS!$C3)*MACROMICROELEMENTOS!$E3))</f>
        <v/>
      </c>
      <c r="CM3" s="16" t="str">
        <f>IF(AND(MACROMICROELEMENTOS!$BE3="",MACROMICROELEMENTOS!$BF3="",MACROMICROELEMENTOS!$BG3="",MACROMICROELEMENTOS!$BH3=""),"",AVERAGE(MACROMICROELEMENTOS!$BE3,MACROMICROELEMENTOS!$BF3,MACROMICROELEMENTOS!$BG3,MACROMICROELEMENTOS!$BH3))</f>
        <v/>
      </c>
      <c r="CN3" s="18">
        <v>1</v>
      </c>
      <c r="CO3" s="53" t="str">
        <f>IF(OR(MACROMICROELEMENTOS!$A3="",MACROMICROELEMENTOS!$B3="",MACROMICROELEMENTOS!$C3="",MACROMICROELEMENTOS!$D3="",MACROMICROELEMENTOS!$E3="",MACROMICROELEMENTOS!$P3="",MACROMICROELEMENTOS!$CM3="",MACROMICROELEMENTOS!$CN3=""),"",((MACROMICROELEMENTOS!$P3-MACROMICROELEMENTOS!$CM3)*MACROMICROELEMENTOS!$CN3*MACROMICROELEMENTOS!$D3*(1/MACROMICROELEMENTOS!$C3)*MACROMICROELEMENTOS!$E3))</f>
        <v/>
      </c>
    </row>
    <row r="4" spans="1:97" x14ac:dyDescent="0.25">
      <c r="A4" s="50"/>
      <c r="B4" s="51"/>
      <c r="C4" s="50"/>
      <c r="D4" s="18">
        <v>50</v>
      </c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6" t="str">
        <f>IF(AND(MACROMICROELEMENTOS!$U4="",MACROMICROELEMENTOS!$V4="",MACROMICROELEMENTOS!$W4="",MACROMICROELEMENTOS!$X4=""),"",AVERAGE(MACROMICROELEMENTOS!$U4,MACROMICROELEMENTOS!$V4,MACROMICROELEMENTOS!$W4,MACROMICROELEMENTOS!$X4))</f>
        <v/>
      </c>
      <c r="BJ4" s="18">
        <v>1</v>
      </c>
      <c r="BK4" s="53" t="str">
        <f>IF(OR(MACROMICROELEMENTOS!$A4="",MACROMICROELEMENTOS!$B4="",MACROMICROELEMENTOS!$C4="",MACROMICROELEMENTOS!$D4="",MACROMICROELEMENTOS!$E4="",MACROMICROELEMENTOS!$F4="",MACROMICROELEMENTOS!$BI4="",MACROMICROELEMENTOS!$BJ4=""),"",((MACROMICROELEMENTOS!$F4-MACROMICROELEMENTOS!$BI4)*MACROMICROELEMENTOS!$BJ4*MACROMICROELEMENTOS!$D4*(1/MACROMICROELEMENTOS!$C4)*MACROMICROELEMENTOS!$E4/1000))</f>
        <v/>
      </c>
      <c r="BL4" s="16" t="str">
        <f>IF(AND(MACROMICROELEMENTOS!$Y4="",MACROMICROELEMENTOS!$Z4="",MACROMICROELEMENTOS!$AA4="",MACROMICROELEMENTOS!$AB4=""),"",AVERAGE(MACROMICROELEMENTOS!$Y4,MACROMICROELEMENTOS!$Z4,MACROMICROELEMENTOS!$AA4,MACROMICROELEMENTOS!$AB4))</f>
        <v/>
      </c>
      <c r="BM4" s="18">
        <v>1</v>
      </c>
      <c r="BN4" s="53" t="str">
        <f>IF(OR(MACROMICROELEMENTOS!$A4="",MACROMICROELEMENTOS!$B4="",MACROMICROELEMENTOS!$C4="",MACROMICROELEMENTOS!$D4="",MACROMICROELEMENTOS!$E4="",MACROMICROELEMENTOS!$G4="",MACROMICROELEMENTOS!$BL4="",MACROMICROELEMENTOS!$BM4=""),"",((MACROMICROELEMENTOS!$G4-MACROMICROELEMENTOS!$BL4)*MACROMICROELEMENTOS!$BM4*MACROMICROELEMENTOS!$D4*(1/MACROMICROELEMENTOS!$C4)*MACROMICROELEMENTOS!$E4/1000))</f>
        <v/>
      </c>
      <c r="BO4" s="16" t="str">
        <f>IF(AND(MACROMICROELEMENTOS!$AC4="",MACROMICROELEMENTOS!$AD4="",MACROMICROELEMENTOS!$AE4="",MACROMICROELEMENTOS!$AF4=""),"",AVERAGE(MACROMICROELEMENTOS!$AC4,MACROMICROELEMENTOS!$AD4,MACROMICROELEMENTOS!$AE4,MACROMICROELEMENTOS!$AF4))</f>
        <v/>
      </c>
      <c r="BP4" s="18">
        <v>1</v>
      </c>
      <c r="BQ4" s="53" t="str">
        <f>IF(OR(MACROMICROELEMENTOS!$A4="",MACROMICROELEMENTOS!$B4="",MACROMICROELEMENTOS!$C4="",MACROMICROELEMENTOS!$D4="",MACROMICROELEMENTOS!$E4="",MACROMICROELEMENTOS!$H4="",MACROMICROELEMENTOS!$BO4="",MACROMICROELEMENTOS!$BP4=""),"",((MACROMICROELEMENTOS!$H4-MACROMICROELEMENTOS!$BO4)*MACROMICROELEMENTOS!$BP4*MACROMICROELEMENTOS!$D4*(1/MACROMICROELEMENTOS!$C4)*MACROMICROELEMENTOS!$E4/1000))</f>
        <v/>
      </c>
      <c r="BR4" s="16" t="str">
        <f>IF(AND(MACROMICROELEMENTOS!$Q4="",MACROMICROELEMENTOS!$R4="",MACROMICROELEMENTOS!$S4="",MACROMICROELEMENTOS!$T4=""),"",AVERAGE(MACROMICROELEMENTOS!$Q4,MACROMICROELEMENTOS!$R4,MACROMICROELEMENTOS!$S4,MACROMICROELEMENTOS!$T4))</f>
        <v/>
      </c>
      <c r="BS4" s="18">
        <v>1</v>
      </c>
      <c r="BT4" s="53" t="str">
        <f>IF(OR(MACROMICROELEMENTOS!$A4="",MACROMICROELEMENTOS!$B4="",MACROMICROELEMENTOS!$C4="",MACROMICROELEMENTOS!$D4="",MACROMICROELEMENTOS!$E4="",MACROMICROELEMENTOS!$I4="",MACROMICROELEMENTOS!$BR4="",MACROMICROELEMENTOS!$BS4=""),"",((MACROMICROELEMENTOS!$I4-MACROMICROELEMENTOS!$BR4)*MACROMICROELEMENTOS!$BS4*MACROMICROELEMENTOS!$D4*(1/MACROMICROELEMENTOS!$C4)*MACROMICROELEMENTOS!$E4))</f>
        <v/>
      </c>
      <c r="BU4" s="16" t="str">
        <f>IF(AND(MACROMICROELEMENTOS!$AG4="",MACROMICROELEMENTOS!$AH4="",MACROMICROELEMENTOS!$AI4="",MACROMICROELEMENTOS!$AJ4=""),"",AVERAGE(MACROMICROELEMENTOS!$AG4,MACROMICROELEMENTOS!$AH4,MACROMICROELEMENTOS!$AI4,MACROMICROELEMENTOS!$AJ4))</f>
        <v/>
      </c>
      <c r="BV4" s="18">
        <v>1</v>
      </c>
      <c r="BW4" s="53" t="str">
        <f>IF(OR(MACROMICROELEMENTOS!$A4="",MACROMICROELEMENTOS!$B4="",MACROMICROELEMENTOS!$C4="",MACROMICROELEMENTOS!$D4="",MACROMICROELEMENTOS!$E4="",MACROMICROELEMENTOS!$J4="",MACROMICROELEMENTOS!$BU4="",MACROMICROELEMENTOS!$BV4=""),"",((MACROMICROELEMENTOS!$J4-MACROMICROELEMENTOS!$BU4)*MACROMICROELEMENTOS!$BV4*MACROMICROELEMENTOS!$D4*(1/MACROMICROELEMENTOS!$C4)*MACROMICROELEMENTOS!$E4/1000))</f>
        <v/>
      </c>
      <c r="BX4" s="16" t="str">
        <f>IF(AND(MACROMICROELEMENTOS!$AK4="",MACROMICROELEMENTOS!$AL4="",MACROMICROELEMENTOS!$AM4="",MACROMICROELEMENTOS!$AN4=""),"",AVERAGE(MACROMICROELEMENTOS!$AK4,MACROMICROELEMENTOS!$AL4,MACROMICROELEMENTOS!$AM4,MACROMICROELEMENTOS!$AN4))</f>
        <v/>
      </c>
      <c r="BY4" s="18">
        <v>1</v>
      </c>
      <c r="BZ4" s="53" t="str">
        <f>IF(OR(MACROMICROELEMENTOS!$A4="",MACROMICROELEMENTOS!$B4="",MACROMICROELEMENTOS!$C4="",MACROMICROELEMENTOS!$D4="",MACROMICROELEMENTOS!$E4="",MACROMICROELEMENTOS!$K4="",MACROMICROELEMENTOS!$BX4="",MACROMICROELEMENTOS!$BY4=""),"",((MACROMICROELEMENTOS!$K4-MACROMICROELEMENTOS!$BX4)*MACROMICROELEMENTOS!$BY4*MACROMICROELEMENTOS!$D4*(1/MACROMICROELEMENTOS!$C4)*MACROMICROELEMENTOS!$E4/1000))</f>
        <v/>
      </c>
      <c r="CA4" s="16" t="str">
        <f>IF(AND(MACROMICROELEMENTOS!$AO4="",MACROMICROELEMENTOS!$AP4="",MACROMICROELEMENTOS!$AQ4="",MACROMICROELEMENTOS!$AR4=""),"",AVERAGE(MACROMICROELEMENTOS!$AO4,MACROMICROELEMENTOS!$AP4,MACROMICROELEMENTOS!$AQ4,MACROMICROELEMENTOS!$AR4))</f>
        <v/>
      </c>
      <c r="CB4" s="18">
        <v>1</v>
      </c>
      <c r="CC4" s="53" t="str">
        <f>IF(OR(MACROMICROELEMENTOS!$A4="",MACROMICROELEMENTOS!$B4="",MACROMICROELEMENTOS!$C4="",MACROMICROELEMENTOS!$D4="",MACROMICROELEMENTOS!$E4="",MACROMICROELEMENTOS!$L4="",MACROMICROELEMENTOS!$CA4="",MACROMICROELEMENTOS!$CB4=""),"",((MACROMICROELEMENTOS!$L4-MACROMICROELEMENTOS!$CA4)*MACROMICROELEMENTOS!$CB4*MACROMICROELEMENTOS!$D4*(1/MACROMICROELEMENTOS!$C4)*MACROMICROELEMENTOS!$E4))</f>
        <v/>
      </c>
      <c r="CD4" s="16" t="str">
        <f>IF(AND(MACROMICROELEMENTOS!$AS4="",MACROMICROELEMENTOS!$AT4="",MACROMICROELEMENTOS!$AU4="",MACROMICROELEMENTOS!$AV4=""),"",AVERAGE(MACROMICROELEMENTOS!$AS4,MACROMICROELEMENTOS!$AT4,MACROMICROELEMENTOS!$AU4,MACROMICROELEMENTOS!$AV4))</f>
        <v/>
      </c>
      <c r="CE4" s="18">
        <v>1</v>
      </c>
      <c r="CF4" s="53" t="str">
        <f>IF(OR(MACROMICROELEMENTOS!$A4="",MACROMICROELEMENTOS!$B4="",MACROMICROELEMENTOS!$C4="",MACROMICROELEMENTOS!$D4="",MACROMICROELEMENTOS!$E4="",MACROMICROELEMENTOS!$M4="",MACROMICROELEMENTOS!$CD4="",MACROMICROELEMENTOS!$CE4=""),"",((MACROMICROELEMENTOS!$M4-MACROMICROELEMENTOS!$CD4)*MACROMICROELEMENTOS!$CE4*MACROMICROELEMENTOS!$D4*(1/MACROMICROELEMENTOS!$C4)*MACROMICROELEMENTOS!$E4))</f>
        <v/>
      </c>
      <c r="CG4" s="16" t="str">
        <f>IF(AND(MACROMICROELEMENTOS!$AW4="",MACROMICROELEMENTOS!$AX4="",MACROMICROELEMENTOS!$AY4="",MACROMICROELEMENTOS!$AZ4=""),"",AVERAGE(MACROMICROELEMENTOS!$AW4,MACROMICROELEMENTOS!$AX4,MACROMICROELEMENTOS!$AY4,MACROMICROELEMENTOS!$AZ4))</f>
        <v/>
      </c>
      <c r="CH4" s="18">
        <v>1</v>
      </c>
      <c r="CI4" s="53" t="str">
        <f>IF(OR(MACROMICROELEMENTOS!$A4="",MACROMICROELEMENTOS!$B4="",MACROMICROELEMENTOS!$C4="",MACROMICROELEMENTOS!$D4="",MACROMICROELEMENTOS!$E4="",MACROMICROELEMENTOS!$N4="",MACROMICROELEMENTOS!$CG4="",MACROMICROELEMENTOS!$CH4=""),"",((MACROMICROELEMENTOS!$N4-MACROMICROELEMENTOS!$CG4)*MACROMICROELEMENTOS!$CH4*MACROMICROELEMENTOS!$D4*(1/MACROMICROELEMENTOS!$C4)*MACROMICROELEMENTOS!$E4))</f>
        <v/>
      </c>
      <c r="CJ4" s="16" t="str">
        <f>IF(AND(MACROMICROELEMENTOS!$BA4="",MACROMICROELEMENTOS!$BB4="",MACROMICROELEMENTOS!$BC4="",MACROMICROELEMENTOS!$BD4=""),"",IF(O4&gt;5,0,AVERAGE(MACROMICROELEMENTOS!$BA4,MACROMICROELEMENTOS!$BB4,MACROMICROELEMENTOS!$BC4,MACROMICROELEMENTOS!$BD4)))</f>
        <v/>
      </c>
      <c r="CK4" s="18">
        <v>1</v>
      </c>
      <c r="CL4" s="53" t="str">
        <f>IF(OR(MACROMICROELEMENTOS!$A4="",MACROMICROELEMENTOS!$B4="",MACROMICROELEMENTOS!$C4="",MACROMICROELEMENTOS!$D4="",MACROMICROELEMENTOS!$E4="",MACROMICROELEMENTOS!$O4="",MACROMICROELEMENTOS!$CJ4="",MACROMICROELEMENTOS!$CK4=""),"",((MACROMICROELEMENTOS!$O4-MACROMICROELEMENTOS!$CJ4)*MACROMICROELEMENTOS!$CK4*MACROMICROELEMENTOS!$D4*(1/MACROMICROELEMENTOS!$C4)*MACROMICROELEMENTOS!$E4))</f>
        <v/>
      </c>
      <c r="CM4" s="16" t="str">
        <f>IF(AND(MACROMICROELEMENTOS!$BE4="",MACROMICROELEMENTOS!$BF4="",MACROMICROELEMENTOS!$BG4="",MACROMICROELEMENTOS!$BH4=""),"",AVERAGE(MACROMICROELEMENTOS!$BE4,MACROMICROELEMENTOS!$BF4,MACROMICROELEMENTOS!$BG4,MACROMICROELEMENTOS!$BH4))</f>
        <v/>
      </c>
      <c r="CN4" s="18">
        <v>1</v>
      </c>
      <c r="CO4" s="53" t="str">
        <f>IF(OR(MACROMICROELEMENTOS!$A4="",MACROMICROELEMENTOS!$B4="",MACROMICROELEMENTOS!$C4="",MACROMICROELEMENTOS!$D4="",MACROMICROELEMENTOS!$E4="",MACROMICROELEMENTOS!$P4="",MACROMICROELEMENTOS!$CM4="",MACROMICROELEMENTOS!$CN4=""),"",((MACROMICROELEMENTOS!$P4-MACROMICROELEMENTOS!$CM4)*MACROMICROELEMENTOS!$CN4*MACROMICROELEMENTOS!$D4*(1/MACROMICROELEMENTOS!$C4)*MACROMICROELEMENTOS!$E4))</f>
        <v/>
      </c>
    </row>
    <row r="5" spans="1:97" x14ac:dyDescent="0.25">
      <c r="A5" s="50"/>
      <c r="B5" s="51"/>
      <c r="C5" s="50"/>
      <c r="D5" s="18">
        <v>50</v>
      </c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6" t="str">
        <f>IF(AND(MACROMICROELEMENTOS!$U5="",MACROMICROELEMENTOS!$V5="",MACROMICROELEMENTOS!$W5="",MACROMICROELEMENTOS!$X5=""),"",AVERAGE(MACROMICROELEMENTOS!$U5,MACROMICROELEMENTOS!$V5,MACROMICROELEMENTOS!$W5,MACROMICROELEMENTOS!$X5))</f>
        <v/>
      </c>
      <c r="BJ5" s="18">
        <v>1</v>
      </c>
      <c r="BK5" s="53" t="str">
        <f>IF(OR(MACROMICROELEMENTOS!$A5="",MACROMICROELEMENTOS!$B5="",MACROMICROELEMENTOS!$C5="",MACROMICROELEMENTOS!$D5="",MACROMICROELEMENTOS!$E5="",MACROMICROELEMENTOS!$F5="",MACROMICROELEMENTOS!$BI5="",MACROMICROELEMENTOS!$BJ5=""),"",((MACROMICROELEMENTOS!$F5-MACROMICROELEMENTOS!$BI5)*MACROMICROELEMENTOS!$BJ5*MACROMICROELEMENTOS!$D5*(1/MACROMICROELEMENTOS!$C5)*MACROMICROELEMENTOS!$E5/1000))</f>
        <v/>
      </c>
      <c r="BL5" s="16" t="str">
        <f>IF(AND(MACROMICROELEMENTOS!$Y5="",MACROMICROELEMENTOS!$Z5="",MACROMICROELEMENTOS!$AA5="",MACROMICROELEMENTOS!$AB5=""),"",AVERAGE(MACROMICROELEMENTOS!$Y5,MACROMICROELEMENTOS!$Z5,MACROMICROELEMENTOS!$AA5,MACROMICROELEMENTOS!$AB5))</f>
        <v/>
      </c>
      <c r="BM5" s="18">
        <v>1</v>
      </c>
      <c r="BN5" s="53" t="str">
        <f>IF(OR(MACROMICROELEMENTOS!$A5="",MACROMICROELEMENTOS!$B5="",MACROMICROELEMENTOS!$C5="",MACROMICROELEMENTOS!$D5="",MACROMICROELEMENTOS!$E5="",MACROMICROELEMENTOS!$G5="",MACROMICROELEMENTOS!$BL5="",MACROMICROELEMENTOS!$BM5=""),"",((MACROMICROELEMENTOS!$G5-MACROMICROELEMENTOS!$BL5)*MACROMICROELEMENTOS!$BM5*MACROMICROELEMENTOS!$D5*(1/MACROMICROELEMENTOS!$C5)*MACROMICROELEMENTOS!$E5/1000))</f>
        <v/>
      </c>
      <c r="BO5" s="16" t="str">
        <f>IF(AND(MACROMICROELEMENTOS!$AC5="",MACROMICROELEMENTOS!$AD5="",MACROMICROELEMENTOS!$AE5="",MACROMICROELEMENTOS!$AF5=""),"",AVERAGE(MACROMICROELEMENTOS!$AC5,MACROMICROELEMENTOS!$AD5,MACROMICROELEMENTOS!$AE5,MACROMICROELEMENTOS!$AF5))</f>
        <v/>
      </c>
      <c r="BP5" s="18">
        <v>1</v>
      </c>
      <c r="BQ5" s="53" t="str">
        <f>IF(OR(MACROMICROELEMENTOS!$A5="",MACROMICROELEMENTOS!$B5="",MACROMICROELEMENTOS!$C5="",MACROMICROELEMENTOS!$D5="",MACROMICROELEMENTOS!$E5="",MACROMICROELEMENTOS!$H5="",MACROMICROELEMENTOS!$BO5="",MACROMICROELEMENTOS!$BP5=""),"",((MACROMICROELEMENTOS!$H5-MACROMICROELEMENTOS!$BO5)*MACROMICROELEMENTOS!$BP5*MACROMICROELEMENTOS!$D5*(1/MACROMICROELEMENTOS!$C5)*MACROMICROELEMENTOS!$E5/1000))</f>
        <v/>
      </c>
      <c r="BR5" s="16" t="str">
        <f>IF(AND(MACROMICROELEMENTOS!$Q5="",MACROMICROELEMENTOS!$R5="",MACROMICROELEMENTOS!$S5="",MACROMICROELEMENTOS!$T5=""),"",AVERAGE(MACROMICROELEMENTOS!$Q5,MACROMICROELEMENTOS!$R5,MACROMICROELEMENTOS!$S5,MACROMICROELEMENTOS!$T5))</f>
        <v/>
      </c>
      <c r="BS5" s="18">
        <v>1</v>
      </c>
      <c r="BT5" s="53" t="str">
        <f>IF(OR(MACROMICROELEMENTOS!$A5="",MACROMICROELEMENTOS!$B5="",MACROMICROELEMENTOS!$C5="",MACROMICROELEMENTOS!$D5="",MACROMICROELEMENTOS!$E5="",MACROMICROELEMENTOS!$I5="",MACROMICROELEMENTOS!$BR5="",MACROMICROELEMENTOS!$BS5=""),"",((MACROMICROELEMENTOS!$I5-MACROMICROELEMENTOS!$BR5)*MACROMICROELEMENTOS!$BS5*MACROMICROELEMENTOS!$D5*(1/MACROMICROELEMENTOS!$C5)*MACROMICROELEMENTOS!$E5))</f>
        <v/>
      </c>
      <c r="BU5" s="16" t="str">
        <f>IF(AND(MACROMICROELEMENTOS!$AG5="",MACROMICROELEMENTOS!$AH5="",MACROMICROELEMENTOS!$AI5="",MACROMICROELEMENTOS!$AJ5=""),"",AVERAGE(MACROMICROELEMENTOS!$AG5,MACROMICROELEMENTOS!$AH5,MACROMICROELEMENTOS!$AI5,MACROMICROELEMENTOS!$AJ5))</f>
        <v/>
      </c>
      <c r="BV5" s="18">
        <v>1</v>
      </c>
      <c r="BW5" s="53" t="str">
        <f>IF(OR(MACROMICROELEMENTOS!$A5="",MACROMICROELEMENTOS!$B5="",MACROMICROELEMENTOS!$C5="",MACROMICROELEMENTOS!$D5="",MACROMICROELEMENTOS!$E5="",MACROMICROELEMENTOS!$J5="",MACROMICROELEMENTOS!$BU5="",MACROMICROELEMENTOS!$BV5=""),"",((MACROMICROELEMENTOS!$J5-MACROMICROELEMENTOS!$BU5)*MACROMICROELEMENTOS!$BV5*MACROMICROELEMENTOS!$D5*(1/MACROMICROELEMENTOS!$C5)*MACROMICROELEMENTOS!$E5/1000))</f>
        <v/>
      </c>
      <c r="BX5" s="16" t="str">
        <f>IF(AND(MACROMICROELEMENTOS!$AK5="",MACROMICROELEMENTOS!$AL5="",MACROMICROELEMENTOS!$AM5="",MACROMICROELEMENTOS!$AN5=""),"",AVERAGE(MACROMICROELEMENTOS!$AK5,MACROMICROELEMENTOS!$AL5,MACROMICROELEMENTOS!$AM5,MACROMICROELEMENTOS!$AN5))</f>
        <v/>
      </c>
      <c r="BY5" s="18">
        <v>1</v>
      </c>
      <c r="BZ5" s="53" t="str">
        <f>IF(OR(MACROMICROELEMENTOS!$A5="",MACROMICROELEMENTOS!$B5="",MACROMICROELEMENTOS!$C5="",MACROMICROELEMENTOS!$D5="",MACROMICROELEMENTOS!$E5="",MACROMICROELEMENTOS!$K5="",MACROMICROELEMENTOS!$BX5="",MACROMICROELEMENTOS!$BY5=""),"",((MACROMICROELEMENTOS!$K5-MACROMICROELEMENTOS!$BX5)*MACROMICROELEMENTOS!$BY5*MACROMICROELEMENTOS!$D5*(1/MACROMICROELEMENTOS!$C5)*MACROMICROELEMENTOS!$E5/1000))</f>
        <v/>
      </c>
      <c r="CA5" s="16" t="str">
        <f>IF(AND(MACROMICROELEMENTOS!$AO5="",MACROMICROELEMENTOS!$AP5="",MACROMICROELEMENTOS!$AQ5="",MACROMICROELEMENTOS!$AR5=""),"",AVERAGE(MACROMICROELEMENTOS!$AO5,MACROMICROELEMENTOS!$AP5,MACROMICROELEMENTOS!$AQ5,MACROMICROELEMENTOS!$AR5))</f>
        <v/>
      </c>
      <c r="CB5" s="18">
        <v>1</v>
      </c>
      <c r="CC5" s="53" t="str">
        <f>IF(OR(MACROMICROELEMENTOS!$A5="",MACROMICROELEMENTOS!$B5="",MACROMICROELEMENTOS!$C5="",MACROMICROELEMENTOS!$D5="",MACROMICROELEMENTOS!$E5="",MACROMICROELEMENTOS!$L5="",MACROMICROELEMENTOS!$CA5="",MACROMICROELEMENTOS!$CB5=""),"",((MACROMICROELEMENTOS!$L5-MACROMICROELEMENTOS!$CA5)*MACROMICROELEMENTOS!$CB5*MACROMICROELEMENTOS!$D5*(1/MACROMICROELEMENTOS!$C5)*MACROMICROELEMENTOS!$E5))</f>
        <v/>
      </c>
      <c r="CD5" s="16" t="str">
        <f>IF(AND(MACROMICROELEMENTOS!$AS5="",MACROMICROELEMENTOS!$AT5="",MACROMICROELEMENTOS!$AU5="",MACROMICROELEMENTOS!$AV5=""),"",AVERAGE(MACROMICROELEMENTOS!$AS5,MACROMICROELEMENTOS!$AT5,MACROMICROELEMENTOS!$AU5,MACROMICROELEMENTOS!$AV5))</f>
        <v/>
      </c>
      <c r="CE5" s="18">
        <v>1</v>
      </c>
      <c r="CF5" s="53" t="str">
        <f>IF(OR(MACROMICROELEMENTOS!$A5="",MACROMICROELEMENTOS!$B5="",MACROMICROELEMENTOS!$C5="",MACROMICROELEMENTOS!$D5="",MACROMICROELEMENTOS!$E5="",MACROMICROELEMENTOS!$M5="",MACROMICROELEMENTOS!$CD5="",MACROMICROELEMENTOS!$CE5=""),"",((MACROMICROELEMENTOS!$M5-MACROMICROELEMENTOS!$CD5)*MACROMICROELEMENTOS!$CE5*MACROMICROELEMENTOS!$D5*(1/MACROMICROELEMENTOS!$C5)*MACROMICROELEMENTOS!$E5))</f>
        <v/>
      </c>
      <c r="CG5" s="16" t="str">
        <f>IF(AND(MACROMICROELEMENTOS!$AW5="",MACROMICROELEMENTOS!$AX5="",MACROMICROELEMENTOS!$AY5="",MACROMICROELEMENTOS!$AZ5=""),"",AVERAGE(MACROMICROELEMENTOS!$AW5,MACROMICROELEMENTOS!$AX5,MACROMICROELEMENTOS!$AY5,MACROMICROELEMENTOS!$AZ5))</f>
        <v/>
      </c>
      <c r="CH5" s="18">
        <v>1</v>
      </c>
      <c r="CI5" s="53" t="str">
        <f>IF(OR(MACROMICROELEMENTOS!$A5="",MACROMICROELEMENTOS!$B5="",MACROMICROELEMENTOS!$C5="",MACROMICROELEMENTOS!$D5="",MACROMICROELEMENTOS!$E5="",MACROMICROELEMENTOS!$N5="",MACROMICROELEMENTOS!$CG5="",MACROMICROELEMENTOS!$CH5=""),"",((MACROMICROELEMENTOS!$N5-MACROMICROELEMENTOS!$CG5)*MACROMICROELEMENTOS!$CH5*MACROMICROELEMENTOS!$D5*(1/MACROMICROELEMENTOS!$C5)*MACROMICROELEMENTOS!$E5))</f>
        <v/>
      </c>
      <c r="CJ5" s="16" t="str">
        <f>IF(AND(MACROMICROELEMENTOS!$BA5="",MACROMICROELEMENTOS!$BB5="",MACROMICROELEMENTOS!$BC5="",MACROMICROELEMENTOS!$BD5=""),"",IF(O5&gt;5,0,AVERAGE(MACROMICROELEMENTOS!$BA5,MACROMICROELEMENTOS!$BB5,MACROMICROELEMENTOS!$BC5,MACROMICROELEMENTOS!$BD5)))</f>
        <v/>
      </c>
      <c r="CK5" s="18">
        <v>1</v>
      </c>
      <c r="CL5" s="53" t="str">
        <f>IF(OR(MACROMICROELEMENTOS!$A5="",MACROMICROELEMENTOS!$B5="",MACROMICROELEMENTOS!$C5="",MACROMICROELEMENTOS!$D5="",MACROMICROELEMENTOS!$E5="",MACROMICROELEMENTOS!$O5="",MACROMICROELEMENTOS!$CJ5="",MACROMICROELEMENTOS!$CK5=""),"",((MACROMICROELEMENTOS!$O5-MACROMICROELEMENTOS!$CJ5)*MACROMICROELEMENTOS!$CK5*MACROMICROELEMENTOS!$D5*(1/MACROMICROELEMENTOS!$C5)*MACROMICROELEMENTOS!$E5))</f>
        <v/>
      </c>
      <c r="CM5" s="16" t="str">
        <f>IF(AND(MACROMICROELEMENTOS!$BE5="",MACROMICROELEMENTOS!$BF5="",MACROMICROELEMENTOS!$BG5="",MACROMICROELEMENTOS!$BH5=""),"",AVERAGE(MACROMICROELEMENTOS!$BE5,MACROMICROELEMENTOS!$BF5,MACROMICROELEMENTOS!$BG5,MACROMICROELEMENTOS!$BH5))</f>
        <v/>
      </c>
      <c r="CN5" s="18">
        <v>1</v>
      </c>
      <c r="CO5" s="53" t="str">
        <f>IF(OR(MACROMICROELEMENTOS!$A5="",MACROMICROELEMENTOS!$B5="",MACROMICROELEMENTOS!$C5="",MACROMICROELEMENTOS!$D5="",MACROMICROELEMENTOS!$E5="",MACROMICROELEMENTOS!$P5="",MACROMICROELEMENTOS!$CM5="",MACROMICROELEMENTOS!$CN5=""),"",((MACROMICROELEMENTOS!$P5-MACROMICROELEMENTOS!$CM5)*MACROMICROELEMENTOS!$CN5*MACROMICROELEMENTOS!$D5*(1/MACROMICROELEMENTOS!$C5)*MACROMICROELEMENTOS!$E5))</f>
        <v/>
      </c>
    </row>
    <row r="6" spans="1:97" x14ac:dyDescent="0.25">
      <c r="A6" s="50"/>
      <c r="B6" s="51"/>
      <c r="C6" s="50"/>
      <c r="D6" s="18">
        <v>50</v>
      </c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6" t="str">
        <f>IF(AND(MACROMICROELEMENTOS!$U6="",MACROMICROELEMENTOS!$V6="",MACROMICROELEMENTOS!$W6="",MACROMICROELEMENTOS!$X6=""),"",AVERAGE(MACROMICROELEMENTOS!$U6,MACROMICROELEMENTOS!$V6,MACROMICROELEMENTOS!$W6,MACROMICROELEMENTOS!$X6))</f>
        <v/>
      </c>
      <c r="BJ6" s="18">
        <v>1</v>
      </c>
      <c r="BK6" s="53" t="str">
        <f>IF(OR(MACROMICROELEMENTOS!$A6="",MACROMICROELEMENTOS!$B6="",MACROMICROELEMENTOS!$C6="",MACROMICROELEMENTOS!$D6="",MACROMICROELEMENTOS!$E6="",MACROMICROELEMENTOS!$F6="",MACROMICROELEMENTOS!$BI6="",MACROMICROELEMENTOS!$BJ6=""),"",((MACROMICROELEMENTOS!$F6-MACROMICROELEMENTOS!$BI6)*MACROMICROELEMENTOS!$BJ6*MACROMICROELEMENTOS!$D6*(1/MACROMICROELEMENTOS!$C6)*MACROMICROELEMENTOS!$E6/1000))</f>
        <v/>
      </c>
      <c r="BL6" s="16" t="str">
        <f>IF(AND(MACROMICROELEMENTOS!$Y6="",MACROMICROELEMENTOS!$Z6="",MACROMICROELEMENTOS!$AA6="",MACROMICROELEMENTOS!$AB6=""),"",AVERAGE(MACROMICROELEMENTOS!$Y6,MACROMICROELEMENTOS!$Z6,MACROMICROELEMENTOS!$AA6,MACROMICROELEMENTOS!$AB6))</f>
        <v/>
      </c>
      <c r="BM6" s="18">
        <v>1</v>
      </c>
      <c r="BN6" s="53" t="str">
        <f>IF(OR(MACROMICROELEMENTOS!$A6="",MACROMICROELEMENTOS!$B6="",MACROMICROELEMENTOS!$C6="",MACROMICROELEMENTOS!$D6="",MACROMICROELEMENTOS!$E6="",MACROMICROELEMENTOS!$G6="",MACROMICROELEMENTOS!$BL6="",MACROMICROELEMENTOS!$BM6=""),"",((MACROMICROELEMENTOS!$G6-MACROMICROELEMENTOS!$BL6)*MACROMICROELEMENTOS!$BM6*MACROMICROELEMENTOS!$D6*(1/MACROMICROELEMENTOS!$C6)*MACROMICROELEMENTOS!$E6/1000))</f>
        <v/>
      </c>
      <c r="BO6" s="16" t="str">
        <f>IF(AND(MACROMICROELEMENTOS!$AC6="",MACROMICROELEMENTOS!$AD6="",MACROMICROELEMENTOS!$AE6="",MACROMICROELEMENTOS!$AF6=""),"",AVERAGE(MACROMICROELEMENTOS!$AC6,MACROMICROELEMENTOS!$AD6,MACROMICROELEMENTOS!$AE6,MACROMICROELEMENTOS!$AF6))</f>
        <v/>
      </c>
      <c r="BP6" s="18">
        <v>1</v>
      </c>
      <c r="BQ6" s="53" t="str">
        <f>IF(OR(MACROMICROELEMENTOS!$A6="",MACROMICROELEMENTOS!$B6="",MACROMICROELEMENTOS!$C6="",MACROMICROELEMENTOS!$D6="",MACROMICROELEMENTOS!$E6="",MACROMICROELEMENTOS!$H6="",MACROMICROELEMENTOS!$BO6="",MACROMICROELEMENTOS!$BP6=""),"",((MACROMICROELEMENTOS!$H6-MACROMICROELEMENTOS!$BO6)*MACROMICROELEMENTOS!$BP6*MACROMICROELEMENTOS!$D6*(1/MACROMICROELEMENTOS!$C6)*MACROMICROELEMENTOS!$E6/1000))</f>
        <v/>
      </c>
      <c r="BR6" s="16" t="str">
        <f>IF(AND(MACROMICROELEMENTOS!$Q6="",MACROMICROELEMENTOS!$R6="",MACROMICROELEMENTOS!$S6="",MACROMICROELEMENTOS!$T6=""),"",AVERAGE(MACROMICROELEMENTOS!$Q6,MACROMICROELEMENTOS!$R6,MACROMICROELEMENTOS!$S6,MACROMICROELEMENTOS!$T6))</f>
        <v/>
      </c>
      <c r="BS6" s="18">
        <v>1</v>
      </c>
      <c r="BT6" s="53" t="str">
        <f>IF(OR(MACROMICROELEMENTOS!$A6="",MACROMICROELEMENTOS!$B6="",MACROMICROELEMENTOS!$C6="",MACROMICROELEMENTOS!$D6="",MACROMICROELEMENTOS!$E6="",MACROMICROELEMENTOS!$I6="",MACROMICROELEMENTOS!$BR6="",MACROMICROELEMENTOS!$BS6=""),"",((MACROMICROELEMENTOS!$I6-MACROMICROELEMENTOS!$BR6)*MACROMICROELEMENTOS!$BS6*MACROMICROELEMENTOS!$D6*(1/MACROMICROELEMENTOS!$C6)*MACROMICROELEMENTOS!$E6))</f>
        <v/>
      </c>
      <c r="BU6" s="16" t="str">
        <f>IF(AND(MACROMICROELEMENTOS!$AG6="",MACROMICROELEMENTOS!$AH6="",MACROMICROELEMENTOS!$AI6="",MACROMICROELEMENTOS!$AJ6=""),"",AVERAGE(MACROMICROELEMENTOS!$AG6,MACROMICROELEMENTOS!$AH6,MACROMICROELEMENTOS!$AI6,MACROMICROELEMENTOS!$AJ6))</f>
        <v/>
      </c>
      <c r="BV6" s="18">
        <v>1</v>
      </c>
      <c r="BW6" s="53" t="str">
        <f>IF(OR(MACROMICROELEMENTOS!$A6="",MACROMICROELEMENTOS!$B6="",MACROMICROELEMENTOS!$C6="",MACROMICROELEMENTOS!$D6="",MACROMICROELEMENTOS!$E6="",MACROMICROELEMENTOS!$J6="",MACROMICROELEMENTOS!$BU6="",MACROMICROELEMENTOS!$BV6=""),"",((MACROMICROELEMENTOS!$J6-MACROMICROELEMENTOS!$BU6)*MACROMICROELEMENTOS!$BV6*MACROMICROELEMENTOS!$D6*(1/MACROMICROELEMENTOS!$C6)*MACROMICROELEMENTOS!$E6/1000))</f>
        <v/>
      </c>
      <c r="BX6" s="16" t="str">
        <f>IF(AND(MACROMICROELEMENTOS!$AK6="",MACROMICROELEMENTOS!$AL6="",MACROMICROELEMENTOS!$AM6="",MACROMICROELEMENTOS!$AN6=""),"",AVERAGE(MACROMICROELEMENTOS!$AK6,MACROMICROELEMENTOS!$AL6,MACROMICROELEMENTOS!$AM6,MACROMICROELEMENTOS!$AN6))</f>
        <v/>
      </c>
      <c r="BY6" s="18">
        <v>1</v>
      </c>
      <c r="BZ6" s="53" t="str">
        <f>IF(OR(MACROMICROELEMENTOS!$A6="",MACROMICROELEMENTOS!$B6="",MACROMICROELEMENTOS!$C6="",MACROMICROELEMENTOS!$D6="",MACROMICROELEMENTOS!$E6="",MACROMICROELEMENTOS!$K6="",MACROMICROELEMENTOS!$BX6="",MACROMICROELEMENTOS!$BY6=""),"",((MACROMICROELEMENTOS!$K6-MACROMICROELEMENTOS!$BX6)*MACROMICROELEMENTOS!$BY6*MACROMICROELEMENTOS!$D6*(1/MACROMICROELEMENTOS!$C6)*MACROMICROELEMENTOS!$E6/1000))</f>
        <v/>
      </c>
      <c r="CA6" s="16" t="str">
        <f>IF(AND(MACROMICROELEMENTOS!$AO6="",MACROMICROELEMENTOS!$AP6="",MACROMICROELEMENTOS!$AQ6="",MACROMICROELEMENTOS!$AR6=""),"",AVERAGE(MACROMICROELEMENTOS!$AO6,MACROMICROELEMENTOS!$AP6,MACROMICROELEMENTOS!$AQ6,MACROMICROELEMENTOS!$AR6))</f>
        <v/>
      </c>
      <c r="CB6" s="18">
        <v>1</v>
      </c>
      <c r="CC6" s="53" t="str">
        <f>IF(OR(MACROMICROELEMENTOS!$A6="",MACROMICROELEMENTOS!$B6="",MACROMICROELEMENTOS!$C6="",MACROMICROELEMENTOS!$D6="",MACROMICROELEMENTOS!$E6="",MACROMICROELEMENTOS!$L6="",MACROMICROELEMENTOS!$CA6="",MACROMICROELEMENTOS!$CB6=""),"",((MACROMICROELEMENTOS!$L6-MACROMICROELEMENTOS!$CA6)*MACROMICROELEMENTOS!$CB6*MACROMICROELEMENTOS!$D6*(1/MACROMICROELEMENTOS!$C6)*MACROMICROELEMENTOS!$E6))</f>
        <v/>
      </c>
      <c r="CD6" s="16" t="str">
        <f>IF(AND(MACROMICROELEMENTOS!$AS6="",MACROMICROELEMENTOS!$AT6="",MACROMICROELEMENTOS!$AU6="",MACROMICROELEMENTOS!$AV6=""),"",AVERAGE(MACROMICROELEMENTOS!$AS6,MACROMICROELEMENTOS!$AT6,MACROMICROELEMENTOS!$AU6,MACROMICROELEMENTOS!$AV6))</f>
        <v/>
      </c>
      <c r="CE6" s="18">
        <v>1</v>
      </c>
      <c r="CF6" s="53" t="str">
        <f>IF(OR(MACROMICROELEMENTOS!$A6="",MACROMICROELEMENTOS!$B6="",MACROMICROELEMENTOS!$C6="",MACROMICROELEMENTOS!$D6="",MACROMICROELEMENTOS!$E6="",MACROMICROELEMENTOS!$M6="",MACROMICROELEMENTOS!$CD6="",MACROMICROELEMENTOS!$CE6=""),"",((MACROMICROELEMENTOS!$M6-MACROMICROELEMENTOS!$CD6)*MACROMICROELEMENTOS!$CE6*MACROMICROELEMENTOS!$D6*(1/MACROMICROELEMENTOS!$C6)*MACROMICROELEMENTOS!$E6))</f>
        <v/>
      </c>
      <c r="CG6" s="16" t="str">
        <f>IF(AND(MACROMICROELEMENTOS!$AW6="",MACROMICROELEMENTOS!$AX6="",MACROMICROELEMENTOS!$AY6="",MACROMICROELEMENTOS!$AZ6=""),"",AVERAGE(MACROMICROELEMENTOS!$AW6,MACROMICROELEMENTOS!$AX6,MACROMICROELEMENTOS!$AY6,MACROMICROELEMENTOS!$AZ6))</f>
        <v/>
      </c>
      <c r="CH6" s="18">
        <v>1</v>
      </c>
      <c r="CI6" s="53" t="str">
        <f>IF(OR(MACROMICROELEMENTOS!$A6="",MACROMICROELEMENTOS!$B6="",MACROMICROELEMENTOS!$C6="",MACROMICROELEMENTOS!$D6="",MACROMICROELEMENTOS!$E6="",MACROMICROELEMENTOS!$N6="",MACROMICROELEMENTOS!$CG6="",MACROMICROELEMENTOS!$CH6=""),"",((MACROMICROELEMENTOS!$N6-MACROMICROELEMENTOS!$CG6)*MACROMICROELEMENTOS!$CH6*MACROMICROELEMENTOS!$D6*(1/MACROMICROELEMENTOS!$C6)*MACROMICROELEMENTOS!$E6))</f>
        <v/>
      </c>
      <c r="CJ6" s="16" t="str">
        <f>IF(AND(MACROMICROELEMENTOS!$BA6="",MACROMICROELEMENTOS!$BB6="",MACROMICROELEMENTOS!$BC6="",MACROMICROELEMENTOS!$BD6=""),"",IF(O6&gt;5,0,AVERAGE(MACROMICROELEMENTOS!$BA6,MACROMICROELEMENTOS!$BB6,MACROMICROELEMENTOS!$BC6,MACROMICROELEMENTOS!$BD6)))</f>
        <v/>
      </c>
      <c r="CK6" s="18">
        <v>1</v>
      </c>
      <c r="CL6" s="53" t="str">
        <f>IF(OR(MACROMICROELEMENTOS!$A6="",MACROMICROELEMENTOS!$B6="",MACROMICROELEMENTOS!$C6="",MACROMICROELEMENTOS!$D6="",MACROMICROELEMENTOS!$E6="",MACROMICROELEMENTOS!$O6="",MACROMICROELEMENTOS!$CJ6="",MACROMICROELEMENTOS!$CK6=""),"",((MACROMICROELEMENTOS!$O6-MACROMICROELEMENTOS!$CJ6)*MACROMICROELEMENTOS!$CK6*MACROMICROELEMENTOS!$D6*(1/MACROMICROELEMENTOS!$C6)*MACROMICROELEMENTOS!$E6))</f>
        <v/>
      </c>
      <c r="CM6" s="16" t="str">
        <f>IF(AND(MACROMICROELEMENTOS!$BE6="",MACROMICROELEMENTOS!$BF6="",MACROMICROELEMENTOS!$BG6="",MACROMICROELEMENTOS!$BH6=""),"",AVERAGE(MACROMICROELEMENTOS!$BE6,MACROMICROELEMENTOS!$BF6,MACROMICROELEMENTOS!$BG6,MACROMICROELEMENTOS!$BH6))</f>
        <v/>
      </c>
      <c r="CN6" s="18">
        <v>1</v>
      </c>
      <c r="CO6" s="53" t="str">
        <f>IF(OR(MACROMICROELEMENTOS!$A6="",MACROMICROELEMENTOS!$B6="",MACROMICROELEMENTOS!$C6="",MACROMICROELEMENTOS!$D6="",MACROMICROELEMENTOS!$E6="",MACROMICROELEMENTOS!$P6="",MACROMICROELEMENTOS!$CM6="",MACROMICROELEMENTOS!$CN6=""),"",((MACROMICROELEMENTOS!$P6-MACROMICROELEMENTOS!$CM6)*MACROMICROELEMENTOS!$CN6*MACROMICROELEMENTOS!$D6*(1/MACROMICROELEMENTOS!$C6)*MACROMICROELEMENTOS!$E6))</f>
        <v/>
      </c>
    </row>
    <row r="7" spans="1:97" x14ac:dyDescent="0.25">
      <c r="A7" s="50"/>
      <c r="B7" s="51"/>
      <c r="C7" s="50"/>
      <c r="D7" s="18">
        <v>50</v>
      </c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6" t="str">
        <f>IF(AND(MACROMICROELEMENTOS!$U7="",MACROMICROELEMENTOS!$V7="",MACROMICROELEMENTOS!$W7="",MACROMICROELEMENTOS!$X7=""),"",AVERAGE(MACROMICROELEMENTOS!$U7,MACROMICROELEMENTOS!$V7,MACROMICROELEMENTOS!$W7,MACROMICROELEMENTOS!$X7))</f>
        <v/>
      </c>
      <c r="BJ7" s="18">
        <v>1</v>
      </c>
      <c r="BK7" s="53" t="str">
        <f>IF(OR(MACROMICROELEMENTOS!$A7="",MACROMICROELEMENTOS!$B7="",MACROMICROELEMENTOS!$C7="",MACROMICROELEMENTOS!$D7="",MACROMICROELEMENTOS!$E7="",MACROMICROELEMENTOS!$F7="",MACROMICROELEMENTOS!$BI7="",MACROMICROELEMENTOS!$BJ7=""),"",((MACROMICROELEMENTOS!$F7-MACROMICROELEMENTOS!$BI7)*MACROMICROELEMENTOS!$BJ7*MACROMICROELEMENTOS!$D7*(1/MACROMICROELEMENTOS!$C7)*MACROMICROELEMENTOS!$E7/1000))</f>
        <v/>
      </c>
      <c r="BL7" s="16" t="str">
        <f>IF(AND(MACROMICROELEMENTOS!$Y7="",MACROMICROELEMENTOS!$Z7="",MACROMICROELEMENTOS!$AA7="",MACROMICROELEMENTOS!$AB7=""),"",AVERAGE(MACROMICROELEMENTOS!$Y7,MACROMICROELEMENTOS!$Z7,MACROMICROELEMENTOS!$AA7,MACROMICROELEMENTOS!$AB7))</f>
        <v/>
      </c>
      <c r="BM7" s="18">
        <v>1</v>
      </c>
      <c r="BN7" s="53" t="str">
        <f>IF(OR(MACROMICROELEMENTOS!$A7="",MACROMICROELEMENTOS!$B7="",MACROMICROELEMENTOS!$C7="",MACROMICROELEMENTOS!$D7="",MACROMICROELEMENTOS!$E7="",MACROMICROELEMENTOS!$G7="",MACROMICROELEMENTOS!$BL7="",MACROMICROELEMENTOS!$BM7=""),"",((MACROMICROELEMENTOS!$G7-MACROMICROELEMENTOS!$BL7)*MACROMICROELEMENTOS!$BM7*MACROMICROELEMENTOS!$D7*(1/MACROMICROELEMENTOS!$C7)*MACROMICROELEMENTOS!$E7/1000))</f>
        <v/>
      </c>
      <c r="BO7" s="16" t="str">
        <f>IF(AND(MACROMICROELEMENTOS!$AC7="",MACROMICROELEMENTOS!$AD7="",MACROMICROELEMENTOS!$AE7="",MACROMICROELEMENTOS!$AF7=""),"",AVERAGE(MACROMICROELEMENTOS!$AC7,MACROMICROELEMENTOS!$AD7,MACROMICROELEMENTOS!$AE7,MACROMICROELEMENTOS!$AF7))</f>
        <v/>
      </c>
      <c r="BP7" s="18">
        <v>1</v>
      </c>
      <c r="BQ7" s="53" t="str">
        <f>IF(OR(MACROMICROELEMENTOS!$A7="",MACROMICROELEMENTOS!$B7="",MACROMICROELEMENTOS!$C7="",MACROMICROELEMENTOS!$D7="",MACROMICROELEMENTOS!$E7="",MACROMICROELEMENTOS!$H7="",MACROMICROELEMENTOS!$BO7="",MACROMICROELEMENTOS!$BP7=""),"",((MACROMICROELEMENTOS!$H7-MACROMICROELEMENTOS!$BO7)*MACROMICROELEMENTOS!$BP7*MACROMICROELEMENTOS!$D7*(1/MACROMICROELEMENTOS!$C7)*MACROMICROELEMENTOS!$E7/1000))</f>
        <v/>
      </c>
      <c r="BR7" s="16" t="str">
        <f>IF(AND(MACROMICROELEMENTOS!$Q7="",MACROMICROELEMENTOS!$R7="",MACROMICROELEMENTOS!$S7="",MACROMICROELEMENTOS!$T7=""),"",AVERAGE(MACROMICROELEMENTOS!$Q7,MACROMICROELEMENTOS!$R7,MACROMICROELEMENTOS!$S7,MACROMICROELEMENTOS!$T7))</f>
        <v/>
      </c>
      <c r="BS7" s="18">
        <v>1</v>
      </c>
      <c r="BT7" s="53" t="str">
        <f>IF(OR(MACROMICROELEMENTOS!$A7="",MACROMICROELEMENTOS!$B7="",MACROMICROELEMENTOS!$C7="",MACROMICROELEMENTOS!$D7="",MACROMICROELEMENTOS!$E7="",MACROMICROELEMENTOS!$I7="",MACROMICROELEMENTOS!$BR7="",MACROMICROELEMENTOS!$BS7=""),"",((MACROMICROELEMENTOS!$I7-MACROMICROELEMENTOS!$BR7)*MACROMICROELEMENTOS!$BS7*MACROMICROELEMENTOS!$D7*(1/MACROMICROELEMENTOS!$C7)*MACROMICROELEMENTOS!$E7))</f>
        <v/>
      </c>
      <c r="BU7" s="16" t="str">
        <f>IF(AND(MACROMICROELEMENTOS!$AG7="",MACROMICROELEMENTOS!$AH7="",MACROMICROELEMENTOS!$AI7="",MACROMICROELEMENTOS!$AJ7=""),"",AVERAGE(MACROMICROELEMENTOS!$AG7,MACROMICROELEMENTOS!$AH7,MACROMICROELEMENTOS!$AI7,MACROMICROELEMENTOS!$AJ7))</f>
        <v/>
      </c>
      <c r="BV7" s="18">
        <v>1</v>
      </c>
      <c r="BW7" s="53" t="str">
        <f>IF(OR(MACROMICROELEMENTOS!$A7="",MACROMICROELEMENTOS!$B7="",MACROMICROELEMENTOS!$C7="",MACROMICROELEMENTOS!$D7="",MACROMICROELEMENTOS!$E7="",MACROMICROELEMENTOS!$J7="",MACROMICROELEMENTOS!$BU7="",MACROMICROELEMENTOS!$BV7=""),"",((MACROMICROELEMENTOS!$J7-MACROMICROELEMENTOS!$BU7)*MACROMICROELEMENTOS!$BV7*MACROMICROELEMENTOS!$D7*(1/MACROMICROELEMENTOS!$C7)*MACROMICROELEMENTOS!$E7/1000))</f>
        <v/>
      </c>
      <c r="BX7" s="16" t="str">
        <f>IF(AND(MACROMICROELEMENTOS!$AK7="",MACROMICROELEMENTOS!$AL7="",MACROMICROELEMENTOS!$AM7="",MACROMICROELEMENTOS!$AN7=""),"",AVERAGE(MACROMICROELEMENTOS!$AK7,MACROMICROELEMENTOS!$AL7,MACROMICROELEMENTOS!$AM7,MACROMICROELEMENTOS!$AN7))</f>
        <v/>
      </c>
      <c r="BY7" s="18">
        <v>1</v>
      </c>
      <c r="BZ7" s="53" t="str">
        <f>IF(OR(MACROMICROELEMENTOS!$A7="",MACROMICROELEMENTOS!$B7="",MACROMICROELEMENTOS!$C7="",MACROMICROELEMENTOS!$D7="",MACROMICROELEMENTOS!$E7="",MACROMICROELEMENTOS!$K7="",MACROMICROELEMENTOS!$BX7="",MACROMICROELEMENTOS!$BY7=""),"",((MACROMICROELEMENTOS!$K7-MACROMICROELEMENTOS!$BX7)*MACROMICROELEMENTOS!$BY7*MACROMICROELEMENTOS!$D7*(1/MACROMICROELEMENTOS!$C7)*MACROMICROELEMENTOS!$E7/1000))</f>
        <v/>
      </c>
      <c r="CA7" s="16" t="str">
        <f>IF(AND(MACROMICROELEMENTOS!$AO7="",MACROMICROELEMENTOS!$AP7="",MACROMICROELEMENTOS!$AQ7="",MACROMICROELEMENTOS!$AR7=""),"",AVERAGE(MACROMICROELEMENTOS!$AO7,MACROMICROELEMENTOS!$AP7,MACROMICROELEMENTOS!$AQ7,MACROMICROELEMENTOS!$AR7))</f>
        <v/>
      </c>
      <c r="CB7" s="18">
        <v>1</v>
      </c>
      <c r="CC7" s="53" t="str">
        <f>IF(OR(MACROMICROELEMENTOS!$A7="",MACROMICROELEMENTOS!$B7="",MACROMICROELEMENTOS!$C7="",MACROMICROELEMENTOS!$D7="",MACROMICROELEMENTOS!$E7="",MACROMICROELEMENTOS!$L7="",MACROMICROELEMENTOS!$CA7="",MACROMICROELEMENTOS!$CB7=""),"",((MACROMICROELEMENTOS!$L7-MACROMICROELEMENTOS!$CA7)*MACROMICROELEMENTOS!$CB7*MACROMICROELEMENTOS!$D7*(1/MACROMICROELEMENTOS!$C7)*MACROMICROELEMENTOS!$E7))</f>
        <v/>
      </c>
      <c r="CD7" s="16" t="str">
        <f>IF(AND(MACROMICROELEMENTOS!$AS7="",MACROMICROELEMENTOS!$AT7="",MACROMICROELEMENTOS!$AU7="",MACROMICROELEMENTOS!$AV7=""),"",AVERAGE(MACROMICROELEMENTOS!$AS7,MACROMICROELEMENTOS!$AT7,MACROMICROELEMENTOS!$AU7,MACROMICROELEMENTOS!$AV7))</f>
        <v/>
      </c>
      <c r="CE7" s="18">
        <v>1</v>
      </c>
      <c r="CF7" s="53" t="str">
        <f>IF(OR(MACROMICROELEMENTOS!$A7="",MACROMICROELEMENTOS!$B7="",MACROMICROELEMENTOS!$C7="",MACROMICROELEMENTOS!$D7="",MACROMICROELEMENTOS!$E7="",MACROMICROELEMENTOS!$M7="",MACROMICROELEMENTOS!$CD7="",MACROMICROELEMENTOS!$CE7=""),"",((MACROMICROELEMENTOS!$M7-MACROMICROELEMENTOS!$CD7)*MACROMICROELEMENTOS!$CE7*MACROMICROELEMENTOS!$D7*(1/MACROMICROELEMENTOS!$C7)*MACROMICROELEMENTOS!$E7))</f>
        <v/>
      </c>
      <c r="CG7" s="16" t="str">
        <f>IF(AND(MACROMICROELEMENTOS!$AW7="",MACROMICROELEMENTOS!$AX7="",MACROMICROELEMENTOS!$AY7="",MACROMICROELEMENTOS!$AZ7=""),"",AVERAGE(MACROMICROELEMENTOS!$AW7,MACROMICROELEMENTOS!$AX7,MACROMICROELEMENTOS!$AY7,MACROMICROELEMENTOS!$AZ7))</f>
        <v/>
      </c>
      <c r="CH7" s="18">
        <v>1</v>
      </c>
      <c r="CI7" s="53" t="str">
        <f>IF(OR(MACROMICROELEMENTOS!$A7="",MACROMICROELEMENTOS!$B7="",MACROMICROELEMENTOS!$C7="",MACROMICROELEMENTOS!$D7="",MACROMICROELEMENTOS!$E7="",MACROMICROELEMENTOS!$N7="",MACROMICROELEMENTOS!$CG7="",MACROMICROELEMENTOS!$CH7=""),"",((MACROMICROELEMENTOS!$N7-MACROMICROELEMENTOS!$CG7)*MACROMICROELEMENTOS!$CH7*MACROMICROELEMENTOS!$D7*(1/MACROMICROELEMENTOS!$C7)*MACROMICROELEMENTOS!$E7))</f>
        <v/>
      </c>
      <c r="CJ7" s="16" t="str">
        <f>IF(AND(MACROMICROELEMENTOS!$BA7="",MACROMICROELEMENTOS!$BB7="",MACROMICROELEMENTOS!$BC7="",MACROMICROELEMENTOS!$BD7=""),"",IF(O7&gt;5,0,AVERAGE(MACROMICROELEMENTOS!$BA7,MACROMICROELEMENTOS!$BB7,MACROMICROELEMENTOS!$BC7,MACROMICROELEMENTOS!$BD7)))</f>
        <v/>
      </c>
      <c r="CK7" s="18">
        <v>1</v>
      </c>
      <c r="CL7" s="53" t="str">
        <f>IF(OR(MACROMICROELEMENTOS!$A7="",MACROMICROELEMENTOS!$B7="",MACROMICROELEMENTOS!$C7="",MACROMICROELEMENTOS!$D7="",MACROMICROELEMENTOS!$E7="",MACROMICROELEMENTOS!$O7="",MACROMICROELEMENTOS!$CJ7="",MACROMICROELEMENTOS!$CK7=""),"",((MACROMICROELEMENTOS!$O7-MACROMICROELEMENTOS!$CJ7)*MACROMICROELEMENTOS!$CK7*MACROMICROELEMENTOS!$D7*(1/MACROMICROELEMENTOS!$C7)*MACROMICROELEMENTOS!$E7))</f>
        <v/>
      </c>
      <c r="CM7" s="16" t="str">
        <f>IF(AND(MACROMICROELEMENTOS!$BE7="",MACROMICROELEMENTOS!$BF7="",MACROMICROELEMENTOS!$BG7="",MACROMICROELEMENTOS!$BH7=""),"",AVERAGE(MACROMICROELEMENTOS!$BE7,MACROMICROELEMENTOS!$BF7,MACROMICROELEMENTOS!$BG7,MACROMICROELEMENTOS!$BH7))</f>
        <v/>
      </c>
      <c r="CN7" s="18">
        <v>1</v>
      </c>
      <c r="CO7" s="53" t="str">
        <f>IF(OR(MACROMICROELEMENTOS!$A7="",MACROMICROELEMENTOS!$B7="",MACROMICROELEMENTOS!$C7="",MACROMICROELEMENTOS!$D7="",MACROMICROELEMENTOS!$E7="",MACROMICROELEMENTOS!$P7="",MACROMICROELEMENTOS!$CM7="",MACROMICROELEMENTOS!$CN7=""),"",((MACROMICROELEMENTOS!$P7-MACROMICROELEMENTOS!$CM7)*MACROMICROELEMENTOS!$CN7*MACROMICROELEMENTOS!$D7*(1/MACROMICROELEMENTOS!$C7)*MACROMICROELEMENTOS!$E7))</f>
        <v/>
      </c>
    </row>
    <row r="8" spans="1:97" x14ac:dyDescent="0.25">
      <c r="A8" s="50"/>
      <c r="B8" s="51"/>
      <c r="C8" s="50"/>
      <c r="D8" s="18">
        <v>50</v>
      </c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6" t="str">
        <f>IF(AND(MACROMICROELEMENTOS!$U8="",MACROMICROELEMENTOS!$V8="",MACROMICROELEMENTOS!$W8="",MACROMICROELEMENTOS!$X8=""),"",AVERAGE(MACROMICROELEMENTOS!$U8,MACROMICROELEMENTOS!$V8,MACROMICROELEMENTOS!$W8,MACROMICROELEMENTOS!$X8))</f>
        <v/>
      </c>
      <c r="BJ8" s="18">
        <v>1</v>
      </c>
      <c r="BK8" s="53" t="str">
        <f>IF(OR(MACROMICROELEMENTOS!$A8="",MACROMICROELEMENTOS!$B8="",MACROMICROELEMENTOS!$C8="",MACROMICROELEMENTOS!$D8="",MACROMICROELEMENTOS!$E8="",MACROMICROELEMENTOS!$F8="",MACROMICROELEMENTOS!$BI8="",MACROMICROELEMENTOS!$BJ8=""),"",((MACROMICROELEMENTOS!$F8-MACROMICROELEMENTOS!$BI8)*MACROMICROELEMENTOS!$BJ8*MACROMICROELEMENTOS!$D8*(1/MACROMICROELEMENTOS!$C8)*MACROMICROELEMENTOS!$E8/1000))</f>
        <v/>
      </c>
      <c r="BL8" s="16" t="str">
        <f>IF(AND(MACROMICROELEMENTOS!$Y8="",MACROMICROELEMENTOS!$Z8="",MACROMICROELEMENTOS!$AA8="",MACROMICROELEMENTOS!$AB8=""),"",AVERAGE(MACROMICROELEMENTOS!$Y8,MACROMICROELEMENTOS!$Z8,MACROMICROELEMENTOS!$AA8,MACROMICROELEMENTOS!$AB8))</f>
        <v/>
      </c>
      <c r="BM8" s="18">
        <v>1</v>
      </c>
      <c r="BN8" s="53" t="str">
        <f>IF(OR(MACROMICROELEMENTOS!$A8="",MACROMICROELEMENTOS!$B8="",MACROMICROELEMENTOS!$C8="",MACROMICROELEMENTOS!$D8="",MACROMICROELEMENTOS!$E8="",MACROMICROELEMENTOS!$G8="",MACROMICROELEMENTOS!$BL8="",MACROMICROELEMENTOS!$BM8=""),"",((MACROMICROELEMENTOS!$G8-MACROMICROELEMENTOS!$BL8)*MACROMICROELEMENTOS!$BM8*MACROMICROELEMENTOS!$D8*(1/MACROMICROELEMENTOS!$C8)*MACROMICROELEMENTOS!$E8/1000))</f>
        <v/>
      </c>
      <c r="BO8" s="16" t="str">
        <f>IF(AND(MACROMICROELEMENTOS!$AC8="",MACROMICROELEMENTOS!$AD8="",MACROMICROELEMENTOS!$AE8="",MACROMICROELEMENTOS!$AF8=""),"",AVERAGE(MACROMICROELEMENTOS!$AC8,MACROMICROELEMENTOS!$AD8,MACROMICROELEMENTOS!$AE8,MACROMICROELEMENTOS!$AF8))</f>
        <v/>
      </c>
      <c r="BP8" s="18">
        <v>1</v>
      </c>
      <c r="BQ8" s="53" t="str">
        <f>IF(OR(MACROMICROELEMENTOS!$A8="",MACROMICROELEMENTOS!$B8="",MACROMICROELEMENTOS!$C8="",MACROMICROELEMENTOS!$D8="",MACROMICROELEMENTOS!$E8="",MACROMICROELEMENTOS!$H8="",MACROMICROELEMENTOS!$BO8="",MACROMICROELEMENTOS!$BP8=""),"",((MACROMICROELEMENTOS!$H8-MACROMICROELEMENTOS!$BO8)*MACROMICROELEMENTOS!$BP8*MACROMICROELEMENTOS!$D8*(1/MACROMICROELEMENTOS!$C8)*MACROMICROELEMENTOS!$E8/1000))</f>
        <v/>
      </c>
      <c r="BR8" s="16" t="str">
        <f>IF(AND(MACROMICROELEMENTOS!$Q8="",MACROMICROELEMENTOS!$R8="",MACROMICROELEMENTOS!$S8="",MACROMICROELEMENTOS!$T8=""),"",AVERAGE(MACROMICROELEMENTOS!$Q8,MACROMICROELEMENTOS!$R8,MACROMICROELEMENTOS!$S8,MACROMICROELEMENTOS!$T8))</f>
        <v/>
      </c>
      <c r="BS8" s="18">
        <v>1</v>
      </c>
      <c r="BT8" s="53" t="str">
        <f>IF(OR(MACROMICROELEMENTOS!$A8="",MACROMICROELEMENTOS!$B8="",MACROMICROELEMENTOS!$C8="",MACROMICROELEMENTOS!$D8="",MACROMICROELEMENTOS!$E8="",MACROMICROELEMENTOS!$I8="",MACROMICROELEMENTOS!$BR8="",MACROMICROELEMENTOS!$BS8=""),"",((MACROMICROELEMENTOS!$I8-MACROMICROELEMENTOS!$BR8)*MACROMICROELEMENTOS!$BS8*MACROMICROELEMENTOS!$D8*(1/MACROMICROELEMENTOS!$C8)*MACROMICROELEMENTOS!$E8))</f>
        <v/>
      </c>
      <c r="BU8" s="16" t="str">
        <f>IF(AND(MACROMICROELEMENTOS!$AG8="",MACROMICROELEMENTOS!$AH8="",MACROMICROELEMENTOS!$AI8="",MACROMICROELEMENTOS!$AJ8=""),"",AVERAGE(MACROMICROELEMENTOS!$AG8,MACROMICROELEMENTOS!$AH8,MACROMICROELEMENTOS!$AI8,MACROMICROELEMENTOS!$AJ8))</f>
        <v/>
      </c>
      <c r="BV8" s="18">
        <v>1</v>
      </c>
      <c r="BW8" s="53" t="str">
        <f>IF(OR(MACROMICROELEMENTOS!$A8="",MACROMICROELEMENTOS!$B8="",MACROMICROELEMENTOS!$C8="",MACROMICROELEMENTOS!$D8="",MACROMICROELEMENTOS!$E8="",MACROMICROELEMENTOS!$J8="",MACROMICROELEMENTOS!$BU8="",MACROMICROELEMENTOS!$BV8=""),"",((MACROMICROELEMENTOS!$J8-MACROMICROELEMENTOS!$BU8)*MACROMICROELEMENTOS!$BV8*MACROMICROELEMENTOS!$D8*(1/MACROMICROELEMENTOS!$C8)*MACROMICROELEMENTOS!$E8/1000))</f>
        <v/>
      </c>
      <c r="BX8" s="16" t="str">
        <f>IF(AND(MACROMICROELEMENTOS!$AK8="",MACROMICROELEMENTOS!$AL8="",MACROMICROELEMENTOS!$AM8="",MACROMICROELEMENTOS!$AN8=""),"",AVERAGE(MACROMICROELEMENTOS!$AK8,MACROMICROELEMENTOS!$AL8,MACROMICROELEMENTOS!$AM8,MACROMICROELEMENTOS!$AN8))</f>
        <v/>
      </c>
      <c r="BY8" s="18">
        <v>1</v>
      </c>
      <c r="BZ8" s="53" t="str">
        <f>IF(OR(MACROMICROELEMENTOS!$A8="",MACROMICROELEMENTOS!$B8="",MACROMICROELEMENTOS!$C8="",MACROMICROELEMENTOS!$D8="",MACROMICROELEMENTOS!$E8="",MACROMICROELEMENTOS!$K8="",MACROMICROELEMENTOS!$BX8="",MACROMICROELEMENTOS!$BY8=""),"",((MACROMICROELEMENTOS!$K8-MACROMICROELEMENTOS!$BX8)*MACROMICROELEMENTOS!$BY8*MACROMICROELEMENTOS!$D8*(1/MACROMICROELEMENTOS!$C8)*MACROMICROELEMENTOS!$E8/1000))</f>
        <v/>
      </c>
      <c r="CA8" s="16" t="str">
        <f>IF(AND(MACROMICROELEMENTOS!$AO8="",MACROMICROELEMENTOS!$AP8="",MACROMICROELEMENTOS!$AQ8="",MACROMICROELEMENTOS!$AR8=""),"",AVERAGE(MACROMICROELEMENTOS!$AO8,MACROMICROELEMENTOS!$AP8,MACROMICROELEMENTOS!$AQ8,MACROMICROELEMENTOS!$AR8))</f>
        <v/>
      </c>
      <c r="CB8" s="18">
        <v>1</v>
      </c>
      <c r="CC8" s="53" t="str">
        <f>IF(OR(MACROMICROELEMENTOS!$A8="",MACROMICROELEMENTOS!$B8="",MACROMICROELEMENTOS!$C8="",MACROMICROELEMENTOS!$D8="",MACROMICROELEMENTOS!$E8="",MACROMICROELEMENTOS!$L8="",MACROMICROELEMENTOS!$CA8="",MACROMICROELEMENTOS!$CB8=""),"",((MACROMICROELEMENTOS!$L8-MACROMICROELEMENTOS!$CA8)*MACROMICROELEMENTOS!$CB8*MACROMICROELEMENTOS!$D8*(1/MACROMICROELEMENTOS!$C8)*MACROMICROELEMENTOS!$E8))</f>
        <v/>
      </c>
      <c r="CD8" s="16" t="str">
        <f>IF(AND(MACROMICROELEMENTOS!$AS8="",MACROMICROELEMENTOS!$AT8="",MACROMICROELEMENTOS!$AU8="",MACROMICROELEMENTOS!$AV8=""),"",AVERAGE(MACROMICROELEMENTOS!$AS8,MACROMICROELEMENTOS!$AT8,MACROMICROELEMENTOS!$AU8,MACROMICROELEMENTOS!$AV8))</f>
        <v/>
      </c>
      <c r="CE8" s="18">
        <v>1</v>
      </c>
      <c r="CF8" s="53" t="str">
        <f>IF(OR(MACROMICROELEMENTOS!$A8="",MACROMICROELEMENTOS!$B8="",MACROMICROELEMENTOS!$C8="",MACROMICROELEMENTOS!$D8="",MACROMICROELEMENTOS!$E8="",MACROMICROELEMENTOS!$M8="",MACROMICROELEMENTOS!$CD8="",MACROMICROELEMENTOS!$CE8=""),"",((MACROMICROELEMENTOS!$M8-MACROMICROELEMENTOS!$CD8)*MACROMICROELEMENTOS!$CE8*MACROMICROELEMENTOS!$D8*(1/MACROMICROELEMENTOS!$C8)*MACROMICROELEMENTOS!$E8))</f>
        <v/>
      </c>
      <c r="CG8" s="16" t="str">
        <f>IF(AND(MACROMICROELEMENTOS!$AW8="",MACROMICROELEMENTOS!$AX8="",MACROMICROELEMENTOS!$AY8="",MACROMICROELEMENTOS!$AZ8=""),"",AVERAGE(MACROMICROELEMENTOS!$AW8,MACROMICROELEMENTOS!$AX8,MACROMICROELEMENTOS!$AY8,MACROMICROELEMENTOS!$AZ8))</f>
        <v/>
      </c>
      <c r="CH8" s="18">
        <v>1</v>
      </c>
      <c r="CI8" s="53" t="str">
        <f>IF(OR(MACROMICROELEMENTOS!$A8="",MACROMICROELEMENTOS!$B8="",MACROMICROELEMENTOS!$C8="",MACROMICROELEMENTOS!$D8="",MACROMICROELEMENTOS!$E8="",MACROMICROELEMENTOS!$N8="",MACROMICROELEMENTOS!$CG8="",MACROMICROELEMENTOS!$CH8=""),"",((MACROMICROELEMENTOS!$N8-MACROMICROELEMENTOS!$CG8)*MACROMICROELEMENTOS!$CH8*MACROMICROELEMENTOS!$D8*(1/MACROMICROELEMENTOS!$C8)*MACROMICROELEMENTOS!$E8))</f>
        <v/>
      </c>
      <c r="CJ8" s="16" t="str">
        <f>IF(AND(MACROMICROELEMENTOS!$BA8="",MACROMICROELEMENTOS!$BB8="",MACROMICROELEMENTOS!$BC8="",MACROMICROELEMENTOS!$BD8=""),"",IF(O8&gt;5,0,AVERAGE(MACROMICROELEMENTOS!$BA8,MACROMICROELEMENTOS!$BB8,MACROMICROELEMENTOS!$BC8,MACROMICROELEMENTOS!$BD8)))</f>
        <v/>
      </c>
      <c r="CK8" s="18">
        <v>1</v>
      </c>
      <c r="CL8" s="53" t="str">
        <f>IF(OR(MACROMICROELEMENTOS!$A8="",MACROMICROELEMENTOS!$B8="",MACROMICROELEMENTOS!$C8="",MACROMICROELEMENTOS!$D8="",MACROMICROELEMENTOS!$E8="",MACROMICROELEMENTOS!$O8="",MACROMICROELEMENTOS!$CJ8="",MACROMICROELEMENTOS!$CK8=""),"",((MACROMICROELEMENTOS!$O8-MACROMICROELEMENTOS!$CJ8)*MACROMICROELEMENTOS!$CK8*MACROMICROELEMENTOS!$D8*(1/MACROMICROELEMENTOS!$C8)*MACROMICROELEMENTOS!$E8))</f>
        <v/>
      </c>
      <c r="CM8" s="16" t="str">
        <f>IF(AND(MACROMICROELEMENTOS!$BE8="",MACROMICROELEMENTOS!$BF8="",MACROMICROELEMENTOS!$BG8="",MACROMICROELEMENTOS!$BH8=""),"",AVERAGE(MACROMICROELEMENTOS!$BE8,MACROMICROELEMENTOS!$BF8,MACROMICROELEMENTOS!$BG8,MACROMICROELEMENTOS!$BH8))</f>
        <v/>
      </c>
      <c r="CN8" s="18">
        <v>1</v>
      </c>
      <c r="CO8" s="53" t="str">
        <f>IF(OR(MACROMICROELEMENTOS!$A8="",MACROMICROELEMENTOS!$B8="",MACROMICROELEMENTOS!$C8="",MACROMICROELEMENTOS!$D8="",MACROMICROELEMENTOS!$E8="",MACROMICROELEMENTOS!$P8="",MACROMICROELEMENTOS!$CM8="",MACROMICROELEMENTOS!$CN8=""),"",((MACROMICROELEMENTOS!$P8-MACROMICROELEMENTOS!$CM8)*MACROMICROELEMENTOS!$CN8*MACROMICROELEMENTOS!$D8*(1/MACROMICROELEMENTOS!$C8)*MACROMICROELEMENTOS!$E8))</f>
        <v/>
      </c>
    </row>
    <row r="9" spans="1:97" x14ac:dyDescent="0.25">
      <c r="A9" s="50"/>
      <c r="B9" s="51"/>
      <c r="C9" s="50"/>
      <c r="D9" s="18">
        <v>50</v>
      </c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6" t="str">
        <f>IF(AND(MACROMICROELEMENTOS!$U9="",MACROMICROELEMENTOS!$V9="",MACROMICROELEMENTOS!$W9="",MACROMICROELEMENTOS!$X9=""),"",AVERAGE(MACROMICROELEMENTOS!$U9,MACROMICROELEMENTOS!$V9,MACROMICROELEMENTOS!$W9,MACROMICROELEMENTOS!$X9))</f>
        <v/>
      </c>
      <c r="BJ9" s="18">
        <v>1</v>
      </c>
      <c r="BK9" s="53" t="str">
        <f>IF(OR(MACROMICROELEMENTOS!$A9="",MACROMICROELEMENTOS!$B9="",MACROMICROELEMENTOS!$C9="",MACROMICROELEMENTOS!$D9="",MACROMICROELEMENTOS!$E9="",MACROMICROELEMENTOS!$F9="",MACROMICROELEMENTOS!$BI9="",MACROMICROELEMENTOS!$BJ9=""),"",((MACROMICROELEMENTOS!$F9-MACROMICROELEMENTOS!$BI9)*MACROMICROELEMENTOS!$BJ9*MACROMICROELEMENTOS!$D9*(1/MACROMICROELEMENTOS!$C9)*MACROMICROELEMENTOS!$E9/1000))</f>
        <v/>
      </c>
      <c r="BL9" s="16" t="str">
        <f>IF(AND(MACROMICROELEMENTOS!$Y9="",MACROMICROELEMENTOS!$Z9="",MACROMICROELEMENTOS!$AA9="",MACROMICROELEMENTOS!$AB9=""),"",AVERAGE(MACROMICROELEMENTOS!$Y9,MACROMICROELEMENTOS!$Z9,MACROMICROELEMENTOS!$AA9,MACROMICROELEMENTOS!$AB9))</f>
        <v/>
      </c>
      <c r="BM9" s="18">
        <v>1</v>
      </c>
      <c r="BN9" s="53" t="str">
        <f>IF(OR(MACROMICROELEMENTOS!$A9="",MACROMICROELEMENTOS!$B9="",MACROMICROELEMENTOS!$C9="",MACROMICROELEMENTOS!$D9="",MACROMICROELEMENTOS!$E9="",MACROMICROELEMENTOS!$G9="",MACROMICROELEMENTOS!$BL9="",MACROMICROELEMENTOS!$BM9=""),"",((MACROMICROELEMENTOS!$G9-MACROMICROELEMENTOS!$BL9)*MACROMICROELEMENTOS!$BM9*MACROMICROELEMENTOS!$D9*(1/MACROMICROELEMENTOS!$C9)*MACROMICROELEMENTOS!$E9/1000))</f>
        <v/>
      </c>
      <c r="BO9" s="16" t="str">
        <f>IF(AND(MACROMICROELEMENTOS!$AC9="",MACROMICROELEMENTOS!$AD9="",MACROMICROELEMENTOS!$AE9="",MACROMICROELEMENTOS!$AF9=""),"",AVERAGE(MACROMICROELEMENTOS!$AC9,MACROMICROELEMENTOS!$AD9,MACROMICROELEMENTOS!$AE9,MACROMICROELEMENTOS!$AF9))</f>
        <v/>
      </c>
      <c r="BP9" s="18">
        <v>1</v>
      </c>
      <c r="BQ9" s="53" t="str">
        <f>IF(OR(MACROMICROELEMENTOS!$A9="",MACROMICROELEMENTOS!$B9="",MACROMICROELEMENTOS!$C9="",MACROMICROELEMENTOS!$D9="",MACROMICROELEMENTOS!$E9="",MACROMICROELEMENTOS!$H9="",MACROMICROELEMENTOS!$BO9="",MACROMICROELEMENTOS!$BP9=""),"",((MACROMICROELEMENTOS!$H9-MACROMICROELEMENTOS!$BO9)*MACROMICROELEMENTOS!$BP9*MACROMICROELEMENTOS!$D9*(1/MACROMICROELEMENTOS!$C9)*MACROMICROELEMENTOS!$E9/1000))</f>
        <v/>
      </c>
      <c r="BR9" s="16" t="str">
        <f>IF(AND(MACROMICROELEMENTOS!$Q9="",MACROMICROELEMENTOS!$R9="",MACROMICROELEMENTOS!$S9="",MACROMICROELEMENTOS!$T9=""),"",AVERAGE(MACROMICROELEMENTOS!$Q9,MACROMICROELEMENTOS!$R9,MACROMICROELEMENTOS!$S9,MACROMICROELEMENTOS!$T9))</f>
        <v/>
      </c>
      <c r="BS9" s="18">
        <v>1</v>
      </c>
      <c r="BT9" s="53" t="str">
        <f>IF(OR(MACROMICROELEMENTOS!$A9="",MACROMICROELEMENTOS!$B9="",MACROMICROELEMENTOS!$C9="",MACROMICROELEMENTOS!$D9="",MACROMICROELEMENTOS!$E9="",MACROMICROELEMENTOS!$I9="",MACROMICROELEMENTOS!$BR9="",MACROMICROELEMENTOS!$BS9=""),"",((MACROMICROELEMENTOS!$I9-MACROMICROELEMENTOS!$BR9)*MACROMICROELEMENTOS!$BS9*MACROMICROELEMENTOS!$D9*(1/MACROMICROELEMENTOS!$C9)*MACROMICROELEMENTOS!$E9))</f>
        <v/>
      </c>
      <c r="BU9" s="16" t="str">
        <f>IF(AND(MACROMICROELEMENTOS!$AG9="",MACROMICROELEMENTOS!$AH9="",MACROMICROELEMENTOS!$AI9="",MACROMICROELEMENTOS!$AJ9=""),"",AVERAGE(MACROMICROELEMENTOS!$AG9,MACROMICROELEMENTOS!$AH9,MACROMICROELEMENTOS!$AI9,MACROMICROELEMENTOS!$AJ9))</f>
        <v/>
      </c>
      <c r="BV9" s="18">
        <v>1</v>
      </c>
      <c r="BW9" s="53" t="str">
        <f>IF(OR(MACROMICROELEMENTOS!$A9="",MACROMICROELEMENTOS!$B9="",MACROMICROELEMENTOS!$C9="",MACROMICROELEMENTOS!$D9="",MACROMICROELEMENTOS!$E9="",MACROMICROELEMENTOS!$J9="",MACROMICROELEMENTOS!$BU9="",MACROMICROELEMENTOS!$BV9=""),"",((MACROMICROELEMENTOS!$J9-MACROMICROELEMENTOS!$BU9)*MACROMICROELEMENTOS!$BV9*MACROMICROELEMENTOS!$D9*(1/MACROMICROELEMENTOS!$C9)*MACROMICROELEMENTOS!$E9/1000))</f>
        <v/>
      </c>
      <c r="BX9" s="16" t="str">
        <f>IF(AND(MACROMICROELEMENTOS!$AK9="",MACROMICROELEMENTOS!$AL9="",MACROMICROELEMENTOS!$AM9="",MACROMICROELEMENTOS!$AN9=""),"",AVERAGE(MACROMICROELEMENTOS!$AK9,MACROMICROELEMENTOS!$AL9,MACROMICROELEMENTOS!$AM9,MACROMICROELEMENTOS!$AN9))</f>
        <v/>
      </c>
      <c r="BY9" s="18">
        <v>1</v>
      </c>
      <c r="BZ9" s="53" t="str">
        <f>IF(OR(MACROMICROELEMENTOS!$A9="",MACROMICROELEMENTOS!$B9="",MACROMICROELEMENTOS!$C9="",MACROMICROELEMENTOS!$D9="",MACROMICROELEMENTOS!$E9="",MACROMICROELEMENTOS!$K9="",MACROMICROELEMENTOS!$BX9="",MACROMICROELEMENTOS!$BY9=""),"",((MACROMICROELEMENTOS!$K9-MACROMICROELEMENTOS!$BX9)*MACROMICROELEMENTOS!$BY9*MACROMICROELEMENTOS!$D9*(1/MACROMICROELEMENTOS!$C9)*MACROMICROELEMENTOS!$E9/1000))</f>
        <v/>
      </c>
      <c r="CA9" s="16" t="str">
        <f>IF(AND(MACROMICROELEMENTOS!$AO9="",MACROMICROELEMENTOS!$AP9="",MACROMICROELEMENTOS!$AQ9="",MACROMICROELEMENTOS!$AR9=""),"",AVERAGE(MACROMICROELEMENTOS!$AO9,MACROMICROELEMENTOS!$AP9,MACROMICROELEMENTOS!$AQ9,MACROMICROELEMENTOS!$AR9))</f>
        <v/>
      </c>
      <c r="CB9" s="18">
        <v>1</v>
      </c>
      <c r="CC9" s="53" t="str">
        <f>IF(OR(MACROMICROELEMENTOS!$A9="",MACROMICROELEMENTOS!$B9="",MACROMICROELEMENTOS!$C9="",MACROMICROELEMENTOS!$D9="",MACROMICROELEMENTOS!$E9="",MACROMICROELEMENTOS!$L9="",MACROMICROELEMENTOS!$CA9="",MACROMICROELEMENTOS!$CB9=""),"",((MACROMICROELEMENTOS!$L9-MACROMICROELEMENTOS!$CA9)*MACROMICROELEMENTOS!$CB9*MACROMICROELEMENTOS!$D9*(1/MACROMICROELEMENTOS!$C9)*MACROMICROELEMENTOS!$E9))</f>
        <v/>
      </c>
      <c r="CD9" s="16" t="str">
        <f>IF(AND(MACROMICROELEMENTOS!$AS9="",MACROMICROELEMENTOS!$AT9="",MACROMICROELEMENTOS!$AU9="",MACROMICROELEMENTOS!$AV9=""),"",AVERAGE(MACROMICROELEMENTOS!$AS9,MACROMICROELEMENTOS!$AT9,MACROMICROELEMENTOS!$AU9,MACROMICROELEMENTOS!$AV9))</f>
        <v/>
      </c>
      <c r="CE9" s="18">
        <v>1</v>
      </c>
      <c r="CF9" s="53" t="str">
        <f>IF(OR(MACROMICROELEMENTOS!$A9="",MACROMICROELEMENTOS!$B9="",MACROMICROELEMENTOS!$C9="",MACROMICROELEMENTOS!$D9="",MACROMICROELEMENTOS!$E9="",MACROMICROELEMENTOS!$M9="",MACROMICROELEMENTOS!$CD9="",MACROMICROELEMENTOS!$CE9=""),"",((MACROMICROELEMENTOS!$M9-MACROMICROELEMENTOS!$CD9)*MACROMICROELEMENTOS!$CE9*MACROMICROELEMENTOS!$D9*(1/MACROMICROELEMENTOS!$C9)*MACROMICROELEMENTOS!$E9))</f>
        <v/>
      </c>
      <c r="CG9" s="16" t="str">
        <f>IF(AND(MACROMICROELEMENTOS!$AW9="",MACROMICROELEMENTOS!$AX9="",MACROMICROELEMENTOS!$AY9="",MACROMICROELEMENTOS!$AZ9=""),"",AVERAGE(MACROMICROELEMENTOS!$AW9,MACROMICROELEMENTOS!$AX9,MACROMICROELEMENTOS!$AY9,MACROMICROELEMENTOS!$AZ9))</f>
        <v/>
      </c>
      <c r="CH9" s="18">
        <v>1</v>
      </c>
      <c r="CI9" s="53" t="str">
        <f>IF(OR(MACROMICROELEMENTOS!$A9="",MACROMICROELEMENTOS!$B9="",MACROMICROELEMENTOS!$C9="",MACROMICROELEMENTOS!$D9="",MACROMICROELEMENTOS!$E9="",MACROMICROELEMENTOS!$N9="",MACROMICROELEMENTOS!$CG9="",MACROMICROELEMENTOS!$CH9=""),"",((MACROMICROELEMENTOS!$N9-MACROMICROELEMENTOS!$CG9)*MACROMICROELEMENTOS!$CH9*MACROMICROELEMENTOS!$D9*(1/MACROMICROELEMENTOS!$C9)*MACROMICROELEMENTOS!$E9))</f>
        <v/>
      </c>
      <c r="CJ9" s="16" t="str">
        <f>IF(AND(MACROMICROELEMENTOS!$BA9="",MACROMICROELEMENTOS!$BB9="",MACROMICROELEMENTOS!$BC9="",MACROMICROELEMENTOS!$BD9=""),"",IF(O9&gt;5,0,AVERAGE(MACROMICROELEMENTOS!$BA9,MACROMICROELEMENTOS!$BB9,MACROMICROELEMENTOS!$BC9,MACROMICROELEMENTOS!$BD9)))</f>
        <v/>
      </c>
      <c r="CK9" s="18">
        <v>1</v>
      </c>
      <c r="CL9" s="53" t="str">
        <f>IF(OR(MACROMICROELEMENTOS!$A9="",MACROMICROELEMENTOS!$B9="",MACROMICROELEMENTOS!$C9="",MACROMICROELEMENTOS!$D9="",MACROMICROELEMENTOS!$E9="",MACROMICROELEMENTOS!$O9="",MACROMICROELEMENTOS!$CJ9="",MACROMICROELEMENTOS!$CK9=""),"",((MACROMICROELEMENTOS!$O9-MACROMICROELEMENTOS!$CJ9)*MACROMICROELEMENTOS!$CK9*MACROMICROELEMENTOS!$D9*(1/MACROMICROELEMENTOS!$C9)*MACROMICROELEMENTOS!$E9))</f>
        <v/>
      </c>
      <c r="CM9" s="16" t="str">
        <f>IF(AND(MACROMICROELEMENTOS!$BE9="",MACROMICROELEMENTOS!$BF9="",MACROMICROELEMENTOS!$BG9="",MACROMICROELEMENTOS!$BH9=""),"",AVERAGE(MACROMICROELEMENTOS!$BE9,MACROMICROELEMENTOS!$BF9,MACROMICROELEMENTOS!$BG9,MACROMICROELEMENTOS!$BH9))</f>
        <v/>
      </c>
      <c r="CN9" s="18">
        <v>1</v>
      </c>
      <c r="CO9" s="53" t="str">
        <f>IF(OR(MACROMICROELEMENTOS!$A9="",MACROMICROELEMENTOS!$B9="",MACROMICROELEMENTOS!$C9="",MACROMICROELEMENTOS!$D9="",MACROMICROELEMENTOS!$E9="",MACROMICROELEMENTOS!$P9="",MACROMICROELEMENTOS!$CM9="",MACROMICROELEMENTOS!$CN9=""),"",((MACROMICROELEMENTOS!$P9-MACROMICROELEMENTOS!$CM9)*MACROMICROELEMENTOS!$CN9*MACROMICROELEMENTOS!$D9*(1/MACROMICROELEMENTOS!$C9)*MACROMICROELEMENTOS!$E9))</f>
        <v/>
      </c>
      <c r="CS9" s="7" t="s">
        <v>40</v>
      </c>
    </row>
    <row r="10" spans="1:97" x14ac:dyDescent="0.25">
      <c r="A10" s="50"/>
      <c r="B10" s="51"/>
      <c r="C10" s="50"/>
      <c r="D10" s="18">
        <v>50</v>
      </c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6" t="str">
        <f>IF(AND(MACROMICROELEMENTOS!$U10="",MACROMICROELEMENTOS!$V10="",MACROMICROELEMENTOS!$W10="",MACROMICROELEMENTOS!$X10=""),"",AVERAGE(MACROMICROELEMENTOS!$U10,MACROMICROELEMENTOS!$V10,MACROMICROELEMENTOS!$W10,MACROMICROELEMENTOS!$X10))</f>
        <v/>
      </c>
      <c r="BJ10" s="18">
        <v>1</v>
      </c>
      <c r="BK10" s="53" t="str">
        <f>IF(OR(MACROMICROELEMENTOS!$A10="",MACROMICROELEMENTOS!$B10="",MACROMICROELEMENTOS!$C10="",MACROMICROELEMENTOS!$D10="",MACROMICROELEMENTOS!$E10="",MACROMICROELEMENTOS!$F10="",MACROMICROELEMENTOS!$BI10="",MACROMICROELEMENTOS!$BJ10=""),"",((MACROMICROELEMENTOS!$F10-MACROMICROELEMENTOS!$BI10)*MACROMICROELEMENTOS!$BJ10*MACROMICROELEMENTOS!$D10*(1/MACROMICROELEMENTOS!$C10)*MACROMICROELEMENTOS!$E10/1000))</f>
        <v/>
      </c>
      <c r="BL10" s="16" t="str">
        <f>IF(AND(MACROMICROELEMENTOS!$Y10="",MACROMICROELEMENTOS!$Z10="",MACROMICROELEMENTOS!$AA10="",MACROMICROELEMENTOS!$AB10=""),"",AVERAGE(MACROMICROELEMENTOS!$Y10,MACROMICROELEMENTOS!$Z10,MACROMICROELEMENTOS!$AA10,MACROMICROELEMENTOS!$AB10))</f>
        <v/>
      </c>
      <c r="BM10" s="18">
        <v>1</v>
      </c>
      <c r="BN10" s="53" t="str">
        <f>IF(OR(MACROMICROELEMENTOS!$A10="",MACROMICROELEMENTOS!$B10="",MACROMICROELEMENTOS!$C10="",MACROMICROELEMENTOS!$D10="",MACROMICROELEMENTOS!$E10="",MACROMICROELEMENTOS!$G10="",MACROMICROELEMENTOS!$BL10="",MACROMICROELEMENTOS!$BM10=""),"",((MACROMICROELEMENTOS!$G10-MACROMICROELEMENTOS!$BL10)*MACROMICROELEMENTOS!$BM10*MACROMICROELEMENTOS!$D10*(1/MACROMICROELEMENTOS!$C10)*MACROMICROELEMENTOS!$E10/1000))</f>
        <v/>
      </c>
      <c r="BO10" s="16" t="str">
        <f>IF(AND(MACROMICROELEMENTOS!$AC10="",MACROMICROELEMENTOS!$AD10="",MACROMICROELEMENTOS!$AE10="",MACROMICROELEMENTOS!$AF10=""),"",AVERAGE(MACROMICROELEMENTOS!$AC10,MACROMICROELEMENTOS!$AD10,MACROMICROELEMENTOS!$AE10,MACROMICROELEMENTOS!$AF10))</f>
        <v/>
      </c>
      <c r="BP10" s="18">
        <v>1</v>
      </c>
      <c r="BQ10" s="53" t="str">
        <f>IF(OR(MACROMICROELEMENTOS!$A10="",MACROMICROELEMENTOS!$B10="",MACROMICROELEMENTOS!$C10="",MACROMICROELEMENTOS!$D10="",MACROMICROELEMENTOS!$E10="",MACROMICROELEMENTOS!$H10="",MACROMICROELEMENTOS!$BO10="",MACROMICROELEMENTOS!$BP10=""),"",((MACROMICROELEMENTOS!$H10-MACROMICROELEMENTOS!$BO10)*MACROMICROELEMENTOS!$BP10*MACROMICROELEMENTOS!$D10*(1/MACROMICROELEMENTOS!$C10)*MACROMICROELEMENTOS!$E10/1000))</f>
        <v/>
      </c>
      <c r="BR10" s="16" t="str">
        <f>IF(AND(MACROMICROELEMENTOS!$Q10="",MACROMICROELEMENTOS!$R10="",MACROMICROELEMENTOS!$S10="",MACROMICROELEMENTOS!$T10=""),"",AVERAGE(MACROMICROELEMENTOS!$Q10,MACROMICROELEMENTOS!$R10,MACROMICROELEMENTOS!$S10,MACROMICROELEMENTOS!$T10))</f>
        <v/>
      </c>
      <c r="BS10" s="18">
        <v>1</v>
      </c>
      <c r="BT10" s="53" t="str">
        <f>IF(OR(MACROMICROELEMENTOS!$A10="",MACROMICROELEMENTOS!$B10="",MACROMICROELEMENTOS!$C10="",MACROMICROELEMENTOS!$D10="",MACROMICROELEMENTOS!$E10="",MACROMICROELEMENTOS!$I10="",MACROMICROELEMENTOS!$BR10="",MACROMICROELEMENTOS!$BS10=""),"",((MACROMICROELEMENTOS!$I10-MACROMICROELEMENTOS!$BR10)*MACROMICROELEMENTOS!$BS10*MACROMICROELEMENTOS!$D10*(1/MACROMICROELEMENTOS!$C10)*MACROMICROELEMENTOS!$E10))</f>
        <v/>
      </c>
      <c r="BU10" s="16" t="str">
        <f>IF(AND(MACROMICROELEMENTOS!$AG10="",MACROMICROELEMENTOS!$AH10="",MACROMICROELEMENTOS!$AI10="",MACROMICROELEMENTOS!$AJ10=""),"",AVERAGE(MACROMICROELEMENTOS!$AG10,MACROMICROELEMENTOS!$AH10,MACROMICROELEMENTOS!$AI10,MACROMICROELEMENTOS!$AJ10))</f>
        <v/>
      </c>
      <c r="BV10" s="18">
        <v>1</v>
      </c>
      <c r="BW10" s="53" t="str">
        <f>IF(OR(MACROMICROELEMENTOS!$A10="",MACROMICROELEMENTOS!$B10="",MACROMICROELEMENTOS!$C10="",MACROMICROELEMENTOS!$D10="",MACROMICROELEMENTOS!$E10="",MACROMICROELEMENTOS!$J10="",MACROMICROELEMENTOS!$BU10="",MACROMICROELEMENTOS!$BV10=""),"",((MACROMICROELEMENTOS!$J10-MACROMICROELEMENTOS!$BU10)*MACROMICROELEMENTOS!$BV10*MACROMICROELEMENTOS!$D10*(1/MACROMICROELEMENTOS!$C10)*MACROMICROELEMENTOS!$E10/1000))</f>
        <v/>
      </c>
      <c r="BX10" s="16" t="str">
        <f>IF(AND(MACROMICROELEMENTOS!$AK10="",MACROMICROELEMENTOS!$AL10="",MACROMICROELEMENTOS!$AM10="",MACROMICROELEMENTOS!$AN10=""),"",AVERAGE(MACROMICROELEMENTOS!$AK10,MACROMICROELEMENTOS!$AL10,MACROMICROELEMENTOS!$AM10,MACROMICROELEMENTOS!$AN10))</f>
        <v/>
      </c>
      <c r="BY10" s="18">
        <v>1</v>
      </c>
      <c r="BZ10" s="53" t="str">
        <f>IF(OR(MACROMICROELEMENTOS!$A10="",MACROMICROELEMENTOS!$B10="",MACROMICROELEMENTOS!$C10="",MACROMICROELEMENTOS!$D10="",MACROMICROELEMENTOS!$E10="",MACROMICROELEMENTOS!$K10="",MACROMICROELEMENTOS!$BX10="",MACROMICROELEMENTOS!$BY10=""),"",((MACROMICROELEMENTOS!$K10-MACROMICROELEMENTOS!$BX10)*MACROMICROELEMENTOS!$BY10*MACROMICROELEMENTOS!$D10*(1/MACROMICROELEMENTOS!$C10)*MACROMICROELEMENTOS!$E10/1000))</f>
        <v/>
      </c>
      <c r="CA10" s="16" t="str">
        <f>IF(AND(MACROMICROELEMENTOS!$AO10="",MACROMICROELEMENTOS!$AP10="",MACROMICROELEMENTOS!$AQ10="",MACROMICROELEMENTOS!$AR10=""),"",AVERAGE(MACROMICROELEMENTOS!$AO10,MACROMICROELEMENTOS!$AP10,MACROMICROELEMENTOS!$AQ10,MACROMICROELEMENTOS!$AR10))</f>
        <v/>
      </c>
      <c r="CB10" s="18">
        <v>1</v>
      </c>
      <c r="CC10" s="53" t="str">
        <f>IF(OR(MACROMICROELEMENTOS!$A10="",MACROMICROELEMENTOS!$B10="",MACROMICROELEMENTOS!$C10="",MACROMICROELEMENTOS!$D10="",MACROMICROELEMENTOS!$E10="",MACROMICROELEMENTOS!$L10="",MACROMICROELEMENTOS!$CA10="",MACROMICROELEMENTOS!$CB10=""),"",((MACROMICROELEMENTOS!$L10-MACROMICROELEMENTOS!$CA10)*MACROMICROELEMENTOS!$CB10*MACROMICROELEMENTOS!$D10*(1/MACROMICROELEMENTOS!$C10)*MACROMICROELEMENTOS!$E10))</f>
        <v/>
      </c>
      <c r="CD10" s="16" t="str">
        <f>IF(AND(MACROMICROELEMENTOS!$AS10="",MACROMICROELEMENTOS!$AT10="",MACROMICROELEMENTOS!$AU10="",MACROMICROELEMENTOS!$AV10=""),"",AVERAGE(MACROMICROELEMENTOS!$AS10,MACROMICROELEMENTOS!$AT10,MACROMICROELEMENTOS!$AU10,MACROMICROELEMENTOS!$AV10))</f>
        <v/>
      </c>
      <c r="CE10" s="18">
        <v>1</v>
      </c>
      <c r="CF10" s="53" t="str">
        <f>IF(OR(MACROMICROELEMENTOS!$A10="",MACROMICROELEMENTOS!$B10="",MACROMICROELEMENTOS!$C10="",MACROMICROELEMENTOS!$D10="",MACROMICROELEMENTOS!$E10="",MACROMICROELEMENTOS!$M10="",MACROMICROELEMENTOS!$CD10="",MACROMICROELEMENTOS!$CE10=""),"",((MACROMICROELEMENTOS!$M10-MACROMICROELEMENTOS!$CD10)*MACROMICROELEMENTOS!$CE10*MACROMICROELEMENTOS!$D10*(1/MACROMICROELEMENTOS!$C10)*MACROMICROELEMENTOS!$E10))</f>
        <v/>
      </c>
      <c r="CG10" s="16" t="str">
        <f>IF(AND(MACROMICROELEMENTOS!$AW10="",MACROMICROELEMENTOS!$AX10="",MACROMICROELEMENTOS!$AY10="",MACROMICROELEMENTOS!$AZ10=""),"",AVERAGE(MACROMICROELEMENTOS!$AW10,MACROMICROELEMENTOS!$AX10,MACROMICROELEMENTOS!$AY10,MACROMICROELEMENTOS!$AZ10))</f>
        <v/>
      </c>
      <c r="CH10" s="18">
        <v>1</v>
      </c>
      <c r="CI10" s="53" t="str">
        <f>IF(OR(MACROMICROELEMENTOS!$A10="",MACROMICROELEMENTOS!$B10="",MACROMICROELEMENTOS!$C10="",MACROMICROELEMENTOS!$D10="",MACROMICROELEMENTOS!$E10="",MACROMICROELEMENTOS!$N10="",MACROMICROELEMENTOS!$CG10="",MACROMICROELEMENTOS!$CH10=""),"",((MACROMICROELEMENTOS!$N10-MACROMICROELEMENTOS!$CG10)*MACROMICROELEMENTOS!$CH10*MACROMICROELEMENTOS!$D10*(1/MACROMICROELEMENTOS!$C10)*MACROMICROELEMENTOS!$E10))</f>
        <v/>
      </c>
      <c r="CJ10" s="16" t="str">
        <f>IF(AND(MACROMICROELEMENTOS!$BA10="",MACROMICROELEMENTOS!$BB10="",MACROMICROELEMENTOS!$BC10="",MACROMICROELEMENTOS!$BD10=""),"",IF(O10&gt;5,0,AVERAGE(MACROMICROELEMENTOS!$BA10,MACROMICROELEMENTOS!$BB10,MACROMICROELEMENTOS!$BC10,MACROMICROELEMENTOS!$BD10)))</f>
        <v/>
      </c>
      <c r="CK10" s="18">
        <v>1</v>
      </c>
      <c r="CL10" s="53" t="str">
        <f>IF(OR(MACROMICROELEMENTOS!$A10="",MACROMICROELEMENTOS!$B10="",MACROMICROELEMENTOS!$C10="",MACROMICROELEMENTOS!$D10="",MACROMICROELEMENTOS!$E10="",MACROMICROELEMENTOS!$O10="",MACROMICROELEMENTOS!$CJ10="",MACROMICROELEMENTOS!$CK10=""),"",((MACROMICROELEMENTOS!$O10-MACROMICROELEMENTOS!$CJ10)*MACROMICROELEMENTOS!$CK10*MACROMICROELEMENTOS!$D10*(1/MACROMICROELEMENTOS!$C10)*MACROMICROELEMENTOS!$E10))</f>
        <v/>
      </c>
      <c r="CM10" s="16" t="str">
        <f>IF(AND(MACROMICROELEMENTOS!$BE10="",MACROMICROELEMENTOS!$BF10="",MACROMICROELEMENTOS!$BG10="",MACROMICROELEMENTOS!$BH10=""),"",AVERAGE(MACROMICROELEMENTOS!$BE10,MACROMICROELEMENTOS!$BF10,MACROMICROELEMENTOS!$BG10,MACROMICROELEMENTOS!$BH10))</f>
        <v/>
      </c>
      <c r="CN10" s="18">
        <v>1</v>
      </c>
      <c r="CO10" s="53" t="str">
        <f>IF(OR(MACROMICROELEMENTOS!$A10="",MACROMICROELEMENTOS!$B10="",MACROMICROELEMENTOS!$C10="",MACROMICROELEMENTOS!$D10="",MACROMICROELEMENTOS!$E10="",MACROMICROELEMENTOS!$P10="",MACROMICROELEMENTOS!$CM10="",MACROMICROELEMENTOS!$CN10=""),"",((MACROMICROELEMENTOS!$P10-MACROMICROELEMENTOS!$CM10)*MACROMICROELEMENTOS!$CN10*MACROMICROELEMENTOS!$D10*(1/MACROMICROELEMENTOS!$C10)*MACROMICROELEMENTOS!$E10))</f>
        <v/>
      </c>
    </row>
    <row r="11" spans="1:97" x14ac:dyDescent="0.25">
      <c r="A11" s="50"/>
      <c r="B11" s="51"/>
      <c r="C11" s="50"/>
      <c r="D11" s="18">
        <v>50</v>
      </c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6" t="str">
        <f>IF(AND(MACROMICROELEMENTOS!$U11="",MACROMICROELEMENTOS!$V11="",MACROMICROELEMENTOS!$W11="",MACROMICROELEMENTOS!$X11=""),"",AVERAGE(MACROMICROELEMENTOS!$U11,MACROMICROELEMENTOS!$V11,MACROMICROELEMENTOS!$W11,MACROMICROELEMENTOS!$X11))</f>
        <v/>
      </c>
      <c r="BJ11" s="18">
        <v>1</v>
      </c>
      <c r="BK11" s="53" t="str">
        <f>IF(OR(MACROMICROELEMENTOS!$A11="",MACROMICROELEMENTOS!$B11="",MACROMICROELEMENTOS!$C11="",MACROMICROELEMENTOS!$D11="",MACROMICROELEMENTOS!$E11="",MACROMICROELEMENTOS!$F11="",MACROMICROELEMENTOS!$BI11="",MACROMICROELEMENTOS!$BJ11=""),"",((MACROMICROELEMENTOS!$F11-MACROMICROELEMENTOS!$BI11)*MACROMICROELEMENTOS!$BJ11*MACROMICROELEMENTOS!$D11*(1/MACROMICROELEMENTOS!$C11)*MACROMICROELEMENTOS!$E11/1000))</f>
        <v/>
      </c>
      <c r="BL11" s="16" t="str">
        <f>IF(AND(MACROMICROELEMENTOS!$Y11="",MACROMICROELEMENTOS!$Z11="",MACROMICROELEMENTOS!$AA11="",MACROMICROELEMENTOS!$AB11=""),"",AVERAGE(MACROMICROELEMENTOS!$Y11,MACROMICROELEMENTOS!$Z11,MACROMICROELEMENTOS!$AA11,MACROMICROELEMENTOS!$AB11))</f>
        <v/>
      </c>
      <c r="BM11" s="18">
        <v>1</v>
      </c>
      <c r="BN11" s="53" t="str">
        <f>IF(OR(MACROMICROELEMENTOS!$A11="",MACROMICROELEMENTOS!$B11="",MACROMICROELEMENTOS!$C11="",MACROMICROELEMENTOS!$D11="",MACROMICROELEMENTOS!$E11="",MACROMICROELEMENTOS!$G11="",MACROMICROELEMENTOS!$BL11="",MACROMICROELEMENTOS!$BM11=""),"",((MACROMICROELEMENTOS!$G11-MACROMICROELEMENTOS!$BL11)*MACROMICROELEMENTOS!$BM11*MACROMICROELEMENTOS!$D11*(1/MACROMICROELEMENTOS!$C11)*MACROMICROELEMENTOS!$E11/1000))</f>
        <v/>
      </c>
      <c r="BO11" s="16" t="str">
        <f>IF(AND(MACROMICROELEMENTOS!$AC11="",MACROMICROELEMENTOS!$AD11="",MACROMICROELEMENTOS!$AE11="",MACROMICROELEMENTOS!$AF11=""),"",AVERAGE(MACROMICROELEMENTOS!$AC11,MACROMICROELEMENTOS!$AD11,MACROMICROELEMENTOS!$AE11,MACROMICROELEMENTOS!$AF11))</f>
        <v/>
      </c>
      <c r="BP11" s="18">
        <v>1</v>
      </c>
      <c r="BQ11" s="53" t="str">
        <f>IF(OR(MACROMICROELEMENTOS!$A11="",MACROMICROELEMENTOS!$B11="",MACROMICROELEMENTOS!$C11="",MACROMICROELEMENTOS!$D11="",MACROMICROELEMENTOS!$E11="",MACROMICROELEMENTOS!$H11="",MACROMICROELEMENTOS!$BO11="",MACROMICROELEMENTOS!$BP11=""),"",((MACROMICROELEMENTOS!$H11-MACROMICROELEMENTOS!$BO11)*MACROMICROELEMENTOS!$BP11*MACROMICROELEMENTOS!$D11*(1/MACROMICROELEMENTOS!$C11)*MACROMICROELEMENTOS!$E11/1000))</f>
        <v/>
      </c>
      <c r="BR11" s="16" t="str">
        <f>IF(AND(MACROMICROELEMENTOS!$Q11="",MACROMICROELEMENTOS!$R11="",MACROMICROELEMENTOS!$S11="",MACROMICROELEMENTOS!$T11=""),"",AVERAGE(MACROMICROELEMENTOS!$Q11,MACROMICROELEMENTOS!$R11,MACROMICROELEMENTOS!$S11,MACROMICROELEMENTOS!$T11))</f>
        <v/>
      </c>
      <c r="BS11" s="18">
        <v>1</v>
      </c>
      <c r="BT11" s="53" t="str">
        <f>IF(OR(MACROMICROELEMENTOS!$A11="",MACROMICROELEMENTOS!$B11="",MACROMICROELEMENTOS!$C11="",MACROMICROELEMENTOS!$D11="",MACROMICROELEMENTOS!$E11="",MACROMICROELEMENTOS!$I11="",MACROMICROELEMENTOS!$BR11="",MACROMICROELEMENTOS!$BS11=""),"",((MACROMICROELEMENTOS!$I11-MACROMICROELEMENTOS!$BR11)*MACROMICROELEMENTOS!$BS11*MACROMICROELEMENTOS!$D11*(1/MACROMICROELEMENTOS!$C11)*MACROMICROELEMENTOS!$E11))</f>
        <v/>
      </c>
      <c r="BU11" s="16" t="str">
        <f>IF(AND(MACROMICROELEMENTOS!$AG11="",MACROMICROELEMENTOS!$AH11="",MACROMICROELEMENTOS!$AI11="",MACROMICROELEMENTOS!$AJ11=""),"",AVERAGE(MACROMICROELEMENTOS!$AG11,MACROMICROELEMENTOS!$AH11,MACROMICROELEMENTOS!$AI11,MACROMICROELEMENTOS!$AJ11))</f>
        <v/>
      </c>
      <c r="BV11" s="18">
        <v>1</v>
      </c>
      <c r="BW11" s="53" t="str">
        <f>IF(OR(MACROMICROELEMENTOS!$A11="",MACROMICROELEMENTOS!$B11="",MACROMICROELEMENTOS!$C11="",MACROMICROELEMENTOS!$D11="",MACROMICROELEMENTOS!$E11="",MACROMICROELEMENTOS!$J11="",MACROMICROELEMENTOS!$BU11="",MACROMICROELEMENTOS!$BV11=""),"",((MACROMICROELEMENTOS!$J11-MACROMICROELEMENTOS!$BU11)*MACROMICROELEMENTOS!$BV11*MACROMICROELEMENTOS!$D11*(1/MACROMICROELEMENTOS!$C11)*MACROMICROELEMENTOS!$E11/1000))</f>
        <v/>
      </c>
      <c r="BX11" s="16" t="str">
        <f>IF(AND(MACROMICROELEMENTOS!$AK11="",MACROMICROELEMENTOS!$AL11="",MACROMICROELEMENTOS!$AM11="",MACROMICROELEMENTOS!$AN11=""),"",AVERAGE(MACROMICROELEMENTOS!$AK11,MACROMICROELEMENTOS!$AL11,MACROMICROELEMENTOS!$AM11,MACROMICROELEMENTOS!$AN11))</f>
        <v/>
      </c>
      <c r="BY11" s="18">
        <v>1</v>
      </c>
      <c r="BZ11" s="53" t="str">
        <f>IF(OR(MACROMICROELEMENTOS!$A11="",MACROMICROELEMENTOS!$B11="",MACROMICROELEMENTOS!$C11="",MACROMICROELEMENTOS!$D11="",MACROMICROELEMENTOS!$E11="",MACROMICROELEMENTOS!$K11="",MACROMICROELEMENTOS!$BX11="",MACROMICROELEMENTOS!$BY11=""),"",((MACROMICROELEMENTOS!$K11-MACROMICROELEMENTOS!$BX11)*MACROMICROELEMENTOS!$BY11*MACROMICROELEMENTOS!$D11*(1/MACROMICROELEMENTOS!$C11)*MACROMICROELEMENTOS!$E11/1000))</f>
        <v/>
      </c>
      <c r="CA11" s="16" t="str">
        <f>IF(AND(MACROMICROELEMENTOS!$AO11="",MACROMICROELEMENTOS!$AP11="",MACROMICROELEMENTOS!$AQ11="",MACROMICROELEMENTOS!$AR11=""),"",AVERAGE(MACROMICROELEMENTOS!$AO11,MACROMICROELEMENTOS!$AP11,MACROMICROELEMENTOS!$AQ11,MACROMICROELEMENTOS!$AR11))</f>
        <v/>
      </c>
      <c r="CB11" s="18">
        <v>1</v>
      </c>
      <c r="CC11" s="53" t="str">
        <f>IF(OR(MACROMICROELEMENTOS!$A11="",MACROMICROELEMENTOS!$B11="",MACROMICROELEMENTOS!$C11="",MACROMICROELEMENTOS!$D11="",MACROMICROELEMENTOS!$E11="",MACROMICROELEMENTOS!$L11="",MACROMICROELEMENTOS!$CA11="",MACROMICROELEMENTOS!$CB11=""),"",((MACROMICROELEMENTOS!$L11-MACROMICROELEMENTOS!$CA11)*MACROMICROELEMENTOS!$CB11*MACROMICROELEMENTOS!$D11*(1/MACROMICROELEMENTOS!$C11)*MACROMICROELEMENTOS!$E11))</f>
        <v/>
      </c>
      <c r="CD11" s="16" t="str">
        <f>IF(AND(MACROMICROELEMENTOS!$AS11="",MACROMICROELEMENTOS!$AT11="",MACROMICROELEMENTOS!$AU11="",MACROMICROELEMENTOS!$AV11=""),"",AVERAGE(MACROMICROELEMENTOS!$AS11,MACROMICROELEMENTOS!$AT11,MACROMICROELEMENTOS!$AU11,MACROMICROELEMENTOS!$AV11))</f>
        <v/>
      </c>
      <c r="CE11" s="18">
        <v>1</v>
      </c>
      <c r="CF11" s="53" t="str">
        <f>IF(OR(MACROMICROELEMENTOS!$A11="",MACROMICROELEMENTOS!$B11="",MACROMICROELEMENTOS!$C11="",MACROMICROELEMENTOS!$D11="",MACROMICROELEMENTOS!$E11="",MACROMICROELEMENTOS!$M11="",MACROMICROELEMENTOS!$CD11="",MACROMICROELEMENTOS!$CE11=""),"",((MACROMICROELEMENTOS!$M11-MACROMICROELEMENTOS!$CD11)*MACROMICROELEMENTOS!$CE11*MACROMICROELEMENTOS!$D11*(1/MACROMICROELEMENTOS!$C11)*MACROMICROELEMENTOS!$E11))</f>
        <v/>
      </c>
      <c r="CG11" s="16" t="str">
        <f>IF(AND(MACROMICROELEMENTOS!$AW11="",MACROMICROELEMENTOS!$AX11="",MACROMICROELEMENTOS!$AY11="",MACROMICROELEMENTOS!$AZ11=""),"",AVERAGE(MACROMICROELEMENTOS!$AW11,MACROMICROELEMENTOS!$AX11,MACROMICROELEMENTOS!$AY11,MACROMICROELEMENTOS!$AZ11))</f>
        <v/>
      </c>
      <c r="CH11" s="18">
        <v>1</v>
      </c>
      <c r="CI11" s="53" t="str">
        <f>IF(OR(MACROMICROELEMENTOS!$A11="",MACROMICROELEMENTOS!$B11="",MACROMICROELEMENTOS!$C11="",MACROMICROELEMENTOS!$D11="",MACROMICROELEMENTOS!$E11="",MACROMICROELEMENTOS!$N11="",MACROMICROELEMENTOS!$CG11="",MACROMICROELEMENTOS!$CH11=""),"",((MACROMICROELEMENTOS!$N11-MACROMICROELEMENTOS!$CG11)*MACROMICROELEMENTOS!$CH11*MACROMICROELEMENTOS!$D11*(1/MACROMICROELEMENTOS!$C11)*MACROMICROELEMENTOS!$E11))</f>
        <v/>
      </c>
      <c r="CJ11" s="16" t="str">
        <f>IF(AND(MACROMICROELEMENTOS!$BA11="",MACROMICROELEMENTOS!$BB11="",MACROMICROELEMENTOS!$BC11="",MACROMICROELEMENTOS!$BD11=""),"",IF(O11&gt;5,0,AVERAGE(MACROMICROELEMENTOS!$BA11,MACROMICROELEMENTOS!$BB11,MACROMICROELEMENTOS!$BC11,MACROMICROELEMENTOS!$BD11)))</f>
        <v/>
      </c>
      <c r="CK11" s="18">
        <v>1</v>
      </c>
      <c r="CL11" s="53" t="str">
        <f>IF(OR(MACROMICROELEMENTOS!$A11="",MACROMICROELEMENTOS!$B11="",MACROMICROELEMENTOS!$C11="",MACROMICROELEMENTOS!$D11="",MACROMICROELEMENTOS!$E11="",MACROMICROELEMENTOS!$O11="",MACROMICROELEMENTOS!$CJ11="",MACROMICROELEMENTOS!$CK11=""),"",((MACROMICROELEMENTOS!$O11-MACROMICROELEMENTOS!$CJ11)*MACROMICROELEMENTOS!$CK11*MACROMICROELEMENTOS!$D11*(1/MACROMICROELEMENTOS!$C11)*MACROMICROELEMENTOS!$E11))</f>
        <v/>
      </c>
      <c r="CM11" s="16" t="str">
        <f>IF(AND(MACROMICROELEMENTOS!$BE11="",MACROMICROELEMENTOS!$BF11="",MACROMICROELEMENTOS!$BG11="",MACROMICROELEMENTOS!$BH11=""),"",AVERAGE(MACROMICROELEMENTOS!$BE11,MACROMICROELEMENTOS!$BF11,MACROMICROELEMENTOS!$BG11,MACROMICROELEMENTOS!$BH11))</f>
        <v/>
      </c>
      <c r="CN11" s="18">
        <v>1</v>
      </c>
      <c r="CO11" s="53" t="str">
        <f>IF(OR(MACROMICROELEMENTOS!$A11="",MACROMICROELEMENTOS!$B11="",MACROMICROELEMENTOS!$C11="",MACROMICROELEMENTOS!$D11="",MACROMICROELEMENTOS!$E11="",MACROMICROELEMENTOS!$P11="",MACROMICROELEMENTOS!$CM11="",MACROMICROELEMENTOS!$CN11=""),"",((MACROMICROELEMENTOS!$P11-MACROMICROELEMENTOS!$CM11)*MACROMICROELEMENTOS!$CN11*MACROMICROELEMENTOS!$D11*(1/MACROMICROELEMENTOS!$C11)*MACROMICROELEMENTOS!$E11))</f>
        <v/>
      </c>
    </row>
    <row r="12" spans="1:97" x14ac:dyDescent="0.25">
      <c r="A12" s="50"/>
      <c r="B12" s="51"/>
      <c r="C12" s="50"/>
      <c r="D12" s="18">
        <v>50</v>
      </c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6" t="str">
        <f>IF(AND(MACROMICROELEMENTOS!$U12="",MACROMICROELEMENTOS!$V12="",MACROMICROELEMENTOS!$W12="",MACROMICROELEMENTOS!$X12=""),"",AVERAGE(MACROMICROELEMENTOS!$U12,MACROMICROELEMENTOS!$V12,MACROMICROELEMENTOS!$W12,MACROMICROELEMENTOS!$X12))</f>
        <v/>
      </c>
      <c r="BJ12" s="18">
        <v>1</v>
      </c>
      <c r="BK12" s="53" t="str">
        <f>IF(OR(MACROMICROELEMENTOS!$A12="",MACROMICROELEMENTOS!$B12="",MACROMICROELEMENTOS!$C12="",MACROMICROELEMENTOS!$D12="",MACROMICROELEMENTOS!$E12="",MACROMICROELEMENTOS!$F12="",MACROMICROELEMENTOS!$BI12="",MACROMICROELEMENTOS!$BJ12=""),"",((MACROMICROELEMENTOS!$F12-MACROMICROELEMENTOS!$BI12)*MACROMICROELEMENTOS!$BJ12*MACROMICROELEMENTOS!$D12*(1/MACROMICROELEMENTOS!$C12)*MACROMICROELEMENTOS!$E12/1000))</f>
        <v/>
      </c>
      <c r="BL12" s="16" t="str">
        <f>IF(AND(MACROMICROELEMENTOS!$Y12="",MACROMICROELEMENTOS!$Z12="",MACROMICROELEMENTOS!$AA12="",MACROMICROELEMENTOS!$AB12=""),"",AVERAGE(MACROMICROELEMENTOS!$Y12,MACROMICROELEMENTOS!$Z12,MACROMICROELEMENTOS!$AA12,MACROMICROELEMENTOS!$AB12))</f>
        <v/>
      </c>
      <c r="BM12" s="18">
        <v>1</v>
      </c>
      <c r="BN12" s="53" t="str">
        <f>IF(OR(MACROMICROELEMENTOS!$A12="",MACROMICROELEMENTOS!$B12="",MACROMICROELEMENTOS!$C12="",MACROMICROELEMENTOS!$D12="",MACROMICROELEMENTOS!$E12="",MACROMICROELEMENTOS!$G12="",MACROMICROELEMENTOS!$BL12="",MACROMICROELEMENTOS!$BM12=""),"",((MACROMICROELEMENTOS!$G12-MACROMICROELEMENTOS!$BL12)*MACROMICROELEMENTOS!$BM12*MACROMICROELEMENTOS!$D12*(1/MACROMICROELEMENTOS!$C12)*MACROMICROELEMENTOS!$E12/1000))</f>
        <v/>
      </c>
      <c r="BO12" s="16" t="str">
        <f>IF(AND(MACROMICROELEMENTOS!$AC12="",MACROMICROELEMENTOS!$AD12="",MACROMICROELEMENTOS!$AE12="",MACROMICROELEMENTOS!$AF12=""),"",AVERAGE(MACROMICROELEMENTOS!$AC12,MACROMICROELEMENTOS!$AD12,MACROMICROELEMENTOS!$AE12,MACROMICROELEMENTOS!$AF12))</f>
        <v/>
      </c>
      <c r="BP12" s="18">
        <v>1</v>
      </c>
      <c r="BQ12" s="53" t="str">
        <f>IF(OR(MACROMICROELEMENTOS!$A12="",MACROMICROELEMENTOS!$B12="",MACROMICROELEMENTOS!$C12="",MACROMICROELEMENTOS!$D12="",MACROMICROELEMENTOS!$E12="",MACROMICROELEMENTOS!$H12="",MACROMICROELEMENTOS!$BO12="",MACROMICROELEMENTOS!$BP12=""),"",((MACROMICROELEMENTOS!$H12-MACROMICROELEMENTOS!$BO12)*MACROMICROELEMENTOS!$BP12*MACROMICROELEMENTOS!$D12*(1/MACROMICROELEMENTOS!$C12)*MACROMICROELEMENTOS!$E12/1000))</f>
        <v/>
      </c>
      <c r="BR12" s="16" t="str">
        <f>IF(AND(MACROMICROELEMENTOS!$Q12="",MACROMICROELEMENTOS!$R12="",MACROMICROELEMENTOS!$S12="",MACROMICROELEMENTOS!$T12=""),"",AVERAGE(MACROMICROELEMENTOS!$Q12,MACROMICROELEMENTOS!$R12,MACROMICROELEMENTOS!$S12,MACROMICROELEMENTOS!$T12))</f>
        <v/>
      </c>
      <c r="BS12" s="18">
        <v>1</v>
      </c>
      <c r="BT12" s="53" t="str">
        <f>IF(OR(MACROMICROELEMENTOS!$A12="",MACROMICROELEMENTOS!$B12="",MACROMICROELEMENTOS!$C12="",MACROMICROELEMENTOS!$D12="",MACROMICROELEMENTOS!$E12="",MACROMICROELEMENTOS!$I12="",MACROMICROELEMENTOS!$BR12="",MACROMICROELEMENTOS!$BS12=""),"",((MACROMICROELEMENTOS!$I12-MACROMICROELEMENTOS!$BR12)*MACROMICROELEMENTOS!$BS12*MACROMICROELEMENTOS!$D12*(1/MACROMICROELEMENTOS!$C12)*MACROMICROELEMENTOS!$E12))</f>
        <v/>
      </c>
      <c r="BU12" s="16" t="str">
        <f>IF(AND(MACROMICROELEMENTOS!$AG12="",MACROMICROELEMENTOS!$AH12="",MACROMICROELEMENTOS!$AI12="",MACROMICROELEMENTOS!$AJ12=""),"",AVERAGE(MACROMICROELEMENTOS!$AG12,MACROMICROELEMENTOS!$AH12,MACROMICROELEMENTOS!$AI12,MACROMICROELEMENTOS!$AJ12))</f>
        <v/>
      </c>
      <c r="BV12" s="18">
        <v>1</v>
      </c>
      <c r="BW12" s="53" t="str">
        <f>IF(OR(MACROMICROELEMENTOS!$A12="",MACROMICROELEMENTOS!$B12="",MACROMICROELEMENTOS!$C12="",MACROMICROELEMENTOS!$D12="",MACROMICROELEMENTOS!$E12="",MACROMICROELEMENTOS!$J12="",MACROMICROELEMENTOS!$BU12="",MACROMICROELEMENTOS!$BV12=""),"",((MACROMICROELEMENTOS!$J12-MACROMICROELEMENTOS!$BU12)*MACROMICROELEMENTOS!$BV12*MACROMICROELEMENTOS!$D12*(1/MACROMICROELEMENTOS!$C12)*MACROMICROELEMENTOS!$E12/1000))</f>
        <v/>
      </c>
      <c r="BX12" s="16" t="str">
        <f>IF(AND(MACROMICROELEMENTOS!$AK12="",MACROMICROELEMENTOS!$AL12="",MACROMICROELEMENTOS!$AM12="",MACROMICROELEMENTOS!$AN12=""),"",AVERAGE(MACROMICROELEMENTOS!$AK12,MACROMICROELEMENTOS!$AL12,MACROMICROELEMENTOS!$AM12,MACROMICROELEMENTOS!$AN12))</f>
        <v/>
      </c>
      <c r="BY12" s="18">
        <v>1</v>
      </c>
      <c r="BZ12" s="53" t="str">
        <f>IF(OR(MACROMICROELEMENTOS!$A12="",MACROMICROELEMENTOS!$B12="",MACROMICROELEMENTOS!$C12="",MACROMICROELEMENTOS!$D12="",MACROMICROELEMENTOS!$E12="",MACROMICROELEMENTOS!$K12="",MACROMICROELEMENTOS!$BX12="",MACROMICROELEMENTOS!$BY12=""),"",((MACROMICROELEMENTOS!$K12-MACROMICROELEMENTOS!$BX12)*MACROMICROELEMENTOS!$BY12*MACROMICROELEMENTOS!$D12*(1/MACROMICROELEMENTOS!$C12)*MACROMICROELEMENTOS!$E12/1000))</f>
        <v/>
      </c>
      <c r="CA12" s="16" t="str">
        <f>IF(AND(MACROMICROELEMENTOS!$AO12="",MACROMICROELEMENTOS!$AP12="",MACROMICROELEMENTOS!$AQ12="",MACROMICROELEMENTOS!$AR12=""),"",AVERAGE(MACROMICROELEMENTOS!$AO12,MACROMICROELEMENTOS!$AP12,MACROMICROELEMENTOS!$AQ12,MACROMICROELEMENTOS!$AR12))</f>
        <v/>
      </c>
      <c r="CB12" s="18">
        <v>1</v>
      </c>
      <c r="CC12" s="53" t="str">
        <f>IF(OR(MACROMICROELEMENTOS!$A12="",MACROMICROELEMENTOS!$B12="",MACROMICROELEMENTOS!$C12="",MACROMICROELEMENTOS!$D12="",MACROMICROELEMENTOS!$E12="",MACROMICROELEMENTOS!$L12="",MACROMICROELEMENTOS!$CA12="",MACROMICROELEMENTOS!$CB12=""),"",((MACROMICROELEMENTOS!$L12-MACROMICROELEMENTOS!$CA12)*MACROMICROELEMENTOS!$CB12*MACROMICROELEMENTOS!$D12*(1/MACROMICROELEMENTOS!$C12)*MACROMICROELEMENTOS!$E12))</f>
        <v/>
      </c>
      <c r="CD12" s="16" t="str">
        <f>IF(AND(MACROMICROELEMENTOS!$AS12="",MACROMICROELEMENTOS!$AT12="",MACROMICROELEMENTOS!$AU12="",MACROMICROELEMENTOS!$AV12=""),"",AVERAGE(MACROMICROELEMENTOS!$AS12,MACROMICROELEMENTOS!$AT12,MACROMICROELEMENTOS!$AU12,MACROMICROELEMENTOS!$AV12))</f>
        <v/>
      </c>
      <c r="CE12" s="18">
        <v>1</v>
      </c>
      <c r="CF12" s="53" t="str">
        <f>IF(OR(MACROMICROELEMENTOS!$A12="",MACROMICROELEMENTOS!$B12="",MACROMICROELEMENTOS!$C12="",MACROMICROELEMENTOS!$D12="",MACROMICROELEMENTOS!$E12="",MACROMICROELEMENTOS!$M12="",MACROMICROELEMENTOS!$CD12="",MACROMICROELEMENTOS!$CE12=""),"",((MACROMICROELEMENTOS!$M12-MACROMICROELEMENTOS!$CD12)*MACROMICROELEMENTOS!$CE12*MACROMICROELEMENTOS!$D12*(1/MACROMICROELEMENTOS!$C12)*MACROMICROELEMENTOS!$E12))</f>
        <v/>
      </c>
      <c r="CG12" s="16" t="str">
        <f>IF(AND(MACROMICROELEMENTOS!$AW12="",MACROMICROELEMENTOS!$AX12="",MACROMICROELEMENTOS!$AY12="",MACROMICROELEMENTOS!$AZ12=""),"",AVERAGE(MACROMICROELEMENTOS!$AW12,MACROMICROELEMENTOS!$AX12,MACROMICROELEMENTOS!$AY12,MACROMICROELEMENTOS!$AZ12))</f>
        <v/>
      </c>
      <c r="CH12" s="18">
        <v>1</v>
      </c>
      <c r="CI12" s="53" t="str">
        <f>IF(OR(MACROMICROELEMENTOS!$A12="",MACROMICROELEMENTOS!$B12="",MACROMICROELEMENTOS!$C12="",MACROMICROELEMENTOS!$D12="",MACROMICROELEMENTOS!$E12="",MACROMICROELEMENTOS!$N12="",MACROMICROELEMENTOS!$CG12="",MACROMICROELEMENTOS!$CH12=""),"",((MACROMICROELEMENTOS!$N12-MACROMICROELEMENTOS!$CG12)*MACROMICROELEMENTOS!$CH12*MACROMICROELEMENTOS!$D12*(1/MACROMICROELEMENTOS!$C12)*MACROMICROELEMENTOS!$E12))</f>
        <v/>
      </c>
      <c r="CJ12" s="16" t="str">
        <f>IF(AND(MACROMICROELEMENTOS!$BA12="",MACROMICROELEMENTOS!$BB12="",MACROMICROELEMENTOS!$BC12="",MACROMICROELEMENTOS!$BD12=""),"",IF(O12&gt;5,0,AVERAGE(MACROMICROELEMENTOS!$BA12,MACROMICROELEMENTOS!$BB12,MACROMICROELEMENTOS!$BC12,MACROMICROELEMENTOS!$BD12)))</f>
        <v/>
      </c>
      <c r="CK12" s="18">
        <v>1</v>
      </c>
      <c r="CL12" s="53" t="str">
        <f>IF(OR(MACROMICROELEMENTOS!$A12="",MACROMICROELEMENTOS!$B12="",MACROMICROELEMENTOS!$C12="",MACROMICROELEMENTOS!$D12="",MACROMICROELEMENTOS!$E12="",MACROMICROELEMENTOS!$O12="",MACROMICROELEMENTOS!$CJ12="",MACROMICROELEMENTOS!$CK12=""),"",((MACROMICROELEMENTOS!$O12-MACROMICROELEMENTOS!$CJ12)*MACROMICROELEMENTOS!$CK12*MACROMICROELEMENTOS!$D12*(1/MACROMICROELEMENTOS!$C12)*MACROMICROELEMENTOS!$E12))</f>
        <v/>
      </c>
      <c r="CM12" s="16" t="str">
        <f>IF(AND(MACROMICROELEMENTOS!$BE12="",MACROMICROELEMENTOS!$BF12="",MACROMICROELEMENTOS!$BG12="",MACROMICROELEMENTOS!$BH12=""),"",AVERAGE(MACROMICROELEMENTOS!$BE12,MACROMICROELEMENTOS!$BF12,MACROMICROELEMENTOS!$BG12,MACROMICROELEMENTOS!$BH12))</f>
        <v/>
      </c>
      <c r="CN12" s="18">
        <v>1</v>
      </c>
      <c r="CO12" s="53" t="str">
        <f>IF(OR(MACROMICROELEMENTOS!$A12="",MACROMICROELEMENTOS!$B12="",MACROMICROELEMENTOS!$C12="",MACROMICROELEMENTOS!$D12="",MACROMICROELEMENTOS!$E12="",MACROMICROELEMENTOS!$P12="",MACROMICROELEMENTOS!$CM12="",MACROMICROELEMENTOS!$CN12=""),"",((MACROMICROELEMENTOS!$P12-MACROMICROELEMENTOS!$CM12)*MACROMICROELEMENTOS!$CN12*MACROMICROELEMENTOS!$D12*(1/MACROMICROELEMENTOS!$C12)*MACROMICROELEMENTOS!$E12))</f>
        <v/>
      </c>
    </row>
    <row r="13" spans="1:97" x14ac:dyDescent="0.25">
      <c r="A13" s="50"/>
      <c r="B13" s="51"/>
      <c r="C13" s="50"/>
      <c r="D13" s="18">
        <v>50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6" t="str">
        <f>IF(AND(MACROMICROELEMENTOS!$U13="",MACROMICROELEMENTOS!$V13="",MACROMICROELEMENTOS!$W13="",MACROMICROELEMENTOS!$X13=""),"",AVERAGE(MACROMICROELEMENTOS!$U13,MACROMICROELEMENTOS!$V13,MACROMICROELEMENTOS!$W13,MACROMICROELEMENTOS!$X13))</f>
        <v/>
      </c>
      <c r="BJ13" s="18">
        <v>1</v>
      </c>
      <c r="BK13" s="53" t="str">
        <f>IF(OR(MACROMICROELEMENTOS!$A13="",MACROMICROELEMENTOS!$B13="",MACROMICROELEMENTOS!$C13="",MACROMICROELEMENTOS!$D13="",MACROMICROELEMENTOS!$E13="",MACROMICROELEMENTOS!$F13="",MACROMICROELEMENTOS!$BI13="",MACROMICROELEMENTOS!$BJ13=""),"",((MACROMICROELEMENTOS!$F13-MACROMICROELEMENTOS!$BI13)*MACROMICROELEMENTOS!$BJ13*MACROMICROELEMENTOS!$D13*(1/MACROMICROELEMENTOS!$C13)*MACROMICROELEMENTOS!$E13/1000))</f>
        <v/>
      </c>
      <c r="BL13" s="16" t="str">
        <f>IF(AND(MACROMICROELEMENTOS!$Y13="",MACROMICROELEMENTOS!$Z13="",MACROMICROELEMENTOS!$AA13="",MACROMICROELEMENTOS!$AB13=""),"",AVERAGE(MACROMICROELEMENTOS!$Y13,MACROMICROELEMENTOS!$Z13,MACROMICROELEMENTOS!$AA13,MACROMICROELEMENTOS!$AB13))</f>
        <v/>
      </c>
      <c r="BM13" s="18">
        <v>1</v>
      </c>
      <c r="BN13" s="53" t="str">
        <f>IF(OR(MACROMICROELEMENTOS!$A13="",MACROMICROELEMENTOS!$B13="",MACROMICROELEMENTOS!$C13="",MACROMICROELEMENTOS!$D13="",MACROMICROELEMENTOS!$E13="",MACROMICROELEMENTOS!$G13="",MACROMICROELEMENTOS!$BL13="",MACROMICROELEMENTOS!$BM13=""),"",((MACROMICROELEMENTOS!$G13-MACROMICROELEMENTOS!$BL13)*MACROMICROELEMENTOS!$BM13*MACROMICROELEMENTOS!$D13*(1/MACROMICROELEMENTOS!$C13)*MACROMICROELEMENTOS!$E13/1000))</f>
        <v/>
      </c>
      <c r="BO13" s="16" t="str">
        <f>IF(AND(MACROMICROELEMENTOS!$AC13="",MACROMICROELEMENTOS!$AD13="",MACROMICROELEMENTOS!$AE13="",MACROMICROELEMENTOS!$AF13=""),"",AVERAGE(MACROMICROELEMENTOS!$AC13,MACROMICROELEMENTOS!$AD13,MACROMICROELEMENTOS!$AE13,MACROMICROELEMENTOS!$AF13))</f>
        <v/>
      </c>
      <c r="BP13" s="18">
        <v>1</v>
      </c>
      <c r="BQ13" s="53" t="str">
        <f>IF(OR(MACROMICROELEMENTOS!$A13="",MACROMICROELEMENTOS!$B13="",MACROMICROELEMENTOS!$C13="",MACROMICROELEMENTOS!$D13="",MACROMICROELEMENTOS!$E13="",MACROMICROELEMENTOS!$H13="",MACROMICROELEMENTOS!$BO13="",MACROMICROELEMENTOS!$BP13=""),"",((MACROMICROELEMENTOS!$H13-MACROMICROELEMENTOS!$BO13)*MACROMICROELEMENTOS!$BP13*MACROMICROELEMENTOS!$D13*(1/MACROMICROELEMENTOS!$C13)*MACROMICROELEMENTOS!$E13/1000))</f>
        <v/>
      </c>
      <c r="BR13" s="16" t="str">
        <f>IF(AND(MACROMICROELEMENTOS!$Q13="",MACROMICROELEMENTOS!$R13="",MACROMICROELEMENTOS!$S13="",MACROMICROELEMENTOS!$T13=""),"",AVERAGE(MACROMICROELEMENTOS!$Q13,MACROMICROELEMENTOS!$R13,MACROMICROELEMENTOS!$S13,MACROMICROELEMENTOS!$T13))</f>
        <v/>
      </c>
      <c r="BS13" s="18">
        <v>1</v>
      </c>
      <c r="BT13" s="53" t="str">
        <f>IF(OR(MACROMICROELEMENTOS!$A13="",MACROMICROELEMENTOS!$B13="",MACROMICROELEMENTOS!$C13="",MACROMICROELEMENTOS!$D13="",MACROMICROELEMENTOS!$E13="",MACROMICROELEMENTOS!$I13="",MACROMICROELEMENTOS!$BR13="",MACROMICROELEMENTOS!$BS13=""),"",((MACROMICROELEMENTOS!$I13-MACROMICROELEMENTOS!$BR13)*MACROMICROELEMENTOS!$BS13*MACROMICROELEMENTOS!$D13*(1/MACROMICROELEMENTOS!$C13)*MACROMICROELEMENTOS!$E13))</f>
        <v/>
      </c>
      <c r="BU13" s="16" t="str">
        <f>IF(AND(MACROMICROELEMENTOS!$AG13="",MACROMICROELEMENTOS!$AH13="",MACROMICROELEMENTOS!$AI13="",MACROMICROELEMENTOS!$AJ13=""),"",AVERAGE(MACROMICROELEMENTOS!$AG13,MACROMICROELEMENTOS!$AH13,MACROMICROELEMENTOS!$AI13,MACROMICROELEMENTOS!$AJ13))</f>
        <v/>
      </c>
      <c r="BV13" s="18">
        <v>1</v>
      </c>
      <c r="BW13" s="53" t="str">
        <f>IF(OR(MACROMICROELEMENTOS!$A13="",MACROMICROELEMENTOS!$B13="",MACROMICROELEMENTOS!$C13="",MACROMICROELEMENTOS!$D13="",MACROMICROELEMENTOS!$E13="",MACROMICROELEMENTOS!$J13="",MACROMICROELEMENTOS!$BU13="",MACROMICROELEMENTOS!$BV13=""),"",((MACROMICROELEMENTOS!$J13-MACROMICROELEMENTOS!$BU13)*MACROMICROELEMENTOS!$BV13*MACROMICROELEMENTOS!$D13*(1/MACROMICROELEMENTOS!$C13)*MACROMICROELEMENTOS!$E13/1000))</f>
        <v/>
      </c>
      <c r="BX13" s="16" t="str">
        <f>IF(AND(MACROMICROELEMENTOS!$AK13="",MACROMICROELEMENTOS!$AL13="",MACROMICROELEMENTOS!$AM13="",MACROMICROELEMENTOS!$AN13=""),"",AVERAGE(MACROMICROELEMENTOS!$AK13,MACROMICROELEMENTOS!$AL13,MACROMICROELEMENTOS!$AM13,MACROMICROELEMENTOS!$AN13))</f>
        <v/>
      </c>
      <c r="BY13" s="18">
        <v>1</v>
      </c>
      <c r="BZ13" s="53" t="str">
        <f>IF(OR(MACROMICROELEMENTOS!$A13="",MACROMICROELEMENTOS!$B13="",MACROMICROELEMENTOS!$C13="",MACROMICROELEMENTOS!$D13="",MACROMICROELEMENTOS!$E13="",MACROMICROELEMENTOS!$K13="",MACROMICROELEMENTOS!$BX13="",MACROMICROELEMENTOS!$BY13=""),"",((MACROMICROELEMENTOS!$K13-MACROMICROELEMENTOS!$BX13)*MACROMICROELEMENTOS!$BY13*MACROMICROELEMENTOS!$D13*(1/MACROMICROELEMENTOS!$C13)*MACROMICROELEMENTOS!$E13/1000))</f>
        <v/>
      </c>
      <c r="CA13" s="16" t="str">
        <f>IF(AND(MACROMICROELEMENTOS!$AO13="",MACROMICROELEMENTOS!$AP13="",MACROMICROELEMENTOS!$AQ13="",MACROMICROELEMENTOS!$AR13=""),"",AVERAGE(MACROMICROELEMENTOS!$AO13,MACROMICROELEMENTOS!$AP13,MACROMICROELEMENTOS!$AQ13,MACROMICROELEMENTOS!$AR13))</f>
        <v/>
      </c>
      <c r="CB13" s="18">
        <v>1</v>
      </c>
      <c r="CC13" s="53" t="str">
        <f>IF(OR(MACROMICROELEMENTOS!$A13="",MACROMICROELEMENTOS!$B13="",MACROMICROELEMENTOS!$C13="",MACROMICROELEMENTOS!$D13="",MACROMICROELEMENTOS!$E13="",MACROMICROELEMENTOS!$L13="",MACROMICROELEMENTOS!$CA13="",MACROMICROELEMENTOS!$CB13=""),"",((MACROMICROELEMENTOS!$L13-MACROMICROELEMENTOS!$CA13)*MACROMICROELEMENTOS!$CB13*MACROMICROELEMENTOS!$D13*(1/MACROMICROELEMENTOS!$C13)*MACROMICROELEMENTOS!$E13))</f>
        <v/>
      </c>
      <c r="CD13" s="16" t="str">
        <f>IF(AND(MACROMICROELEMENTOS!$AS13="",MACROMICROELEMENTOS!$AT13="",MACROMICROELEMENTOS!$AU13="",MACROMICROELEMENTOS!$AV13=""),"",AVERAGE(MACROMICROELEMENTOS!$AS13,MACROMICROELEMENTOS!$AT13,MACROMICROELEMENTOS!$AU13,MACROMICROELEMENTOS!$AV13))</f>
        <v/>
      </c>
      <c r="CE13" s="18">
        <v>1</v>
      </c>
      <c r="CF13" s="53" t="str">
        <f>IF(OR(MACROMICROELEMENTOS!$A13="",MACROMICROELEMENTOS!$B13="",MACROMICROELEMENTOS!$C13="",MACROMICROELEMENTOS!$D13="",MACROMICROELEMENTOS!$E13="",MACROMICROELEMENTOS!$M13="",MACROMICROELEMENTOS!$CD13="",MACROMICROELEMENTOS!$CE13=""),"",((MACROMICROELEMENTOS!$M13-MACROMICROELEMENTOS!$CD13)*MACROMICROELEMENTOS!$CE13*MACROMICROELEMENTOS!$D13*(1/MACROMICROELEMENTOS!$C13)*MACROMICROELEMENTOS!$E13))</f>
        <v/>
      </c>
      <c r="CG13" s="16" t="str">
        <f>IF(AND(MACROMICROELEMENTOS!$AW13="",MACROMICROELEMENTOS!$AX13="",MACROMICROELEMENTOS!$AY13="",MACROMICROELEMENTOS!$AZ13=""),"",AVERAGE(MACROMICROELEMENTOS!$AW13,MACROMICROELEMENTOS!$AX13,MACROMICROELEMENTOS!$AY13,MACROMICROELEMENTOS!$AZ13))</f>
        <v/>
      </c>
      <c r="CH13" s="18">
        <v>1</v>
      </c>
      <c r="CI13" s="53" t="str">
        <f>IF(OR(MACROMICROELEMENTOS!$A13="",MACROMICROELEMENTOS!$B13="",MACROMICROELEMENTOS!$C13="",MACROMICROELEMENTOS!$D13="",MACROMICROELEMENTOS!$E13="",MACROMICROELEMENTOS!$N13="",MACROMICROELEMENTOS!$CG13="",MACROMICROELEMENTOS!$CH13=""),"",((MACROMICROELEMENTOS!$N13-MACROMICROELEMENTOS!$CG13)*MACROMICROELEMENTOS!$CH13*MACROMICROELEMENTOS!$D13*(1/MACROMICROELEMENTOS!$C13)*MACROMICROELEMENTOS!$E13))</f>
        <v/>
      </c>
      <c r="CJ13" s="16" t="str">
        <f>IF(AND(MACROMICROELEMENTOS!$BA13="",MACROMICROELEMENTOS!$BB13="",MACROMICROELEMENTOS!$BC13="",MACROMICROELEMENTOS!$BD13=""),"",IF(O13&gt;5,0,AVERAGE(MACROMICROELEMENTOS!$BA13,MACROMICROELEMENTOS!$BB13,MACROMICROELEMENTOS!$BC13,MACROMICROELEMENTOS!$BD13)))</f>
        <v/>
      </c>
      <c r="CK13" s="18">
        <v>1</v>
      </c>
      <c r="CL13" s="53" t="str">
        <f>IF(OR(MACROMICROELEMENTOS!$A13="",MACROMICROELEMENTOS!$B13="",MACROMICROELEMENTOS!$C13="",MACROMICROELEMENTOS!$D13="",MACROMICROELEMENTOS!$E13="",MACROMICROELEMENTOS!$O13="",MACROMICROELEMENTOS!$CJ13="",MACROMICROELEMENTOS!$CK13=""),"",((MACROMICROELEMENTOS!$O13-MACROMICROELEMENTOS!$CJ13)*MACROMICROELEMENTOS!$CK13*MACROMICROELEMENTOS!$D13*(1/MACROMICROELEMENTOS!$C13)*MACROMICROELEMENTOS!$E13))</f>
        <v/>
      </c>
      <c r="CM13" s="16" t="str">
        <f>IF(AND(MACROMICROELEMENTOS!$BE13="",MACROMICROELEMENTOS!$BF13="",MACROMICROELEMENTOS!$BG13="",MACROMICROELEMENTOS!$BH13=""),"",AVERAGE(MACROMICROELEMENTOS!$BE13,MACROMICROELEMENTOS!$BF13,MACROMICROELEMENTOS!$BG13,MACROMICROELEMENTOS!$BH13))</f>
        <v/>
      </c>
      <c r="CN13" s="18">
        <v>1</v>
      </c>
      <c r="CO13" s="53" t="str">
        <f>IF(OR(MACROMICROELEMENTOS!$A13="",MACROMICROELEMENTOS!$B13="",MACROMICROELEMENTOS!$C13="",MACROMICROELEMENTOS!$D13="",MACROMICROELEMENTOS!$E13="",MACROMICROELEMENTOS!$P13="",MACROMICROELEMENTOS!$CM13="",MACROMICROELEMENTOS!$CN13=""),"",((MACROMICROELEMENTOS!$P13-MACROMICROELEMENTOS!$CM13)*MACROMICROELEMENTOS!$CN13*MACROMICROELEMENTOS!$D13*(1/MACROMICROELEMENTOS!$C13)*MACROMICROELEMENTOS!$E13))</f>
        <v/>
      </c>
    </row>
    <row r="14" spans="1:97" x14ac:dyDescent="0.25">
      <c r="A14" s="50"/>
      <c r="B14" s="51"/>
      <c r="C14" s="50"/>
      <c r="D14" s="18">
        <v>50</v>
      </c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6" t="str">
        <f>IF(AND(MACROMICROELEMENTOS!$U14="",MACROMICROELEMENTOS!$V14="",MACROMICROELEMENTOS!$W14="",MACROMICROELEMENTOS!$X14=""),"",AVERAGE(MACROMICROELEMENTOS!$U14,MACROMICROELEMENTOS!$V14,MACROMICROELEMENTOS!$W14,MACROMICROELEMENTOS!$X14))</f>
        <v/>
      </c>
      <c r="BJ14" s="18">
        <v>1</v>
      </c>
      <c r="BK14" s="53" t="str">
        <f>IF(OR(MACROMICROELEMENTOS!$A14="",MACROMICROELEMENTOS!$B14="",MACROMICROELEMENTOS!$C14="",MACROMICROELEMENTOS!$D14="",MACROMICROELEMENTOS!$E14="",MACROMICROELEMENTOS!$F14="",MACROMICROELEMENTOS!$BI14="",MACROMICROELEMENTOS!$BJ14=""),"",((MACROMICROELEMENTOS!$F14-MACROMICROELEMENTOS!$BI14)*MACROMICROELEMENTOS!$BJ14*MACROMICROELEMENTOS!$D14*(1/MACROMICROELEMENTOS!$C14)*MACROMICROELEMENTOS!$E14/1000))</f>
        <v/>
      </c>
      <c r="BL14" s="16" t="str">
        <f>IF(AND(MACROMICROELEMENTOS!$Y14="",MACROMICROELEMENTOS!$Z14="",MACROMICROELEMENTOS!$AA14="",MACROMICROELEMENTOS!$AB14=""),"",AVERAGE(MACROMICROELEMENTOS!$Y14,MACROMICROELEMENTOS!$Z14,MACROMICROELEMENTOS!$AA14,MACROMICROELEMENTOS!$AB14))</f>
        <v/>
      </c>
      <c r="BM14" s="18">
        <v>1</v>
      </c>
      <c r="BN14" s="53" t="str">
        <f>IF(OR(MACROMICROELEMENTOS!$A14="",MACROMICROELEMENTOS!$B14="",MACROMICROELEMENTOS!$C14="",MACROMICROELEMENTOS!$D14="",MACROMICROELEMENTOS!$E14="",MACROMICROELEMENTOS!$G14="",MACROMICROELEMENTOS!$BL14="",MACROMICROELEMENTOS!$BM14=""),"",((MACROMICROELEMENTOS!$G14-MACROMICROELEMENTOS!$BL14)*MACROMICROELEMENTOS!$BM14*MACROMICROELEMENTOS!$D14*(1/MACROMICROELEMENTOS!$C14)*MACROMICROELEMENTOS!$E14/1000))</f>
        <v/>
      </c>
      <c r="BO14" s="16" t="str">
        <f>IF(AND(MACROMICROELEMENTOS!$AC14="",MACROMICROELEMENTOS!$AD14="",MACROMICROELEMENTOS!$AE14="",MACROMICROELEMENTOS!$AF14=""),"",AVERAGE(MACROMICROELEMENTOS!$AC14,MACROMICROELEMENTOS!$AD14,MACROMICROELEMENTOS!$AE14,MACROMICROELEMENTOS!$AF14))</f>
        <v/>
      </c>
      <c r="BP14" s="18">
        <v>1</v>
      </c>
      <c r="BQ14" s="53" t="str">
        <f>IF(OR(MACROMICROELEMENTOS!$A14="",MACROMICROELEMENTOS!$B14="",MACROMICROELEMENTOS!$C14="",MACROMICROELEMENTOS!$D14="",MACROMICROELEMENTOS!$E14="",MACROMICROELEMENTOS!$H14="",MACROMICROELEMENTOS!$BO14="",MACROMICROELEMENTOS!$BP14=""),"",((MACROMICROELEMENTOS!$H14-MACROMICROELEMENTOS!$BO14)*MACROMICROELEMENTOS!$BP14*MACROMICROELEMENTOS!$D14*(1/MACROMICROELEMENTOS!$C14)*MACROMICROELEMENTOS!$E14/1000))</f>
        <v/>
      </c>
      <c r="BR14" s="16" t="str">
        <f>IF(AND(MACROMICROELEMENTOS!$Q14="",MACROMICROELEMENTOS!$R14="",MACROMICROELEMENTOS!$S14="",MACROMICROELEMENTOS!$T14=""),"",AVERAGE(MACROMICROELEMENTOS!$Q14,MACROMICROELEMENTOS!$R14,MACROMICROELEMENTOS!$S14,MACROMICROELEMENTOS!$T14))</f>
        <v/>
      </c>
      <c r="BS14" s="18">
        <v>1</v>
      </c>
      <c r="BT14" s="53" t="str">
        <f>IF(OR(MACROMICROELEMENTOS!$A14="",MACROMICROELEMENTOS!$B14="",MACROMICROELEMENTOS!$C14="",MACROMICROELEMENTOS!$D14="",MACROMICROELEMENTOS!$E14="",MACROMICROELEMENTOS!$I14="",MACROMICROELEMENTOS!$BR14="",MACROMICROELEMENTOS!$BS14=""),"",((MACROMICROELEMENTOS!$I14-MACROMICROELEMENTOS!$BR14)*MACROMICROELEMENTOS!$BS14*MACROMICROELEMENTOS!$D14*(1/MACROMICROELEMENTOS!$C14)*MACROMICROELEMENTOS!$E14))</f>
        <v/>
      </c>
      <c r="BU14" s="16" t="str">
        <f>IF(AND(MACROMICROELEMENTOS!$AG14="",MACROMICROELEMENTOS!$AH14="",MACROMICROELEMENTOS!$AI14="",MACROMICROELEMENTOS!$AJ14=""),"",AVERAGE(MACROMICROELEMENTOS!$AG14,MACROMICROELEMENTOS!$AH14,MACROMICROELEMENTOS!$AI14,MACROMICROELEMENTOS!$AJ14))</f>
        <v/>
      </c>
      <c r="BV14" s="18">
        <v>1</v>
      </c>
      <c r="BW14" s="53" t="str">
        <f>IF(OR(MACROMICROELEMENTOS!$A14="",MACROMICROELEMENTOS!$B14="",MACROMICROELEMENTOS!$C14="",MACROMICROELEMENTOS!$D14="",MACROMICROELEMENTOS!$E14="",MACROMICROELEMENTOS!$J14="",MACROMICROELEMENTOS!$BU14="",MACROMICROELEMENTOS!$BV14=""),"",((MACROMICROELEMENTOS!$J14-MACROMICROELEMENTOS!$BU14)*MACROMICROELEMENTOS!$BV14*MACROMICROELEMENTOS!$D14*(1/MACROMICROELEMENTOS!$C14)*MACROMICROELEMENTOS!$E14/1000))</f>
        <v/>
      </c>
      <c r="BX14" s="16" t="str">
        <f>IF(AND(MACROMICROELEMENTOS!$AK14="",MACROMICROELEMENTOS!$AL14="",MACROMICROELEMENTOS!$AM14="",MACROMICROELEMENTOS!$AN14=""),"",AVERAGE(MACROMICROELEMENTOS!$AK14,MACROMICROELEMENTOS!$AL14,MACROMICROELEMENTOS!$AM14,MACROMICROELEMENTOS!$AN14))</f>
        <v/>
      </c>
      <c r="BY14" s="18">
        <v>1</v>
      </c>
      <c r="BZ14" s="53" t="str">
        <f>IF(OR(MACROMICROELEMENTOS!$A14="",MACROMICROELEMENTOS!$B14="",MACROMICROELEMENTOS!$C14="",MACROMICROELEMENTOS!$D14="",MACROMICROELEMENTOS!$E14="",MACROMICROELEMENTOS!$K14="",MACROMICROELEMENTOS!$BX14="",MACROMICROELEMENTOS!$BY14=""),"",((MACROMICROELEMENTOS!$K14-MACROMICROELEMENTOS!$BX14)*MACROMICROELEMENTOS!$BY14*MACROMICROELEMENTOS!$D14*(1/MACROMICROELEMENTOS!$C14)*MACROMICROELEMENTOS!$E14/1000))</f>
        <v/>
      </c>
      <c r="CA14" s="16" t="str">
        <f>IF(AND(MACROMICROELEMENTOS!$AO14="",MACROMICROELEMENTOS!$AP14="",MACROMICROELEMENTOS!$AQ14="",MACROMICROELEMENTOS!$AR14=""),"",AVERAGE(MACROMICROELEMENTOS!$AO14,MACROMICROELEMENTOS!$AP14,MACROMICROELEMENTOS!$AQ14,MACROMICROELEMENTOS!$AR14))</f>
        <v/>
      </c>
      <c r="CB14" s="18">
        <v>1</v>
      </c>
      <c r="CC14" s="53" t="str">
        <f>IF(OR(MACROMICROELEMENTOS!$A14="",MACROMICROELEMENTOS!$B14="",MACROMICROELEMENTOS!$C14="",MACROMICROELEMENTOS!$D14="",MACROMICROELEMENTOS!$E14="",MACROMICROELEMENTOS!$L14="",MACROMICROELEMENTOS!$CA14="",MACROMICROELEMENTOS!$CB14=""),"",((MACROMICROELEMENTOS!$L14-MACROMICROELEMENTOS!$CA14)*MACROMICROELEMENTOS!$CB14*MACROMICROELEMENTOS!$D14*(1/MACROMICROELEMENTOS!$C14)*MACROMICROELEMENTOS!$E14))</f>
        <v/>
      </c>
      <c r="CD14" s="16" t="str">
        <f>IF(AND(MACROMICROELEMENTOS!$AS14="",MACROMICROELEMENTOS!$AT14="",MACROMICROELEMENTOS!$AU14="",MACROMICROELEMENTOS!$AV14=""),"",AVERAGE(MACROMICROELEMENTOS!$AS14,MACROMICROELEMENTOS!$AT14,MACROMICROELEMENTOS!$AU14,MACROMICROELEMENTOS!$AV14))</f>
        <v/>
      </c>
      <c r="CE14" s="18">
        <v>1</v>
      </c>
      <c r="CF14" s="53" t="str">
        <f>IF(OR(MACROMICROELEMENTOS!$A14="",MACROMICROELEMENTOS!$B14="",MACROMICROELEMENTOS!$C14="",MACROMICROELEMENTOS!$D14="",MACROMICROELEMENTOS!$E14="",MACROMICROELEMENTOS!$M14="",MACROMICROELEMENTOS!$CD14="",MACROMICROELEMENTOS!$CE14=""),"",((MACROMICROELEMENTOS!$M14-MACROMICROELEMENTOS!$CD14)*MACROMICROELEMENTOS!$CE14*MACROMICROELEMENTOS!$D14*(1/MACROMICROELEMENTOS!$C14)*MACROMICROELEMENTOS!$E14))</f>
        <v/>
      </c>
      <c r="CG14" s="16" t="str">
        <f>IF(AND(MACROMICROELEMENTOS!$AW14="",MACROMICROELEMENTOS!$AX14="",MACROMICROELEMENTOS!$AY14="",MACROMICROELEMENTOS!$AZ14=""),"",AVERAGE(MACROMICROELEMENTOS!$AW14,MACROMICROELEMENTOS!$AX14,MACROMICROELEMENTOS!$AY14,MACROMICROELEMENTOS!$AZ14))</f>
        <v/>
      </c>
      <c r="CH14" s="18">
        <v>1</v>
      </c>
      <c r="CI14" s="53" t="str">
        <f>IF(OR(MACROMICROELEMENTOS!$A14="",MACROMICROELEMENTOS!$B14="",MACROMICROELEMENTOS!$C14="",MACROMICROELEMENTOS!$D14="",MACROMICROELEMENTOS!$E14="",MACROMICROELEMENTOS!$N14="",MACROMICROELEMENTOS!$CG14="",MACROMICROELEMENTOS!$CH14=""),"",((MACROMICROELEMENTOS!$N14-MACROMICROELEMENTOS!$CG14)*MACROMICROELEMENTOS!$CH14*MACROMICROELEMENTOS!$D14*(1/MACROMICROELEMENTOS!$C14)*MACROMICROELEMENTOS!$E14))</f>
        <v/>
      </c>
      <c r="CJ14" s="16" t="str">
        <f>IF(AND(MACROMICROELEMENTOS!$BA14="",MACROMICROELEMENTOS!$BB14="",MACROMICROELEMENTOS!$BC14="",MACROMICROELEMENTOS!$BD14=""),"",IF(O14&gt;5,0,AVERAGE(MACROMICROELEMENTOS!$BA14,MACROMICROELEMENTOS!$BB14,MACROMICROELEMENTOS!$BC14,MACROMICROELEMENTOS!$BD14)))</f>
        <v/>
      </c>
      <c r="CK14" s="18">
        <v>1</v>
      </c>
      <c r="CL14" s="53" t="str">
        <f>IF(OR(MACROMICROELEMENTOS!$A14="",MACROMICROELEMENTOS!$B14="",MACROMICROELEMENTOS!$C14="",MACROMICROELEMENTOS!$D14="",MACROMICROELEMENTOS!$E14="",MACROMICROELEMENTOS!$O14="",MACROMICROELEMENTOS!$CJ14="",MACROMICROELEMENTOS!$CK14=""),"",((MACROMICROELEMENTOS!$O14-MACROMICROELEMENTOS!$CJ14)*MACROMICROELEMENTOS!$CK14*MACROMICROELEMENTOS!$D14*(1/MACROMICROELEMENTOS!$C14)*MACROMICROELEMENTOS!$E14))</f>
        <v/>
      </c>
      <c r="CM14" s="16" t="str">
        <f>IF(AND(MACROMICROELEMENTOS!$BE14="",MACROMICROELEMENTOS!$BF14="",MACROMICROELEMENTOS!$BG14="",MACROMICROELEMENTOS!$BH14=""),"",AVERAGE(MACROMICROELEMENTOS!$BE14,MACROMICROELEMENTOS!$BF14,MACROMICROELEMENTOS!$BG14,MACROMICROELEMENTOS!$BH14))</f>
        <v/>
      </c>
      <c r="CN14" s="18">
        <v>1</v>
      </c>
      <c r="CO14" s="53" t="str">
        <f>IF(OR(MACROMICROELEMENTOS!$A14="",MACROMICROELEMENTOS!$B14="",MACROMICROELEMENTOS!$C14="",MACROMICROELEMENTOS!$D14="",MACROMICROELEMENTOS!$E14="",MACROMICROELEMENTOS!$P14="",MACROMICROELEMENTOS!$CM14="",MACROMICROELEMENTOS!$CN14=""),"",((MACROMICROELEMENTOS!$P14-MACROMICROELEMENTOS!$CM14)*MACROMICROELEMENTOS!$CN14*MACROMICROELEMENTOS!$D14*(1/MACROMICROELEMENTOS!$C14)*MACROMICROELEMENTOS!$E14))</f>
        <v/>
      </c>
    </row>
    <row r="15" spans="1:97" x14ac:dyDescent="0.25">
      <c r="A15" s="50"/>
      <c r="B15" s="51"/>
      <c r="C15" s="50"/>
      <c r="D15" s="18">
        <v>50</v>
      </c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6" t="str">
        <f>IF(AND(MACROMICROELEMENTOS!$U15="",MACROMICROELEMENTOS!$V15="",MACROMICROELEMENTOS!$W15="",MACROMICROELEMENTOS!$X15=""),"",AVERAGE(MACROMICROELEMENTOS!$U15,MACROMICROELEMENTOS!$V15,MACROMICROELEMENTOS!$W15,MACROMICROELEMENTOS!$X15))</f>
        <v/>
      </c>
      <c r="BJ15" s="18">
        <v>1</v>
      </c>
      <c r="BK15" s="53" t="str">
        <f>IF(OR(MACROMICROELEMENTOS!$A15="",MACROMICROELEMENTOS!$B15="",MACROMICROELEMENTOS!$C15="",MACROMICROELEMENTOS!$D15="",MACROMICROELEMENTOS!$E15="",MACROMICROELEMENTOS!$F15="",MACROMICROELEMENTOS!$BI15="",MACROMICROELEMENTOS!$BJ15=""),"",((MACROMICROELEMENTOS!$F15-MACROMICROELEMENTOS!$BI15)*MACROMICROELEMENTOS!$BJ15*MACROMICROELEMENTOS!$D15*(1/MACROMICROELEMENTOS!$C15)*MACROMICROELEMENTOS!$E15/1000))</f>
        <v/>
      </c>
      <c r="BL15" s="16" t="str">
        <f>IF(AND(MACROMICROELEMENTOS!$Y15="",MACROMICROELEMENTOS!$Z15="",MACROMICROELEMENTOS!$AA15="",MACROMICROELEMENTOS!$AB15=""),"",AVERAGE(MACROMICROELEMENTOS!$Y15,MACROMICROELEMENTOS!$Z15,MACROMICROELEMENTOS!$AA15,MACROMICROELEMENTOS!$AB15))</f>
        <v/>
      </c>
      <c r="BM15" s="18">
        <v>1</v>
      </c>
      <c r="BN15" s="53" t="str">
        <f>IF(OR(MACROMICROELEMENTOS!$A15="",MACROMICROELEMENTOS!$B15="",MACROMICROELEMENTOS!$C15="",MACROMICROELEMENTOS!$D15="",MACROMICROELEMENTOS!$E15="",MACROMICROELEMENTOS!$G15="",MACROMICROELEMENTOS!$BL15="",MACROMICROELEMENTOS!$BM15=""),"",((MACROMICROELEMENTOS!$G15-MACROMICROELEMENTOS!$BL15)*MACROMICROELEMENTOS!$BM15*MACROMICROELEMENTOS!$D15*(1/MACROMICROELEMENTOS!$C15)*MACROMICROELEMENTOS!$E15/1000))</f>
        <v/>
      </c>
      <c r="BO15" s="16" t="str">
        <f>IF(AND(MACROMICROELEMENTOS!$AC15="",MACROMICROELEMENTOS!$AD15="",MACROMICROELEMENTOS!$AE15="",MACROMICROELEMENTOS!$AF15=""),"",AVERAGE(MACROMICROELEMENTOS!$AC15,MACROMICROELEMENTOS!$AD15,MACROMICROELEMENTOS!$AE15,MACROMICROELEMENTOS!$AF15))</f>
        <v/>
      </c>
      <c r="BP15" s="18">
        <v>1</v>
      </c>
      <c r="BQ15" s="53" t="str">
        <f>IF(OR(MACROMICROELEMENTOS!$A15="",MACROMICROELEMENTOS!$B15="",MACROMICROELEMENTOS!$C15="",MACROMICROELEMENTOS!$D15="",MACROMICROELEMENTOS!$E15="",MACROMICROELEMENTOS!$H15="",MACROMICROELEMENTOS!$BO15="",MACROMICROELEMENTOS!$BP15=""),"",((MACROMICROELEMENTOS!$H15-MACROMICROELEMENTOS!$BO15)*MACROMICROELEMENTOS!$BP15*MACROMICROELEMENTOS!$D15*(1/MACROMICROELEMENTOS!$C15)*MACROMICROELEMENTOS!$E15/1000))</f>
        <v/>
      </c>
      <c r="BR15" s="16" t="str">
        <f>IF(AND(MACROMICROELEMENTOS!$Q15="",MACROMICROELEMENTOS!$R15="",MACROMICROELEMENTOS!$S15="",MACROMICROELEMENTOS!$T15=""),"",AVERAGE(MACROMICROELEMENTOS!$Q15,MACROMICROELEMENTOS!$R15,MACROMICROELEMENTOS!$S15,MACROMICROELEMENTOS!$T15))</f>
        <v/>
      </c>
      <c r="BS15" s="18">
        <v>1</v>
      </c>
      <c r="BT15" s="53" t="str">
        <f>IF(OR(MACROMICROELEMENTOS!$A15="",MACROMICROELEMENTOS!$B15="",MACROMICROELEMENTOS!$C15="",MACROMICROELEMENTOS!$D15="",MACROMICROELEMENTOS!$E15="",MACROMICROELEMENTOS!$I15="",MACROMICROELEMENTOS!$BR15="",MACROMICROELEMENTOS!$BS15=""),"",((MACROMICROELEMENTOS!$I15-MACROMICROELEMENTOS!$BR15)*MACROMICROELEMENTOS!$BS15*MACROMICROELEMENTOS!$D15*(1/MACROMICROELEMENTOS!$C15)*MACROMICROELEMENTOS!$E15))</f>
        <v/>
      </c>
      <c r="BU15" s="16" t="str">
        <f>IF(AND(MACROMICROELEMENTOS!$AG15="",MACROMICROELEMENTOS!$AH15="",MACROMICROELEMENTOS!$AI15="",MACROMICROELEMENTOS!$AJ15=""),"",AVERAGE(MACROMICROELEMENTOS!$AG15,MACROMICROELEMENTOS!$AH15,MACROMICROELEMENTOS!$AI15,MACROMICROELEMENTOS!$AJ15))</f>
        <v/>
      </c>
      <c r="BV15" s="18">
        <v>1</v>
      </c>
      <c r="BW15" s="53" t="str">
        <f>IF(OR(MACROMICROELEMENTOS!$A15="",MACROMICROELEMENTOS!$B15="",MACROMICROELEMENTOS!$C15="",MACROMICROELEMENTOS!$D15="",MACROMICROELEMENTOS!$E15="",MACROMICROELEMENTOS!$J15="",MACROMICROELEMENTOS!$BU15="",MACROMICROELEMENTOS!$BV15=""),"",((MACROMICROELEMENTOS!$J15-MACROMICROELEMENTOS!$BU15)*MACROMICROELEMENTOS!$BV15*MACROMICROELEMENTOS!$D15*(1/MACROMICROELEMENTOS!$C15)*MACROMICROELEMENTOS!$E15/1000))</f>
        <v/>
      </c>
      <c r="BX15" s="16" t="str">
        <f>IF(AND(MACROMICROELEMENTOS!$AK15="",MACROMICROELEMENTOS!$AL15="",MACROMICROELEMENTOS!$AM15="",MACROMICROELEMENTOS!$AN15=""),"",AVERAGE(MACROMICROELEMENTOS!$AK15,MACROMICROELEMENTOS!$AL15,MACROMICROELEMENTOS!$AM15,MACROMICROELEMENTOS!$AN15))</f>
        <v/>
      </c>
      <c r="BY15" s="18">
        <v>1</v>
      </c>
      <c r="BZ15" s="53" t="str">
        <f>IF(OR(MACROMICROELEMENTOS!$A15="",MACROMICROELEMENTOS!$B15="",MACROMICROELEMENTOS!$C15="",MACROMICROELEMENTOS!$D15="",MACROMICROELEMENTOS!$E15="",MACROMICROELEMENTOS!$K15="",MACROMICROELEMENTOS!$BX15="",MACROMICROELEMENTOS!$BY15=""),"",((MACROMICROELEMENTOS!$K15-MACROMICROELEMENTOS!$BX15)*MACROMICROELEMENTOS!$BY15*MACROMICROELEMENTOS!$D15*(1/MACROMICROELEMENTOS!$C15)*MACROMICROELEMENTOS!$E15/1000))</f>
        <v/>
      </c>
      <c r="CA15" s="16" t="str">
        <f>IF(AND(MACROMICROELEMENTOS!$AO15="",MACROMICROELEMENTOS!$AP15="",MACROMICROELEMENTOS!$AQ15="",MACROMICROELEMENTOS!$AR15=""),"",AVERAGE(MACROMICROELEMENTOS!$AO15,MACROMICROELEMENTOS!$AP15,MACROMICROELEMENTOS!$AQ15,MACROMICROELEMENTOS!$AR15))</f>
        <v/>
      </c>
      <c r="CB15" s="18">
        <v>1</v>
      </c>
      <c r="CC15" s="53" t="str">
        <f>IF(OR(MACROMICROELEMENTOS!$A15="",MACROMICROELEMENTOS!$B15="",MACROMICROELEMENTOS!$C15="",MACROMICROELEMENTOS!$D15="",MACROMICROELEMENTOS!$E15="",MACROMICROELEMENTOS!$L15="",MACROMICROELEMENTOS!$CA15="",MACROMICROELEMENTOS!$CB15=""),"",((MACROMICROELEMENTOS!$L15-MACROMICROELEMENTOS!$CA15)*MACROMICROELEMENTOS!$CB15*MACROMICROELEMENTOS!$D15*(1/MACROMICROELEMENTOS!$C15)*MACROMICROELEMENTOS!$E15))</f>
        <v/>
      </c>
      <c r="CD15" s="16" t="str">
        <f>IF(AND(MACROMICROELEMENTOS!$AS15="",MACROMICROELEMENTOS!$AT15="",MACROMICROELEMENTOS!$AU15="",MACROMICROELEMENTOS!$AV15=""),"",AVERAGE(MACROMICROELEMENTOS!$AS15,MACROMICROELEMENTOS!$AT15,MACROMICROELEMENTOS!$AU15,MACROMICROELEMENTOS!$AV15))</f>
        <v/>
      </c>
      <c r="CE15" s="18">
        <v>1</v>
      </c>
      <c r="CF15" s="53" t="str">
        <f>IF(OR(MACROMICROELEMENTOS!$A15="",MACROMICROELEMENTOS!$B15="",MACROMICROELEMENTOS!$C15="",MACROMICROELEMENTOS!$D15="",MACROMICROELEMENTOS!$E15="",MACROMICROELEMENTOS!$M15="",MACROMICROELEMENTOS!$CD15="",MACROMICROELEMENTOS!$CE15=""),"",((MACROMICROELEMENTOS!$M15-MACROMICROELEMENTOS!$CD15)*MACROMICROELEMENTOS!$CE15*MACROMICROELEMENTOS!$D15*(1/MACROMICROELEMENTOS!$C15)*MACROMICROELEMENTOS!$E15))</f>
        <v/>
      </c>
      <c r="CG15" s="16" t="str">
        <f>IF(AND(MACROMICROELEMENTOS!$AW15="",MACROMICROELEMENTOS!$AX15="",MACROMICROELEMENTOS!$AY15="",MACROMICROELEMENTOS!$AZ15=""),"",AVERAGE(MACROMICROELEMENTOS!$AW15,MACROMICROELEMENTOS!$AX15,MACROMICROELEMENTOS!$AY15,MACROMICROELEMENTOS!$AZ15))</f>
        <v/>
      </c>
      <c r="CH15" s="18">
        <v>1</v>
      </c>
      <c r="CI15" s="53" t="str">
        <f>IF(OR(MACROMICROELEMENTOS!$A15="",MACROMICROELEMENTOS!$B15="",MACROMICROELEMENTOS!$C15="",MACROMICROELEMENTOS!$D15="",MACROMICROELEMENTOS!$E15="",MACROMICROELEMENTOS!$N15="",MACROMICROELEMENTOS!$CG15="",MACROMICROELEMENTOS!$CH15=""),"",((MACROMICROELEMENTOS!$N15-MACROMICROELEMENTOS!$CG15)*MACROMICROELEMENTOS!$CH15*MACROMICROELEMENTOS!$D15*(1/MACROMICROELEMENTOS!$C15)*MACROMICROELEMENTOS!$E15))</f>
        <v/>
      </c>
      <c r="CJ15" s="16" t="str">
        <f>IF(AND(MACROMICROELEMENTOS!$BA15="",MACROMICROELEMENTOS!$BB15="",MACROMICROELEMENTOS!$BC15="",MACROMICROELEMENTOS!$BD15=""),"",IF(O15&gt;5,0,AVERAGE(MACROMICROELEMENTOS!$BA15,MACROMICROELEMENTOS!$BB15,MACROMICROELEMENTOS!$BC15,MACROMICROELEMENTOS!$BD15)))</f>
        <v/>
      </c>
      <c r="CK15" s="18">
        <v>1</v>
      </c>
      <c r="CL15" s="53" t="str">
        <f>IF(OR(MACROMICROELEMENTOS!$A15="",MACROMICROELEMENTOS!$B15="",MACROMICROELEMENTOS!$C15="",MACROMICROELEMENTOS!$D15="",MACROMICROELEMENTOS!$E15="",MACROMICROELEMENTOS!$O15="",MACROMICROELEMENTOS!$CJ15="",MACROMICROELEMENTOS!$CK15=""),"",((MACROMICROELEMENTOS!$O15-MACROMICROELEMENTOS!$CJ15)*MACROMICROELEMENTOS!$CK15*MACROMICROELEMENTOS!$D15*(1/MACROMICROELEMENTOS!$C15)*MACROMICROELEMENTOS!$E15))</f>
        <v/>
      </c>
      <c r="CM15" s="16" t="str">
        <f>IF(AND(MACROMICROELEMENTOS!$BE15="",MACROMICROELEMENTOS!$BF15="",MACROMICROELEMENTOS!$BG15="",MACROMICROELEMENTOS!$BH15=""),"",AVERAGE(MACROMICROELEMENTOS!$BE15,MACROMICROELEMENTOS!$BF15,MACROMICROELEMENTOS!$BG15,MACROMICROELEMENTOS!$BH15))</f>
        <v/>
      </c>
      <c r="CN15" s="18">
        <v>1</v>
      </c>
      <c r="CO15" s="53" t="str">
        <f>IF(OR(MACROMICROELEMENTOS!$A15="",MACROMICROELEMENTOS!$B15="",MACROMICROELEMENTOS!$C15="",MACROMICROELEMENTOS!$D15="",MACROMICROELEMENTOS!$E15="",MACROMICROELEMENTOS!$P15="",MACROMICROELEMENTOS!$CM15="",MACROMICROELEMENTOS!$CN15=""),"",((MACROMICROELEMENTOS!$P15-MACROMICROELEMENTOS!$CM15)*MACROMICROELEMENTOS!$CN15*MACROMICROELEMENTOS!$D15*(1/MACROMICROELEMENTOS!$C15)*MACROMICROELEMENTOS!$E15))</f>
        <v/>
      </c>
    </row>
    <row r="16" spans="1:97" x14ac:dyDescent="0.25">
      <c r="A16" s="50"/>
      <c r="B16" s="51"/>
      <c r="C16" s="50"/>
      <c r="D16" s="18">
        <v>50</v>
      </c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6" t="str">
        <f>IF(AND(MACROMICROELEMENTOS!$U16="",MACROMICROELEMENTOS!$V16="",MACROMICROELEMENTOS!$W16="",MACROMICROELEMENTOS!$X16=""),"",AVERAGE(MACROMICROELEMENTOS!$U16,MACROMICROELEMENTOS!$V16,MACROMICROELEMENTOS!$W16,MACROMICROELEMENTOS!$X16))</f>
        <v/>
      </c>
      <c r="BJ16" s="18">
        <v>1</v>
      </c>
      <c r="BK16" s="53" t="str">
        <f>IF(OR(MACROMICROELEMENTOS!$A16="",MACROMICROELEMENTOS!$B16="",MACROMICROELEMENTOS!$C16="",MACROMICROELEMENTOS!$D16="",MACROMICROELEMENTOS!$E16="",MACROMICROELEMENTOS!$F16="",MACROMICROELEMENTOS!$BI16="",MACROMICROELEMENTOS!$BJ16=""),"",((MACROMICROELEMENTOS!$F16-MACROMICROELEMENTOS!$BI16)*MACROMICROELEMENTOS!$BJ16*MACROMICROELEMENTOS!$D16*(1/MACROMICROELEMENTOS!$C16)*MACROMICROELEMENTOS!$E16/1000))</f>
        <v/>
      </c>
      <c r="BL16" s="16" t="str">
        <f>IF(AND(MACROMICROELEMENTOS!$Y16="",MACROMICROELEMENTOS!$Z16="",MACROMICROELEMENTOS!$AA16="",MACROMICROELEMENTOS!$AB16=""),"",AVERAGE(MACROMICROELEMENTOS!$Y16,MACROMICROELEMENTOS!$Z16,MACROMICROELEMENTOS!$AA16,MACROMICROELEMENTOS!$AB16))</f>
        <v/>
      </c>
      <c r="BM16" s="18">
        <v>1</v>
      </c>
      <c r="BN16" s="53" t="str">
        <f>IF(OR(MACROMICROELEMENTOS!$A16="",MACROMICROELEMENTOS!$B16="",MACROMICROELEMENTOS!$C16="",MACROMICROELEMENTOS!$D16="",MACROMICROELEMENTOS!$E16="",MACROMICROELEMENTOS!$G16="",MACROMICROELEMENTOS!$BL16="",MACROMICROELEMENTOS!$BM16=""),"",((MACROMICROELEMENTOS!$G16-MACROMICROELEMENTOS!$BL16)*MACROMICROELEMENTOS!$BM16*MACROMICROELEMENTOS!$D16*(1/MACROMICROELEMENTOS!$C16)*MACROMICROELEMENTOS!$E16/1000))</f>
        <v/>
      </c>
      <c r="BO16" s="16" t="str">
        <f>IF(AND(MACROMICROELEMENTOS!$AC16="",MACROMICROELEMENTOS!$AD16="",MACROMICROELEMENTOS!$AE16="",MACROMICROELEMENTOS!$AF16=""),"",AVERAGE(MACROMICROELEMENTOS!$AC16,MACROMICROELEMENTOS!$AD16,MACROMICROELEMENTOS!$AE16,MACROMICROELEMENTOS!$AF16))</f>
        <v/>
      </c>
      <c r="BP16" s="18">
        <v>1</v>
      </c>
      <c r="BQ16" s="53" t="str">
        <f>IF(OR(MACROMICROELEMENTOS!$A16="",MACROMICROELEMENTOS!$B16="",MACROMICROELEMENTOS!$C16="",MACROMICROELEMENTOS!$D16="",MACROMICROELEMENTOS!$E16="",MACROMICROELEMENTOS!$H16="",MACROMICROELEMENTOS!$BO16="",MACROMICROELEMENTOS!$BP16=""),"",((MACROMICROELEMENTOS!$H16-MACROMICROELEMENTOS!$BO16)*MACROMICROELEMENTOS!$BP16*MACROMICROELEMENTOS!$D16*(1/MACROMICROELEMENTOS!$C16)*MACROMICROELEMENTOS!$E16/1000))</f>
        <v/>
      </c>
      <c r="BR16" s="16" t="str">
        <f>IF(AND(MACROMICROELEMENTOS!$Q16="",MACROMICROELEMENTOS!$R16="",MACROMICROELEMENTOS!$S16="",MACROMICROELEMENTOS!$T16=""),"",AVERAGE(MACROMICROELEMENTOS!$Q16,MACROMICROELEMENTOS!$R16,MACROMICROELEMENTOS!$S16,MACROMICROELEMENTOS!$T16))</f>
        <v/>
      </c>
      <c r="BS16" s="18">
        <v>1</v>
      </c>
      <c r="BT16" s="53" t="str">
        <f>IF(OR(MACROMICROELEMENTOS!$A16="",MACROMICROELEMENTOS!$B16="",MACROMICROELEMENTOS!$C16="",MACROMICROELEMENTOS!$D16="",MACROMICROELEMENTOS!$E16="",MACROMICROELEMENTOS!$I16="",MACROMICROELEMENTOS!$BR16="",MACROMICROELEMENTOS!$BS16=""),"",((MACROMICROELEMENTOS!$I16-MACROMICROELEMENTOS!$BR16)*MACROMICROELEMENTOS!$BS16*MACROMICROELEMENTOS!$D16*(1/MACROMICROELEMENTOS!$C16)*MACROMICROELEMENTOS!$E16))</f>
        <v/>
      </c>
      <c r="BU16" s="16" t="str">
        <f>IF(AND(MACROMICROELEMENTOS!$AG16="",MACROMICROELEMENTOS!$AH16="",MACROMICROELEMENTOS!$AI16="",MACROMICROELEMENTOS!$AJ16=""),"",AVERAGE(MACROMICROELEMENTOS!$AG16,MACROMICROELEMENTOS!$AH16,MACROMICROELEMENTOS!$AI16,MACROMICROELEMENTOS!$AJ16))</f>
        <v/>
      </c>
      <c r="BV16" s="18">
        <v>1</v>
      </c>
      <c r="BW16" s="53" t="str">
        <f>IF(OR(MACROMICROELEMENTOS!$A16="",MACROMICROELEMENTOS!$B16="",MACROMICROELEMENTOS!$C16="",MACROMICROELEMENTOS!$D16="",MACROMICROELEMENTOS!$E16="",MACROMICROELEMENTOS!$J16="",MACROMICROELEMENTOS!$BU16="",MACROMICROELEMENTOS!$BV16=""),"",((MACROMICROELEMENTOS!$J16-MACROMICROELEMENTOS!$BU16)*MACROMICROELEMENTOS!$BV16*MACROMICROELEMENTOS!$D16*(1/MACROMICROELEMENTOS!$C16)*MACROMICROELEMENTOS!$E16/1000))</f>
        <v/>
      </c>
      <c r="BX16" s="16" t="str">
        <f>IF(AND(MACROMICROELEMENTOS!$AK16="",MACROMICROELEMENTOS!$AL16="",MACROMICROELEMENTOS!$AM16="",MACROMICROELEMENTOS!$AN16=""),"",AVERAGE(MACROMICROELEMENTOS!$AK16,MACROMICROELEMENTOS!$AL16,MACROMICROELEMENTOS!$AM16,MACROMICROELEMENTOS!$AN16))</f>
        <v/>
      </c>
      <c r="BY16" s="18">
        <v>1</v>
      </c>
      <c r="BZ16" s="53" t="str">
        <f>IF(OR(MACROMICROELEMENTOS!$A16="",MACROMICROELEMENTOS!$B16="",MACROMICROELEMENTOS!$C16="",MACROMICROELEMENTOS!$D16="",MACROMICROELEMENTOS!$E16="",MACROMICROELEMENTOS!$K16="",MACROMICROELEMENTOS!$BX16="",MACROMICROELEMENTOS!$BY16=""),"",((MACROMICROELEMENTOS!$K16-MACROMICROELEMENTOS!$BX16)*MACROMICROELEMENTOS!$BY16*MACROMICROELEMENTOS!$D16*(1/MACROMICROELEMENTOS!$C16)*MACROMICROELEMENTOS!$E16/1000))</f>
        <v/>
      </c>
      <c r="CA16" s="16" t="str">
        <f>IF(AND(MACROMICROELEMENTOS!$AO16="",MACROMICROELEMENTOS!$AP16="",MACROMICROELEMENTOS!$AQ16="",MACROMICROELEMENTOS!$AR16=""),"",AVERAGE(MACROMICROELEMENTOS!$AO16,MACROMICROELEMENTOS!$AP16,MACROMICROELEMENTOS!$AQ16,MACROMICROELEMENTOS!$AR16))</f>
        <v/>
      </c>
      <c r="CB16" s="18">
        <v>1</v>
      </c>
      <c r="CC16" s="53" t="str">
        <f>IF(OR(MACROMICROELEMENTOS!$A16="",MACROMICROELEMENTOS!$B16="",MACROMICROELEMENTOS!$C16="",MACROMICROELEMENTOS!$D16="",MACROMICROELEMENTOS!$E16="",MACROMICROELEMENTOS!$L16="",MACROMICROELEMENTOS!$CA16="",MACROMICROELEMENTOS!$CB16=""),"",((MACROMICROELEMENTOS!$L16-MACROMICROELEMENTOS!$CA16)*MACROMICROELEMENTOS!$CB16*MACROMICROELEMENTOS!$D16*(1/MACROMICROELEMENTOS!$C16)*MACROMICROELEMENTOS!$E16))</f>
        <v/>
      </c>
      <c r="CD16" s="16" t="str">
        <f>IF(AND(MACROMICROELEMENTOS!$AS16="",MACROMICROELEMENTOS!$AT16="",MACROMICROELEMENTOS!$AU16="",MACROMICROELEMENTOS!$AV16=""),"",AVERAGE(MACROMICROELEMENTOS!$AS16,MACROMICROELEMENTOS!$AT16,MACROMICROELEMENTOS!$AU16,MACROMICROELEMENTOS!$AV16))</f>
        <v/>
      </c>
      <c r="CE16" s="18">
        <v>1</v>
      </c>
      <c r="CF16" s="53" t="str">
        <f>IF(OR(MACROMICROELEMENTOS!$A16="",MACROMICROELEMENTOS!$B16="",MACROMICROELEMENTOS!$C16="",MACROMICROELEMENTOS!$D16="",MACROMICROELEMENTOS!$E16="",MACROMICROELEMENTOS!$M16="",MACROMICROELEMENTOS!$CD16="",MACROMICROELEMENTOS!$CE16=""),"",((MACROMICROELEMENTOS!$M16-MACROMICROELEMENTOS!$CD16)*MACROMICROELEMENTOS!$CE16*MACROMICROELEMENTOS!$D16*(1/MACROMICROELEMENTOS!$C16)*MACROMICROELEMENTOS!$E16))</f>
        <v/>
      </c>
      <c r="CG16" s="16" t="str">
        <f>IF(AND(MACROMICROELEMENTOS!$AW16="",MACROMICROELEMENTOS!$AX16="",MACROMICROELEMENTOS!$AY16="",MACROMICROELEMENTOS!$AZ16=""),"",AVERAGE(MACROMICROELEMENTOS!$AW16,MACROMICROELEMENTOS!$AX16,MACROMICROELEMENTOS!$AY16,MACROMICROELEMENTOS!$AZ16))</f>
        <v/>
      </c>
      <c r="CH16" s="18">
        <v>1</v>
      </c>
      <c r="CI16" s="53" t="str">
        <f>IF(OR(MACROMICROELEMENTOS!$A16="",MACROMICROELEMENTOS!$B16="",MACROMICROELEMENTOS!$C16="",MACROMICROELEMENTOS!$D16="",MACROMICROELEMENTOS!$E16="",MACROMICROELEMENTOS!$N16="",MACROMICROELEMENTOS!$CG16="",MACROMICROELEMENTOS!$CH16=""),"",((MACROMICROELEMENTOS!$N16-MACROMICROELEMENTOS!$CG16)*MACROMICROELEMENTOS!$CH16*MACROMICROELEMENTOS!$D16*(1/MACROMICROELEMENTOS!$C16)*MACROMICROELEMENTOS!$E16))</f>
        <v/>
      </c>
      <c r="CJ16" s="16" t="str">
        <f>IF(AND(MACROMICROELEMENTOS!$BA16="",MACROMICROELEMENTOS!$BB16="",MACROMICROELEMENTOS!$BC16="",MACROMICROELEMENTOS!$BD16=""),"",IF(O16&gt;5,0,AVERAGE(MACROMICROELEMENTOS!$BA16,MACROMICROELEMENTOS!$BB16,MACROMICROELEMENTOS!$BC16,MACROMICROELEMENTOS!$BD16)))</f>
        <v/>
      </c>
      <c r="CK16" s="18">
        <v>1</v>
      </c>
      <c r="CL16" s="53" t="str">
        <f>IF(OR(MACROMICROELEMENTOS!$A16="",MACROMICROELEMENTOS!$B16="",MACROMICROELEMENTOS!$C16="",MACROMICROELEMENTOS!$D16="",MACROMICROELEMENTOS!$E16="",MACROMICROELEMENTOS!$O16="",MACROMICROELEMENTOS!$CJ16="",MACROMICROELEMENTOS!$CK16=""),"",((MACROMICROELEMENTOS!$O16-MACROMICROELEMENTOS!$CJ16)*MACROMICROELEMENTOS!$CK16*MACROMICROELEMENTOS!$D16*(1/MACROMICROELEMENTOS!$C16)*MACROMICROELEMENTOS!$E16))</f>
        <v/>
      </c>
      <c r="CM16" s="16" t="str">
        <f>IF(AND(MACROMICROELEMENTOS!$BE16="",MACROMICROELEMENTOS!$BF16="",MACROMICROELEMENTOS!$BG16="",MACROMICROELEMENTOS!$BH16=""),"",AVERAGE(MACROMICROELEMENTOS!$BE16,MACROMICROELEMENTOS!$BF16,MACROMICROELEMENTOS!$BG16,MACROMICROELEMENTOS!$BH16))</f>
        <v/>
      </c>
      <c r="CN16" s="18">
        <v>1</v>
      </c>
      <c r="CO16" s="53" t="str">
        <f>IF(OR(MACROMICROELEMENTOS!$A16="",MACROMICROELEMENTOS!$B16="",MACROMICROELEMENTOS!$C16="",MACROMICROELEMENTOS!$D16="",MACROMICROELEMENTOS!$E16="",MACROMICROELEMENTOS!$P16="",MACROMICROELEMENTOS!$CM16="",MACROMICROELEMENTOS!$CN16=""),"",((MACROMICROELEMENTOS!$P16-MACROMICROELEMENTOS!$CM16)*MACROMICROELEMENTOS!$CN16*MACROMICROELEMENTOS!$D16*(1/MACROMICROELEMENTOS!$C16)*MACROMICROELEMENTOS!$E16))</f>
        <v/>
      </c>
    </row>
    <row r="17" spans="1:93" x14ac:dyDescent="0.25">
      <c r="A17" s="50"/>
      <c r="B17" s="51"/>
      <c r="C17" s="50"/>
      <c r="D17" s="18">
        <v>50</v>
      </c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6" t="str">
        <f>IF(AND(MACROMICROELEMENTOS!$U17="",MACROMICROELEMENTOS!$V17="",MACROMICROELEMENTOS!$W17="",MACROMICROELEMENTOS!$X17=""),"",AVERAGE(MACROMICROELEMENTOS!$U17,MACROMICROELEMENTOS!$V17,MACROMICROELEMENTOS!$W17,MACROMICROELEMENTOS!$X17))</f>
        <v/>
      </c>
      <c r="BJ17" s="18">
        <v>1</v>
      </c>
      <c r="BK17" s="53" t="str">
        <f>IF(OR(MACROMICROELEMENTOS!$A17="",MACROMICROELEMENTOS!$B17="",MACROMICROELEMENTOS!$C17="",MACROMICROELEMENTOS!$D17="",MACROMICROELEMENTOS!$E17="",MACROMICROELEMENTOS!$F17="",MACROMICROELEMENTOS!$BI17="",MACROMICROELEMENTOS!$BJ17=""),"",((MACROMICROELEMENTOS!$F17-MACROMICROELEMENTOS!$BI17)*MACROMICROELEMENTOS!$BJ17*MACROMICROELEMENTOS!$D17*(1/MACROMICROELEMENTOS!$C17)*MACROMICROELEMENTOS!$E17/1000))</f>
        <v/>
      </c>
      <c r="BL17" s="16" t="str">
        <f>IF(AND(MACROMICROELEMENTOS!$Y17="",MACROMICROELEMENTOS!$Z17="",MACROMICROELEMENTOS!$AA17="",MACROMICROELEMENTOS!$AB17=""),"",AVERAGE(MACROMICROELEMENTOS!$Y17,MACROMICROELEMENTOS!$Z17,MACROMICROELEMENTOS!$AA17,MACROMICROELEMENTOS!$AB17))</f>
        <v/>
      </c>
      <c r="BM17" s="18">
        <v>1</v>
      </c>
      <c r="BN17" s="53" t="str">
        <f>IF(OR(MACROMICROELEMENTOS!$A17="",MACROMICROELEMENTOS!$B17="",MACROMICROELEMENTOS!$C17="",MACROMICROELEMENTOS!$D17="",MACROMICROELEMENTOS!$E17="",MACROMICROELEMENTOS!$G17="",MACROMICROELEMENTOS!$BL17="",MACROMICROELEMENTOS!$BM17=""),"",((MACROMICROELEMENTOS!$G17-MACROMICROELEMENTOS!$BL17)*MACROMICROELEMENTOS!$BM17*MACROMICROELEMENTOS!$D17*(1/MACROMICROELEMENTOS!$C17)*MACROMICROELEMENTOS!$E17/1000))</f>
        <v/>
      </c>
      <c r="BO17" s="16" t="str">
        <f>IF(AND(MACROMICROELEMENTOS!$AC17="",MACROMICROELEMENTOS!$AD17="",MACROMICROELEMENTOS!$AE17="",MACROMICROELEMENTOS!$AF17=""),"",AVERAGE(MACROMICROELEMENTOS!$AC17,MACROMICROELEMENTOS!$AD17,MACROMICROELEMENTOS!$AE17,MACROMICROELEMENTOS!$AF17))</f>
        <v/>
      </c>
      <c r="BP17" s="18">
        <v>1</v>
      </c>
      <c r="BQ17" s="53" t="str">
        <f>IF(OR(MACROMICROELEMENTOS!$A17="",MACROMICROELEMENTOS!$B17="",MACROMICROELEMENTOS!$C17="",MACROMICROELEMENTOS!$D17="",MACROMICROELEMENTOS!$E17="",MACROMICROELEMENTOS!$H17="",MACROMICROELEMENTOS!$BO17="",MACROMICROELEMENTOS!$BP17=""),"",((MACROMICROELEMENTOS!$H17-MACROMICROELEMENTOS!$BO17)*MACROMICROELEMENTOS!$BP17*MACROMICROELEMENTOS!$D17*(1/MACROMICROELEMENTOS!$C17)*MACROMICROELEMENTOS!$E17/1000))</f>
        <v/>
      </c>
      <c r="BR17" s="16" t="str">
        <f>IF(AND(MACROMICROELEMENTOS!$Q17="",MACROMICROELEMENTOS!$R17="",MACROMICROELEMENTOS!$S17="",MACROMICROELEMENTOS!$T17=""),"",AVERAGE(MACROMICROELEMENTOS!$Q17,MACROMICROELEMENTOS!$R17,MACROMICROELEMENTOS!$S17,MACROMICROELEMENTOS!$T17))</f>
        <v/>
      </c>
      <c r="BS17" s="18">
        <v>1</v>
      </c>
      <c r="BT17" s="53" t="str">
        <f>IF(OR(MACROMICROELEMENTOS!$A17="",MACROMICROELEMENTOS!$B17="",MACROMICROELEMENTOS!$C17="",MACROMICROELEMENTOS!$D17="",MACROMICROELEMENTOS!$E17="",MACROMICROELEMENTOS!$I17="",MACROMICROELEMENTOS!$BR17="",MACROMICROELEMENTOS!$BS17=""),"",((MACROMICROELEMENTOS!$I17-MACROMICROELEMENTOS!$BR17)*MACROMICROELEMENTOS!$BS17*MACROMICROELEMENTOS!$D17*(1/MACROMICROELEMENTOS!$C17)*MACROMICROELEMENTOS!$E17))</f>
        <v/>
      </c>
      <c r="BU17" s="16" t="str">
        <f>IF(AND(MACROMICROELEMENTOS!$AG17="",MACROMICROELEMENTOS!$AH17="",MACROMICROELEMENTOS!$AI17="",MACROMICROELEMENTOS!$AJ17=""),"",AVERAGE(MACROMICROELEMENTOS!$AG17,MACROMICROELEMENTOS!$AH17,MACROMICROELEMENTOS!$AI17,MACROMICROELEMENTOS!$AJ17))</f>
        <v/>
      </c>
      <c r="BV17" s="18">
        <v>1</v>
      </c>
      <c r="BW17" s="53" t="str">
        <f>IF(OR(MACROMICROELEMENTOS!$A17="",MACROMICROELEMENTOS!$B17="",MACROMICROELEMENTOS!$C17="",MACROMICROELEMENTOS!$D17="",MACROMICROELEMENTOS!$E17="",MACROMICROELEMENTOS!$J17="",MACROMICROELEMENTOS!$BU17="",MACROMICROELEMENTOS!$BV17=""),"",((MACROMICROELEMENTOS!$J17-MACROMICROELEMENTOS!$BU17)*MACROMICROELEMENTOS!$BV17*MACROMICROELEMENTOS!$D17*(1/MACROMICROELEMENTOS!$C17)*MACROMICROELEMENTOS!$E17/1000))</f>
        <v/>
      </c>
      <c r="BX17" s="16" t="str">
        <f>IF(AND(MACROMICROELEMENTOS!$AK17="",MACROMICROELEMENTOS!$AL17="",MACROMICROELEMENTOS!$AM17="",MACROMICROELEMENTOS!$AN17=""),"",AVERAGE(MACROMICROELEMENTOS!$AK17,MACROMICROELEMENTOS!$AL17,MACROMICROELEMENTOS!$AM17,MACROMICROELEMENTOS!$AN17))</f>
        <v/>
      </c>
      <c r="BY17" s="18">
        <v>1</v>
      </c>
      <c r="BZ17" s="53" t="str">
        <f>IF(OR(MACROMICROELEMENTOS!$A17="",MACROMICROELEMENTOS!$B17="",MACROMICROELEMENTOS!$C17="",MACROMICROELEMENTOS!$D17="",MACROMICROELEMENTOS!$E17="",MACROMICROELEMENTOS!$K17="",MACROMICROELEMENTOS!$BX17="",MACROMICROELEMENTOS!$BY17=""),"",((MACROMICROELEMENTOS!$K17-MACROMICROELEMENTOS!$BX17)*MACROMICROELEMENTOS!$BY17*MACROMICROELEMENTOS!$D17*(1/MACROMICROELEMENTOS!$C17)*MACROMICROELEMENTOS!$E17/1000))</f>
        <v/>
      </c>
      <c r="CA17" s="16" t="str">
        <f>IF(AND(MACROMICROELEMENTOS!$AO17="",MACROMICROELEMENTOS!$AP17="",MACROMICROELEMENTOS!$AQ17="",MACROMICROELEMENTOS!$AR17=""),"",AVERAGE(MACROMICROELEMENTOS!$AO17,MACROMICROELEMENTOS!$AP17,MACROMICROELEMENTOS!$AQ17,MACROMICROELEMENTOS!$AR17))</f>
        <v/>
      </c>
      <c r="CB17" s="18">
        <v>1</v>
      </c>
      <c r="CC17" s="53" t="str">
        <f>IF(OR(MACROMICROELEMENTOS!$A17="",MACROMICROELEMENTOS!$B17="",MACROMICROELEMENTOS!$C17="",MACROMICROELEMENTOS!$D17="",MACROMICROELEMENTOS!$E17="",MACROMICROELEMENTOS!$L17="",MACROMICROELEMENTOS!$CA17="",MACROMICROELEMENTOS!$CB17=""),"",((MACROMICROELEMENTOS!$L17-MACROMICROELEMENTOS!$CA17)*MACROMICROELEMENTOS!$CB17*MACROMICROELEMENTOS!$D17*(1/MACROMICROELEMENTOS!$C17)*MACROMICROELEMENTOS!$E17))</f>
        <v/>
      </c>
      <c r="CD17" s="16" t="str">
        <f>IF(AND(MACROMICROELEMENTOS!$AS17="",MACROMICROELEMENTOS!$AT17="",MACROMICROELEMENTOS!$AU17="",MACROMICROELEMENTOS!$AV17=""),"",AVERAGE(MACROMICROELEMENTOS!$AS17,MACROMICROELEMENTOS!$AT17,MACROMICROELEMENTOS!$AU17,MACROMICROELEMENTOS!$AV17))</f>
        <v/>
      </c>
      <c r="CE17" s="18">
        <v>1</v>
      </c>
      <c r="CF17" s="53" t="str">
        <f>IF(OR(MACROMICROELEMENTOS!$A17="",MACROMICROELEMENTOS!$B17="",MACROMICROELEMENTOS!$C17="",MACROMICROELEMENTOS!$D17="",MACROMICROELEMENTOS!$E17="",MACROMICROELEMENTOS!$M17="",MACROMICROELEMENTOS!$CD17="",MACROMICROELEMENTOS!$CE17=""),"",((MACROMICROELEMENTOS!$M17-MACROMICROELEMENTOS!$CD17)*MACROMICROELEMENTOS!$CE17*MACROMICROELEMENTOS!$D17*(1/MACROMICROELEMENTOS!$C17)*MACROMICROELEMENTOS!$E17))</f>
        <v/>
      </c>
      <c r="CG17" s="16" t="str">
        <f>IF(AND(MACROMICROELEMENTOS!$AW17="",MACROMICROELEMENTOS!$AX17="",MACROMICROELEMENTOS!$AY17="",MACROMICROELEMENTOS!$AZ17=""),"",AVERAGE(MACROMICROELEMENTOS!$AW17,MACROMICROELEMENTOS!$AX17,MACROMICROELEMENTOS!$AY17,MACROMICROELEMENTOS!$AZ17))</f>
        <v/>
      </c>
      <c r="CH17" s="18">
        <v>1</v>
      </c>
      <c r="CI17" s="53" t="str">
        <f>IF(OR(MACROMICROELEMENTOS!$A17="",MACROMICROELEMENTOS!$B17="",MACROMICROELEMENTOS!$C17="",MACROMICROELEMENTOS!$D17="",MACROMICROELEMENTOS!$E17="",MACROMICROELEMENTOS!$N17="",MACROMICROELEMENTOS!$CG17="",MACROMICROELEMENTOS!$CH17=""),"",((MACROMICROELEMENTOS!$N17-MACROMICROELEMENTOS!$CG17)*MACROMICROELEMENTOS!$CH17*MACROMICROELEMENTOS!$D17*(1/MACROMICROELEMENTOS!$C17)*MACROMICROELEMENTOS!$E17))</f>
        <v/>
      </c>
      <c r="CJ17" s="16" t="str">
        <f>IF(AND(MACROMICROELEMENTOS!$BA17="",MACROMICROELEMENTOS!$BB17="",MACROMICROELEMENTOS!$BC17="",MACROMICROELEMENTOS!$BD17=""),"",IF(O17&gt;5,0,AVERAGE(MACROMICROELEMENTOS!$BA17,MACROMICROELEMENTOS!$BB17,MACROMICROELEMENTOS!$BC17,MACROMICROELEMENTOS!$BD17)))</f>
        <v/>
      </c>
      <c r="CK17" s="18">
        <v>1</v>
      </c>
      <c r="CL17" s="53" t="str">
        <f>IF(OR(MACROMICROELEMENTOS!$A17="",MACROMICROELEMENTOS!$B17="",MACROMICROELEMENTOS!$C17="",MACROMICROELEMENTOS!$D17="",MACROMICROELEMENTOS!$E17="",MACROMICROELEMENTOS!$O17="",MACROMICROELEMENTOS!$CJ17="",MACROMICROELEMENTOS!$CK17=""),"",((MACROMICROELEMENTOS!$O17-MACROMICROELEMENTOS!$CJ17)*MACROMICROELEMENTOS!$CK17*MACROMICROELEMENTOS!$D17*(1/MACROMICROELEMENTOS!$C17)*MACROMICROELEMENTOS!$E17))</f>
        <v/>
      </c>
      <c r="CM17" s="16" t="str">
        <f>IF(AND(MACROMICROELEMENTOS!$BE17="",MACROMICROELEMENTOS!$BF17="",MACROMICROELEMENTOS!$BG17="",MACROMICROELEMENTOS!$BH17=""),"",AVERAGE(MACROMICROELEMENTOS!$BE17,MACROMICROELEMENTOS!$BF17,MACROMICROELEMENTOS!$BG17,MACROMICROELEMENTOS!$BH17))</f>
        <v/>
      </c>
      <c r="CN17" s="18">
        <v>1</v>
      </c>
      <c r="CO17" s="53" t="str">
        <f>IF(OR(MACROMICROELEMENTOS!$A17="",MACROMICROELEMENTOS!$B17="",MACROMICROELEMENTOS!$C17="",MACROMICROELEMENTOS!$D17="",MACROMICROELEMENTOS!$E17="",MACROMICROELEMENTOS!$P17="",MACROMICROELEMENTOS!$CM17="",MACROMICROELEMENTOS!$CN17=""),"",((MACROMICROELEMENTOS!$P17-MACROMICROELEMENTOS!$CM17)*MACROMICROELEMENTOS!$CN17*MACROMICROELEMENTOS!$D17*(1/MACROMICROELEMENTOS!$C17)*MACROMICROELEMENTOS!$E17))</f>
        <v/>
      </c>
    </row>
    <row r="18" spans="1:93" x14ac:dyDescent="0.25">
      <c r="A18" s="50"/>
      <c r="B18" s="51"/>
      <c r="C18" s="50"/>
      <c r="D18" s="18">
        <v>50</v>
      </c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6" t="str">
        <f>IF(AND(MACROMICROELEMENTOS!$U18="",MACROMICROELEMENTOS!$V18="",MACROMICROELEMENTOS!$W18="",MACROMICROELEMENTOS!$X18=""),"",AVERAGE(MACROMICROELEMENTOS!$U18,MACROMICROELEMENTOS!$V18,MACROMICROELEMENTOS!$W18,MACROMICROELEMENTOS!$X18))</f>
        <v/>
      </c>
      <c r="BJ18" s="18">
        <v>1</v>
      </c>
      <c r="BK18" s="53" t="str">
        <f>IF(OR(MACROMICROELEMENTOS!$A18="",MACROMICROELEMENTOS!$B18="",MACROMICROELEMENTOS!$C18="",MACROMICROELEMENTOS!$D18="",MACROMICROELEMENTOS!$E18="",MACROMICROELEMENTOS!$F18="",MACROMICROELEMENTOS!$BI18="",MACROMICROELEMENTOS!$BJ18=""),"",((MACROMICROELEMENTOS!$F18-MACROMICROELEMENTOS!$BI18)*MACROMICROELEMENTOS!$BJ18*MACROMICROELEMENTOS!$D18*(1/MACROMICROELEMENTOS!$C18)*MACROMICROELEMENTOS!$E18/1000))</f>
        <v/>
      </c>
      <c r="BL18" s="16" t="str">
        <f>IF(AND(MACROMICROELEMENTOS!$Y18="",MACROMICROELEMENTOS!$Z18="",MACROMICROELEMENTOS!$AA18="",MACROMICROELEMENTOS!$AB18=""),"",AVERAGE(MACROMICROELEMENTOS!$Y18,MACROMICROELEMENTOS!$Z18,MACROMICROELEMENTOS!$AA18,MACROMICROELEMENTOS!$AB18))</f>
        <v/>
      </c>
      <c r="BM18" s="18">
        <v>1</v>
      </c>
      <c r="BN18" s="53" t="str">
        <f>IF(OR(MACROMICROELEMENTOS!$A18="",MACROMICROELEMENTOS!$B18="",MACROMICROELEMENTOS!$C18="",MACROMICROELEMENTOS!$D18="",MACROMICROELEMENTOS!$E18="",MACROMICROELEMENTOS!$G18="",MACROMICROELEMENTOS!$BL18="",MACROMICROELEMENTOS!$BM18=""),"",((MACROMICROELEMENTOS!$G18-MACROMICROELEMENTOS!$BL18)*MACROMICROELEMENTOS!$BM18*MACROMICROELEMENTOS!$D18*(1/MACROMICROELEMENTOS!$C18)*MACROMICROELEMENTOS!$E18/1000))</f>
        <v/>
      </c>
      <c r="BO18" s="16" t="str">
        <f>IF(AND(MACROMICROELEMENTOS!$AC18="",MACROMICROELEMENTOS!$AD18="",MACROMICROELEMENTOS!$AE18="",MACROMICROELEMENTOS!$AF18=""),"",AVERAGE(MACROMICROELEMENTOS!$AC18,MACROMICROELEMENTOS!$AD18,MACROMICROELEMENTOS!$AE18,MACROMICROELEMENTOS!$AF18))</f>
        <v/>
      </c>
      <c r="BP18" s="18">
        <v>1</v>
      </c>
      <c r="BQ18" s="53" t="str">
        <f>IF(OR(MACROMICROELEMENTOS!$A18="",MACROMICROELEMENTOS!$B18="",MACROMICROELEMENTOS!$C18="",MACROMICROELEMENTOS!$D18="",MACROMICROELEMENTOS!$E18="",MACROMICROELEMENTOS!$H18="",MACROMICROELEMENTOS!$BO18="",MACROMICROELEMENTOS!$BP18=""),"",((MACROMICROELEMENTOS!$H18-MACROMICROELEMENTOS!$BO18)*MACROMICROELEMENTOS!$BP18*MACROMICROELEMENTOS!$D18*(1/MACROMICROELEMENTOS!$C18)*MACROMICROELEMENTOS!$E18/1000))</f>
        <v/>
      </c>
      <c r="BR18" s="16" t="str">
        <f>IF(AND(MACROMICROELEMENTOS!$Q18="",MACROMICROELEMENTOS!$R18="",MACROMICROELEMENTOS!$S18="",MACROMICROELEMENTOS!$T18=""),"",AVERAGE(MACROMICROELEMENTOS!$Q18,MACROMICROELEMENTOS!$R18,MACROMICROELEMENTOS!$S18,MACROMICROELEMENTOS!$T18))</f>
        <v/>
      </c>
      <c r="BS18" s="18">
        <v>1</v>
      </c>
      <c r="BT18" s="53" t="str">
        <f>IF(OR(MACROMICROELEMENTOS!$A18="",MACROMICROELEMENTOS!$B18="",MACROMICROELEMENTOS!$C18="",MACROMICROELEMENTOS!$D18="",MACROMICROELEMENTOS!$E18="",MACROMICROELEMENTOS!$I18="",MACROMICROELEMENTOS!$BR18="",MACROMICROELEMENTOS!$BS18=""),"",((MACROMICROELEMENTOS!$I18-MACROMICROELEMENTOS!$BR18)*MACROMICROELEMENTOS!$BS18*MACROMICROELEMENTOS!$D18*(1/MACROMICROELEMENTOS!$C18)*MACROMICROELEMENTOS!$E18))</f>
        <v/>
      </c>
      <c r="BU18" s="16" t="str">
        <f>IF(AND(MACROMICROELEMENTOS!$AG18="",MACROMICROELEMENTOS!$AH18="",MACROMICROELEMENTOS!$AI18="",MACROMICROELEMENTOS!$AJ18=""),"",AVERAGE(MACROMICROELEMENTOS!$AG18,MACROMICROELEMENTOS!$AH18,MACROMICROELEMENTOS!$AI18,MACROMICROELEMENTOS!$AJ18))</f>
        <v/>
      </c>
      <c r="BV18" s="18">
        <v>1</v>
      </c>
      <c r="BW18" s="53" t="str">
        <f>IF(OR(MACROMICROELEMENTOS!$A18="",MACROMICROELEMENTOS!$B18="",MACROMICROELEMENTOS!$C18="",MACROMICROELEMENTOS!$D18="",MACROMICROELEMENTOS!$E18="",MACROMICROELEMENTOS!$J18="",MACROMICROELEMENTOS!$BU18="",MACROMICROELEMENTOS!$BV18=""),"",((MACROMICROELEMENTOS!$J18-MACROMICROELEMENTOS!$BU18)*MACROMICROELEMENTOS!$BV18*MACROMICROELEMENTOS!$D18*(1/MACROMICROELEMENTOS!$C18)*MACROMICROELEMENTOS!$E18/1000))</f>
        <v/>
      </c>
      <c r="BX18" s="16" t="str">
        <f>IF(AND(MACROMICROELEMENTOS!$AK18="",MACROMICROELEMENTOS!$AL18="",MACROMICROELEMENTOS!$AM18="",MACROMICROELEMENTOS!$AN18=""),"",AVERAGE(MACROMICROELEMENTOS!$AK18,MACROMICROELEMENTOS!$AL18,MACROMICROELEMENTOS!$AM18,MACROMICROELEMENTOS!$AN18))</f>
        <v/>
      </c>
      <c r="BY18" s="18">
        <v>1</v>
      </c>
      <c r="BZ18" s="53" t="str">
        <f>IF(OR(MACROMICROELEMENTOS!$A18="",MACROMICROELEMENTOS!$B18="",MACROMICROELEMENTOS!$C18="",MACROMICROELEMENTOS!$D18="",MACROMICROELEMENTOS!$E18="",MACROMICROELEMENTOS!$K18="",MACROMICROELEMENTOS!$BX18="",MACROMICROELEMENTOS!$BY18=""),"",((MACROMICROELEMENTOS!$K18-MACROMICROELEMENTOS!$BX18)*MACROMICROELEMENTOS!$BY18*MACROMICROELEMENTOS!$D18*(1/MACROMICROELEMENTOS!$C18)*MACROMICROELEMENTOS!$E18/1000))</f>
        <v/>
      </c>
      <c r="CA18" s="16" t="str">
        <f>IF(AND(MACROMICROELEMENTOS!$AO18="",MACROMICROELEMENTOS!$AP18="",MACROMICROELEMENTOS!$AQ18="",MACROMICROELEMENTOS!$AR18=""),"",AVERAGE(MACROMICROELEMENTOS!$AO18,MACROMICROELEMENTOS!$AP18,MACROMICROELEMENTOS!$AQ18,MACROMICROELEMENTOS!$AR18))</f>
        <v/>
      </c>
      <c r="CB18" s="18">
        <v>1</v>
      </c>
      <c r="CC18" s="53" t="str">
        <f>IF(OR(MACROMICROELEMENTOS!$A18="",MACROMICROELEMENTOS!$B18="",MACROMICROELEMENTOS!$C18="",MACROMICROELEMENTOS!$D18="",MACROMICROELEMENTOS!$E18="",MACROMICROELEMENTOS!$L18="",MACROMICROELEMENTOS!$CA18="",MACROMICROELEMENTOS!$CB18=""),"",((MACROMICROELEMENTOS!$L18-MACROMICROELEMENTOS!$CA18)*MACROMICROELEMENTOS!$CB18*MACROMICROELEMENTOS!$D18*(1/MACROMICROELEMENTOS!$C18)*MACROMICROELEMENTOS!$E18))</f>
        <v/>
      </c>
      <c r="CD18" s="16" t="str">
        <f>IF(AND(MACROMICROELEMENTOS!$AS18="",MACROMICROELEMENTOS!$AT18="",MACROMICROELEMENTOS!$AU18="",MACROMICROELEMENTOS!$AV18=""),"",AVERAGE(MACROMICROELEMENTOS!$AS18,MACROMICROELEMENTOS!$AT18,MACROMICROELEMENTOS!$AU18,MACROMICROELEMENTOS!$AV18))</f>
        <v/>
      </c>
      <c r="CE18" s="18">
        <v>1</v>
      </c>
      <c r="CF18" s="53" t="str">
        <f>IF(OR(MACROMICROELEMENTOS!$A18="",MACROMICROELEMENTOS!$B18="",MACROMICROELEMENTOS!$C18="",MACROMICROELEMENTOS!$D18="",MACROMICROELEMENTOS!$E18="",MACROMICROELEMENTOS!$M18="",MACROMICROELEMENTOS!$CD18="",MACROMICROELEMENTOS!$CE18=""),"",((MACROMICROELEMENTOS!$M18-MACROMICROELEMENTOS!$CD18)*MACROMICROELEMENTOS!$CE18*MACROMICROELEMENTOS!$D18*(1/MACROMICROELEMENTOS!$C18)*MACROMICROELEMENTOS!$E18))</f>
        <v/>
      </c>
      <c r="CG18" s="16" t="str">
        <f>IF(AND(MACROMICROELEMENTOS!$AW18="",MACROMICROELEMENTOS!$AX18="",MACROMICROELEMENTOS!$AY18="",MACROMICROELEMENTOS!$AZ18=""),"",AVERAGE(MACROMICROELEMENTOS!$AW18,MACROMICROELEMENTOS!$AX18,MACROMICROELEMENTOS!$AY18,MACROMICROELEMENTOS!$AZ18))</f>
        <v/>
      </c>
      <c r="CH18" s="18">
        <v>1</v>
      </c>
      <c r="CI18" s="53" t="str">
        <f>IF(OR(MACROMICROELEMENTOS!$A18="",MACROMICROELEMENTOS!$B18="",MACROMICROELEMENTOS!$C18="",MACROMICROELEMENTOS!$D18="",MACROMICROELEMENTOS!$E18="",MACROMICROELEMENTOS!$N18="",MACROMICROELEMENTOS!$CG18="",MACROMICROELEMENTOS!$CH18=""),"",((MACROMICROELEMENTOS!$N18-MACROMICROELEMENTOS!$CG18)*MACROMICROELEMENTOS!$CH18*MACROMICROELEMENTOS!$D18*(1/MACROMICROELEMENTOS!$C18)*MACROMICROELEMENTOS!$E18))</f>
        <v/>
      </c>
      <c r="CJ18" s="16" t="str">
        <f>IF(AND(MACROMICROELEMENTOS!$BA18="",MACROMICROELEMENTOS!$BB18="",MACROMICROELEMENTOS!$BC18="",MACROMICROELEMENTOS!$BD18=""),"",IF(O18&gt;5,0,AVERAGE(MACROMICROELEMENTOS!$BA18,MACROMICROELEMENTOS!$BB18,MACROMICROELEMENTOS!$BC18,MACROMICROELEMENTOS!$BD18)))</f>
        <v/>
      </c>
      <c r="CK18" s="18">
        <v>1</v>
      </c>
      <c r="CL18" s="53" t="str">
        <f>IF(OR(MACROMICROELEMENTOS!$A18="",MACROMICROELEMENTOS!$B18="",MACROMICROELEMENTOS!$C18="",MACROMICROELEMENTOS!$D18="",MACROMICROELEMENTOS!$E18="",MACROMICROELEMENTOS!$O18="",MACROMICROELEMENTOS!$CJ18="",MACROMICROELEMENTOS!$CK18=""),"",((MACROMICROELEMENTOS!$O18-MACROMICROELEMENTOS!$CJ18)*MACROMICROELEMENTOS!$CK18*MACROMICROELEMENTOS!$D18*(1/MACROMICROELEMENTOS!$C18)*MACROMICROELEMENTOS!$E18))</f>
        <v/>
      </c>
      <c r="CM18" s="16" t="str">
        <f>IF(AND(MACROMICROELEMENTOS!$BE18="",MACROMICROELEMENTOS!$BF18="",MACROMICROELEMENTOS!$BG18="",MACROMICROELEMENTOS!$BH18=""),"",AVERAGE(MACROMICROELEMENTOS!$BE18,MACROMICROELEMENTOS!$BF18,MACROMICROELEMENTOS!$BG18,MACROMICROELEMENTOS!$BH18))</f>
        <v/>
      </c>
      <c r="CN18" s="18">
        <v>1</v>
      </c>
      <c r="CO18" s="53" t="str">
        <f>IF(OR(MACROMICROELEMENTOS!$A18="",MACROMICROELEMENTOS!$B18="",MACROMICROELEMENTOS!$C18="",MACROMICROELEMENTOS!$D18="",MACROMICROELEMENTOS!$E18="",MACROMICROELEMENTOS!$P18="",MACROMICROELEMENTOS!$CM18="",MACROMICROELEMENTOS!$CN18=""),"",((MACROMICROELEMENTOS!$P18-MACROMICROELEMENTOS!$CM18)*MACROMICROELEMENTOS!$CN18*MACROMICROELEMENTOS!$D18*(1/MACROMICROELEMENTOS!$C18)*MACROMICROELEMENTOS!$E18))</f>
        <v/>
      </c>
    </row>
    <row r="19" spans="1:93" x14ac:dyDescent="0.25">
      <c r="A19" s="50"/>
      <c r="B19" s="51"/>
      <c r="C19" s="50"/>
      <c r="D19" s="18">
        <v>50</v>
      </c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6" t="str">
        <f>IF(AND(MACROMICROELEMENTOS!$U19="",MACROMICROELEMENTOS!$V19="",MACROMICROELEMENTOS!$W19="",MACROMICROELEMENTOS!$X19=""),"",AVERAGE(MACROMICROELEMENTOS!$U19,MACROMICROELEMENTOS!$V19,MACROMICROELEMENTOS!$W19,MACROMICROELEMENTOS!$X19))</f>
        <v/>
      </c>
      <c r="BJ19" s="18">
        <v>1</v>
      </c>
      <c r="BK19" s="53" t="str">
        <f>IF(OR(MACROMICROELEMENTOS!$A19="",MACROMICROELEMENTOS!$B19="",MACROMICROELEMENTOS!$C19="",MACROMICROELEMENTOS!$D19="",MACROMICROELEMENTOS!$E19="",MACROMICROELEMENTOS!$F19="",MACROMICROELEMENTOS!$BI19="",MACROMICROELEMENTOS!$BJ19=""),"",((MACROMICROELEMENTOS!$F19-MACROMICROELEMENTOS!$BI19)*MACROMICROELEMENTOS!$BJ19*MACROMICROELEMENTOS!$D19*(1/MACROMICROELEMENTOS!$C19)*MACROMICROELEMENTOS!$E19/1000))</f>
        <v/>
      </c>
      <c r="BL19" s="16" t="str">
        <f>IF(AND(MACROMICROELEMENTOS!$Y19="",MACROMICROELEMENTOS!$Z19="",MACROMICROELEMENTOS!$AA19="",MACROMICROELEMENTOS!$AB19=""),"",AVERAGE(MACROMICROELEMENTOS!$Y19,MACROMICROELEMENTOS!$Z19,MACROMICROELEMENTOS!$AA19,MACROMICROELEMENTOS!$AB19))</f>
        <v/>
      </c>
      <c r="BM19" s="18">
        <v>1</v>
      </c>
      <c r="BN19" s="53" t="str">
        <f>IF(OR(MACROMICROELEMENTOS!$A19="",MACROMICROELEMENTOS!$B19="",MACROMICROELEMENTOS!$C19="",MACROMICROELEMENTOS!$D19="",MACROMICROELEMENTOS!$E19="",MACROMICROELEMENTOS!$G19="",MACROMICROELEMENTOS!$BL19="",MACROMICROELEMENTOS!$BM19=""),"",((MACROMICROELEMENTOS!$G19-MACROMICROELEMENTOS!$BL19)*MACROMICROELEMENTOS!$BM19*MACROMICROELEMENTOS!$D19*(1/MACROMICROELEMENTOS!$C19)*MACROMICROELEMENTOS!$E19/1000))</f>
        <v/>
      </c>
      <c r="BO19" s="16" t="str">
        <f>IF(AND(MACROMICROELEMENTOS!$AC19="",MACROMICROELEMENTOS!$AD19="",MACROMICROELEMENTOS!$AE19="",MACROMICROELEMENTOS!$AF19=""),"",AVERAGE(MACROMICROELEMENTOS!$AC19,MACROMICROELEMENTOS!$AD19,MACROMICROELEMENTOS!$AE19,MACROMICROELEMENTOS!$AF19))</f>
        <v/>
      </c>
      <c r="BP19" s="18">
        <v>1</v>
      </c>
      <c r="BQ19" s="53" t="str">
        <f>IF(OR(MACROMICROELEMENTOS!$A19="",MACROMICROELEMENTOS!$B19="",MACROMICROELEMENTOS!$C19="",MACROMICROELEMENTOS!$D19="",MACROMICROELEMENTOS!$E19="",MACROMICROELEMENTOS!$H19="",MACROMICROELEMENTOS!$BO19="",MACROMICROELEMENTOS!$BP19=""),"",((MACROMICROELEMENTOS!$H19-MACROMICROELEMENTOS!$BO19)*MACROMICROELEMENTOS!$BP19*MACROMICROELEMENTOS!$D19*(1/MACROMICROELEMENTOS!$C19)*MACROMICROELEMENTOS!$E19/1000))</f>
        <v/>
      </c>
      <c r="BR19" s="16" t="str">
        <f>IF(AND(MACROMICROELEMENTOS!$Q19="",MACROMICROELEMENTOS!$R19="",MACROMICROELEMENTOS!$S19="",MACROMICROELEMENTOS!$T19=""),"",AVERAGE(MACROMICROELEMENTOS!$Q19,MACROMICROELEMENTOS!$R19,MACROMICROELEMENTOS!$S19,MACROMICROELEMENTOS!$T19))</f>
        <v/>
      </c>
      <c r="BS19" s="18">
        <v>1</v>
      </c>
      <c r="BT19" s="53" t="str">
        <f>IF(OR(MACROMICROELEMENTOS!$A19="",MACROMICROELEMENTOS!$B19="",MACROMICROELEMENTOS!$C19="",MACROMICROELEMENTOS!$D19="",MACROMICROELEMENTOS!$E19="",MACROMICROELEMENTOS!$I19="",MACROMICROELEMENTOS!$BR19="",MACROMICROELEMENTOS!$BS19=""),"",((MACROMICROELEMENTOS!$I19-MACROMICROELEMENTOS!$BR19)*MACROMICROELEMENTOS!$BS19*MACROMICROELEMENTOS!$D19*(1/MACROMICROELEMENTOS!$C19)*MACROMICROELEMENTOS!$E19))</f>
        <v/>
      </c>
      <c r="BU19" s="16" t="str">
        <f>IF(AND(MACROMICROELEMENTOS!$AG19="",MACROMICROELEMENTOS!$AH19="",MACROMICROELEMENTOS!$AI19="",MACROMICROELEMENTOS!$AJ19=""),"",AVERAGE(MACROMICROELEMENTOS!$AG19,MACROMICROELEMENTOS!$AH19,MACROMICROELEMENTOS!$AI19,MACROMICROELEMENTOS!$AJ19))</f>
        <v/>
      </c>
      <c r="BV19" s="18">
        <v>1</v>
      </c>
      <c r="BW19" s="53" t="str">
        <f>IF(OR(MACROMICROELEMENTOS!$A19="",MACROMICROELEMENTOS!$B19="",MACROMICROELEMENTOS!$C19="",MACROMICROELEMENTOS!$D19="",MACROMICROELEMENTOS!$E19="",MACROMICROELEMENTOS!$J19="",MACROMICROELEMENTOS!$BU19="",MACROMICROELEMENTOS!$BV19=""),"",((MACROMICROELEMENTOS!$J19-MACROMICROELEMENTOS!$BU19)*MACROMICROELEMENTOS!$BV19*MACROMICROELEMENTOS!$D19*(1/MACROMICROELEMENTOS!$C19)*MACROMICROELEMENTOS!$E19/1000))</f>
        <v/>
      </c>
      <c r="BX19" s="16" t="str">
        <f>IF(AND(MACROMICROELEMENTOS!$AK19="",MACROMICROELEMENTOS!$AL19="",MACROMICROELEMENTOS!$AM19="",MACROMICROELEMENTOS!$AN19=""),"",AVERAGE(MACROMICROELEMENTOS!$AK19,MACROMICROELEMENTOS!$AL19,MACROMICROELEMENTOS!$AM19,MACROMICROELEMENTOS!$AN19))</f>
        <v/>
      </c>
      <c r="BY19" s="18">
        <v>1</v>
      </c>
      <c r="BZ19" s="53" t="str">
        <f>IF(OR(MACROMICROELEMENTOS!$A19="",MACROMICROELEMENTOS!$B19="",MACROMICROELEMENTOS!$C19="",MACROMICROELEMENTOS!$D19="",MACROMICROELEMENTOS!$E19="",MACROMICROELEMENTOS!$K19="",MACROMICROELEMENTOS!$BX19="",MACROMICROELEMENTOS!$BY19=""),"",((MACROMICROELEMENTOS!$K19-MACROMICROELEMENTOS!$BX19)*MACROMICROELEMENTOS!$BY19*MACROMICROELEMENTOS!$D19*(1/MACROMICROELEMENTOS!$C19)*MACROMICROELEMENTOS!$E19/1000))</f>
        <v/>
      </c>
      <c r="CA19" s="16" t="str">
        <f>IF(AND(MACROMICROELEMENTOS!$AO19="",MACROMICROELEMENTOS!$AP19="",MACROMICROELEMENTOS!$AQ19="",MACROMICROELEMENTOS!$AR19=""),"",AVERAGE(MACROMICROELEMENTOS!$AO19,MACROMICROELEMENTOS!$AP19,MACROMICROELEMENTOS!$AQ19,MACROMICROELEMENTOS!$AR19))</f>
        <v/>
      </c>
      <c r="CB19" s="18">
        <v>1</v>
      </c>
      <c r="CC19" s="53" t="str">
        <f>IF(OR(MACROMICROELEMENTOS!$A19="",MACROMICROELEMENTOS!$B19="",MACROMICROELEMENTOS!$C19="",MACROMICROELEMENTOS!$D19="",MACROMICROELEMENTOS!$E19="",MACROMICROELEMENTOS!$L19="",MACROMICROELEMENTOS!$CA19="",MACROMICROELEMENTOS!$CB19=""),"",((MACROMICROELEMENTOS!$L19-MACROMICROELEMENTOS!$CA19)*MACROMICROELEMENTOS!$CB19*MACROMICROELEMENTOS!$D19*(1/MACROMICROELEMENTOS!$C19)*MACROMICROELEMENTOS!$E19))</f>
        <v/>
      </c>
      <c r="CD19" s="16" t="str">
        <f>IF(AND(MACROMICROELEMENTOS!$AS19="",MACROMICROELEMENTOS!$AT19="",MACROMICROELEMENTOS!$AU19="",MACROMICROELEMENTOS!$AV19=""),"",AVERAGE(MACROMICROELEMENTOS!$AS19,MACROMICROELEMENTOS!$AT19,MACROMICROELEMENTOS!$AU19,MACROMICROELEMENTOS!$AV19))</f>
        <v/>
      </c>
      <c r="CE19" s="18">
        <v>1</v>
      </c>
      <c r="CF19" s="53" t="str">
        <f>IF(OR(MACROMICROELEMENTOS!$A19="",MACROMICROELEMENTOS!$B19="",MACROMICROELEMENTOS!$C19="",MACROMICROELEMENTOS!$D19="",MACROMICROELEMENTOS!$E19="",MACROMICROELEMENTOS!$M19="",MACROMICROELEMENTOS!$CD19="",MACROMICROELEMENTOS!$CE19=""),"",((MACROMICROELEMENTOS!$M19-MACROMICROELEMENTOS!$CD19)*MACROMICROELEMENTOS!$CE19*MACROMICROELEMENTOS!$D19*(1/MACROMICROELEMENTOS!$C19)*MACROMICROELEMENTOS!$E19))</f>
        <v/>
      </c>
      <c r="CG19" s="16" t="str">
        <f>IF(AND(MACROMICROELEMENTOS!$AW19="",MACROMICROELEMENTOS!$AX19="",MACROMICROELEMENTOS!$AY19="",MACROMICROELEMENTOS!$AZ19=""),"",AVERAGE(MACROMICROELEMENTOS!$AW19,MACROMICROELEMENTOS!$AX19,MACROMICROELEMENTOS!$AY19,MACROMICROELEMENTOS!$AZ19))</f>
        <v/>
      </c>
      <c r="CH19" s="18">
        <v>1</v>
      </c>
      <c r="CI19" s="53" t="str">
        <f>IF(OR(MACROMICROELEMENTOS!$A19="",MACROMICROELEMENTOS!$B19="",MACROMICROELEMENTOS!$C19="",MACROMICROELEMENTOS!$D19="",MACROMICROELEMENTOS!$E19="",MACROMICROELEMENTOS!$N19="",MACROMICROELEMENTOS!$CG19="",MACROMICROELEMENTOS!$CH19=""),"",((MACROMICROELEMENTOS!$N19-MACROMICROELEMENTOS!$CG19)*MACROMICROELEMENTOS!$CH19*MACROMICROELEMENTOS!$D19*(1/MACROMICROELEMENTOS!$C19)*MACROMICROELEMENTOS!$E19))</f>
        <v/>
      </c>
      <c r="CJ19" s="16" t="str">
        <f>IF(AND(MACROMICROELEMENTOS!$BA19="",MACROMICROELEMENTOS!$BB19="",MACROMICROELEMENTOS!$BC19="",MACROMICROELEMENTOS!$BD19=""),"",IF(O19&gt;5,0,AVERAGE(MACROMICROELEMENTOS!$BA19,MACROMICROELEMENTOS!$BB19,MACROMICROELEMENTOS!$BC19,MACROMICROELEMENTOS!$BD19)))</f>
        <v/>
      </c>
      <c r="CK19" s="18">
        <v>1</v>
      </c>
      <c r="CL19" s="53" t="str">
        <f>IF(OR(MACROMICROELEMENTOS!$A19="",MACROMICROELEMENTOS!$B19="",MACROMICROELEMENTOS!$C19="",MACROMICROELEMENTOS!$D19="",MACROMICROELEMENTOS!$E19="",MACROMICROELEMENTOS!$O19="",MACROMICROELEMENTOS!$CJ19="",MACROMICROELEMENTOS!$CK19=""),"",((MACROMICROELEMENTOS!$O19-MACROMICROELEMENTOS!$CJ19)*MACROMICROELEMENTOS!$CK19*MACROMICROELEMENTOS!$D19*(1/MACROMICROELEMENTOS!$C19)*MACROMICROELEMENTOS!$E19))</f>
        <v/>
      </c>
      <c r="CM19" s="16" t="str">
        <f>IF(AND(MACROMICROELEMENTOS!$BE19="",MACROMICROELEMENTOS!$BF19="",MACROMICROELEMENTOS!$BG19="",MACROMICROELEMENTOS!$BH19=""),"",AVERAGE(MACROMICROELEMENTOS!$BE19,MACROMICROELEMENTOS!$BF19,MACROMICROELEMENTOS!$BG19,MACROMICROELEMENTOS!$BH19))</f>
        <v/>
      </c>
      <c r="CN19" s="18">
        <v>1</v>
      </c>
      <c r="CO19" s="53" t="str">
        <f>IF(OR(MACROMICROELEMENTOS!$A19="",MACROMICROELEMENTOS!$B19="",MACROMICROELEMENTOS!$C19="",MACROMICROELEMENTOS!$D19="",MACROMICROELEMENTOS!$E19="",MACROMICROELEMENTOS!$P19="",MACROMICROELEMENTOS!$CM19="",MACROMICROELEMENTOS!$CN19=""),"",((MACROMICROELEMENTOS!$P19-MACROMICROELEMENTOS!$CM19)*MACROMICROELEMENTOS!$CN19*MACROMICROELEMENTOS!$D19*(1/MACROMICROELEMENTOS!$C19)*MACROMICROELEMENTOS!$E19))</f>
        <v/>
      </c>
    </row>
    <row r="20" spans="1:93" x14ac:dyDescent="0.25">
      <c r="A20" s="50"/>
      <c r="B20" s="51"/>
      <c r="C20" s="50"/>
      <c r="D20" s="18">
        <v>50</v>
      </c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6" t="str">
        <f>IF(AND(MACROMICROELEMENTOS!$U20="",MACROMICROELEMENTOS!$V20="",MACROMICROELEMENTOS!$W20="",MACROMICROELEMENTOS!$X20=""),"",AVERAGE(MACROMICROELEMENTOS!$U20,MACROMICROELEMENTOS!$V20,MACROMICROELEMENTOS!$W20,MACROMICROELEMENTOS!$X20))</f>
        <v/>
      </c>
      <c r="BJ20" s="18">
        <v>1</v>
      </c>
      <c r="BK20" s="53" t="str">
        <f>IF(OR(MACROMICROELEMENTOS!$A20="",MACROMICROELEMENTOS!$B20="",MACROMICROELEMENTOS!$C20="",MACROMICROELEMENTOS!$D20="",MACROMICROELEMENTOS!$E20="",MACROMICROELEMENTOS!$F20="",MACROMICROELEMENTOS!$BI20="",MACROMICROELEMENTOS!$BJ20=""),"",((MACROMICROELEMENTOS!$F20-MACROMICROELEMENTOS!$BI20)*MACROMICROELEMENTOS!$BJ20*MACROMICROELEMENTOS!$D20*(1/MACROMICROELEMENTOS!$C20)*MACROMICROELEMENTOS!$E20/1000))</f>
        <v/>
      </c>
      <c r="BL20" s="16" t="str">
        <f>IF(AND(MACROMICROELEMENTOS!$Y20="",MACROMICROELEMENTOS!$Z20="",MACROMICROELEMENTOS!$AA20="",MACROMICROELEMENTOS!$AB20=""),"",AVERAGE(MACROMICROELEMENTOS!$Y20,MACROMICROELEMENTOS!$Z20,MACROMICROELEMENTOS!$AA20,MACROMICROELEMENTOS!$AB20))</f>
        <v/>
      </c>
      <c r="BM20" s="18">
        <v>1</v>
      </c>
      <c r="BN20" s="53" t="str">
        <f>IF(OR(MACROMICROELEMENTOS!$A20="",MACROMICROELEMENTOS!$B20="",MACROMICROELEMENTOS!$C20="",MACROMICROELEMENTOS!$D20="",MACROMICROELEMENTOS!$E20="",MACROMICROELEMENTOS!$G20="",MACROMICROELEMENTOS!$BL20="",MACROMICROELEMENTOS!$BM20=""),"",((MACROMICROELEMENTOS!$G20-MACROMICROELEMENTOS!$BL20)*MACROMICROELEMENTOS!$BM20*MACROMICROELEMENTOS!$D20*(1/MACROMICROELEMENTOS!$C20)*MACROMICROELEMENTOS!$E20/1000))</f>
        <v/>
      </c>
      <c r="BO20" s="16" t="str">
        <f>IF(AND(MACROMICROELEMENTOS!$AC20="",MACROMICROELEMENTOS!$AD20="",MACROMICROELEMENTOS!$AE20="",MACROMICROELEMENTOS!$AF20=""),"",AVERAGE(MACROMICROELEMENTOS!$AC20,MACROMICROELEMENTOS!$AD20,MACROMICROELEMENTOS!$AE20,MACROMICROELEMENTOS!$AF20))</f>
        <v/>
      </c>
      <c r="BP20" s="18">
        <v>1</v>
      </c>
      <c r="BQ20" s="53" t="str">
        <f>IF(OR(MACROMICROELEMENTOS!$A20="",MACROMICROELEMENTOS!$B20="",MACROMICROELEMENTOS!$C20="",MACROMICROELEMENTOS!$D20="",MACROMICROELEMENTOS!$E20="",MACROMICROELEMENTOS!$H20="",MACROMICROELEMENTOS!$BO20="",MACROMICROELEMENTOS!$BP20=""),"",((MACROMICROELEMENTOS!$H20-MACROMICROELEMENTOS!$BO20)*MACROMICROELEMENTOS!$BP20*MACROMICROELEMENTOS!$D20*(1/MACROMICROELEMENTOS!$C20)*MACROMICROELEMENTOS!$E20/1000))</f>
        <v/>
      </c>
      <c r="BR20" s="16" t="str">
        <f>IF(AND(MACROMICROELEMENTOS!$Q20="",MACROMICROELEMENTOS!$R20="",MACROMICROELEMENTOS!$S20="",MACROMICROELEMENTOS!$T20=""),"",AVERAGE(MACROMICROELEMENTOS!$Q20,MACROMICROELEMENTOS!$R20,MACROMICROELEMENTOS!$S20,MACROMICROELEMENTOS!$T20))</f>
        <v/>
      </c>
      <c r="BS20" s="18">
        <v>1</v>
      </c>
      <c r="BT20" s="53" t="str">
        <f>IF(OR(MACROMICROELEMENTOS!$A20="",MACROMICROELEMENTOS!$B20="",MACROMICROELEMENTOS!$C20="",MACROMICROELEMENTOS!$D20="",MACROMICROELEMENTOS!$E20="",MACROMICROELEMENTOS!$I20="",MACROMICROELEMENTOS!$BR20="",MACROMICROELEMENTOS!$BS20=""),"",((MACROMICROELEMENTOS!$I20-MACROMICROELEMENTOS!$BR20)*MACROMICROELEMENTOS!$BS20*MACROMICROELEMENTOS!$D20*(1/MACROMICROELEMENTOS!$C20)*MACROMICROELEMENTOS!$E20))</f>
        <v/>
      </c>
      <c r="BU20" s="16" t="str">
        <f>IF(AND(MACROMICROELEMENTOS!$AG20="",MACROMICROELEMENTOS!$AH20="",MACROMICROELEMENTOS!$AI20="",MACROMICROELEMENTOS!$AJ20=""),"",AVERAGE(MACROMICROELEMENTOS!$AG20,MACROMICROELEMENTOS!$AH20,MACROMICROELEMENTOS!$AI20,MACROMICROELEMENTOS!$AJ20))</f>
        <v/>
      </c>
      <c r="BV20" s="18">
        <v>1</v>
      </c>
      <c r="BW20" s="53" t="str">
        <f>IF(OR(MACROMICROELEMENTOS!$A20="",MACROMICROELEMENTOS!$B20="",MACROMICROELEMENTOS!$C20="",MACROMICROELEMENTOS!$D20="",MACROMICROELEMENTOS!$E20="",MACROMICROELEMENTOS!$J20="",MACROMICROELEMENTOS!$BU20="",MACROMICROELEMENTOS!$BV20=""),"",((MACROMICROELEMENTOS!$J20-MACROMICROELEMENTOS!$BU20)*MACROMICROELEMENTOS!$BV20*MACROMICROELEMENTOS!$D20*(1/MACROMICROELEMENTOS!$C20)*MACROMICROELEMENTOS!$E20/1000))</f>
        <v/>
      </c>
      <c r="BX20" s="16" t="str">
        <f>IF(AND(MACROMICROELEMENTOS!$AK20="",MACROMICROELEMENTOS!$AL20="",MACROMICROELEMENTOS!$AM20="",MACROMICROELEMENTOS!$AN20=""),"",AVERAGE(MACROMICROELEMENTOS!$AK20,MACROMICROELEMENTOS!$AL20,MACROMICROELEMENTOS!$AM20,MACROMICROELEMENTOS!$AN20))</f>
        <v/>
      </c>
      <c r="BY20" s="18">
        <v>1</v>
      </c>
      <c r="BZ20" s="53" t="str">
        <f>IF(OR(MACROMICROELEMENTOS!$A20="",MACROMICROELEMENTOS!$B20="",MACROMICROELEMENTOS!$C20="",MACROMICROELEMENTOS!$D20="",MACROMICROELEMENTOS!$E20="",MACROMICROELEMENTOS!$K20="",MACROMICROELEMENTOS!$BX20="",MACROMICROELEMENTOS!$BY20=""),"",((MACROMICROELEMENTOS!$K20-MACROMICROELEMENTOS!$BX20)*MACROMICROELEMENTOS!$BY20*MACROMICROELEMENTOS!$D20*(1/MACROMICROELEMENTOS!$C20)*MACROMICROELEMENTOS!$E20/1000))</f>
        <v/>
      </c>
      <c r="CA20" s="16" t="str">
        <f>IF(AND(MACROMICROELEMENTOS!$AO20="",MACROMICROELEMENTOS!$AP20="",MACROMICROELEMENTOS!$AQ20="",MACROMICROELEMENTOS!$AR20=""),"",AVERAGE(MACROMICROELEMENTOS!$AO20,MACROMICROELEMENTOS!$AP20,MACROMICROELEMENTOS!$AQ20,MACROMICROELEMENTOS!$AR20))</f>
        <v/>
      </c>
      <c r="CB20" s="18">
        <v>1</v>
      </c>
      <c r="CC20" s="53" t="str">
        <f>IF(OR(MACROMICROELEMENTOS!$A20="",MACROMICROELEMENTOS!$B20="",MACROMICROELEMENTOS!$C20="",MACROMICROELEMENTOS!$D20="",MACROMICROELEMENTOS!$E20="",MACROMICROELEMENTOS!$L20="",MACROMICROELEMENTOS!$CA20="",MACROMICROELEMENTOS!$CB20=""),"",((MACROMICROELEMENTOS!$L20-MACROMICROELEMENTOS!$CA20)*MACROMICROELEMENTOS!$CB20*MACROMICROELEMENTOS!$D20*(1/MACROMICROELEMENTOS!$C20)*MACROMICROELEMENTOS!$E20))</f>
        <v/>
      </c>
      <c r="CD20" s="16" t="str">
        <f>IF(AND(MACROMICROELEMENTOS!$AS20="",MACROMICROELEMENTOS!$AT20="",MACROMICROELEMENTOS!$AU20="",MACROMICROELEMENTOS!$AV20=""),"",AVERAGE(MACROMICROELEMENTOS!$AS20,MACROMICROELEMENTOS!$AT20,MACROMICROELEMENTOS!$AU20,MACROMICROELEMENTOS!$AV20))</f>
        <v/>
      </c>
      <c r="CE20" s="18">
        <v>1</v>
      </c>
      <c r="CF20" s="53" t="str">
        <f>IF(OR(MACROMICROELEMENTOS!$A20="",MACROMICROELEMENTOS!$B20="",MACROMICROELEMENTOS!$C20="",MACROMICROELEMENTOS!$D20="",MACROMICROELEMENTOS!$E20="",MACROMICROELEMENTOS!$M20="",MACROMICROELEMENTOS!$CD20="",MACROMICROELEMENTOS!$CE20=""),"",((MACROMICROELEMENTOS!$M20-MACROMICROELEMENTOS!$CD20)*MACROMICROELEMENTOS!$CE20*MACROMICROELEMENTOS!$D20*(1/MACROMICROELEMENTOS!$C20)*MACROMICROELEMENTOS!$E20))</f>
        <v/>
      </c>
      <c r="CG20" s="16" t="str">
        <f>IF(AND(MACROMICROELEMENTOS!$AW20="",MACROMICROELEMENTOS!$AX20="",MACROMICROELEMENTOS!$AY20="",MACROMICROELEMENTOS!$AZ20=""),"",AVERAGE(MACROMICROELEMENTOS!$AW20,MACROMICROELEMENTOS!$AX20,MACROMICROELEMENTOS!$AY20,MACROMICROELEMENTOS!$AZ20))</f>
        <v/>
      </c>
      <c r="CH20" s="18">
        <v>1</v>
      </c>
      <c r="CI20" s="53" t="str">
        <f>IF(OR(MACROMICROELEMENTOS!$A20="",MACROMICROELEMENTOS!$B20="",MACROMICROELEMENTOS!$C20="",MACROMICROELEMENTOS!$D20="",MACROMICROELEMENTOS!$E20="",MACROMICROELEMENTOS!$N20="",MACROMICROELEMENTOS!$CG20="",MACROMICROELEMENTOS!$CH20=""),"",((MACROMICROELEMENTOS!$N20-MACROMICROELEMENTOS!$CG20)*MACROMICROELEMENTOS!$CH20*MACROMICROELEMENTOS!$D20*(1/MACROMICROELEMENTOS!$C20)*MACROMICROELEMENTOS!$E20))</f>
        <v/>
      </c>
      <c r="CJ20" s="16" t="str">
        <f>IF(AND(MACROMICROELEMENTOS!$BA20="",MACROMICROELEMENTOS!$BB20="",MACROMICROELEMENTOS!$BC20="",MACROMICROELEMENTOS!$BD20=""),"",IF(O20&gt;5,0,AVERAGE(MACROMICROELEMENTOS!$BA20,MACROMICROELEMENTOS!$BB20,MACROMICROELEMENTOS!$BC20,MACROMICROELEMENTOS!$BD20)))</f>
        <v/>
      </c>
      <c r="CK20" s="18">
        <v>1</v>
      </c>
      <c r="CL20" s="53" t="str">
        <f>IF(OR(MACROMICROELEMENTOS!$A20="",MACROMICROELEMENTOS!$B20="",MACROMICROELEMENTOS!$C20="",MACROMICROELEMENTOS!$D20="",MACROMICROELEMENTOS!$E20="",MACROMICROELEMENTOS!$O20="",MACROMICROELEMENTOS!$CJ20="",MACROMICROELEMENTOS!$CK20=""),"",((MACROMICROELEMENTOS!$O20-MACROMICROELEMENTOS!$CJ20)*MACROMICROELEMENTOS!$CK20*MACROMICROELEMENTOS!$D20*(1/MACROMICROELEMENTOS!$C20)*MACROMICROELEMENTOS!$E20))</f>
        <v/>
      </c>
      <c r="CM20" s="16" t="str">
        <f>IF(AND(MACROMICROELEMENTOS!$BE20="",MACROMICROELEMENTOS!$BF20="",MACROMICROELEMENTOS!$BG20="",MACROMICROELEMENTOS!$BH20=""),"",AVERAGE(MACROMICROELEMENTOS!$BE20,MACROMICROELEMENTOS!$BF20,MACROMICROELEMENTOS!$BG20,MACROMICROELEMENTOS!$BH20))</f>
        <v/>
      </c>
      <c r="CN20" s="18">
        <v>1</v>
      </c>
      <c r="CO20" s="53" t="str">
        <f>IF(OR(MACROMICROELEMENTOS!$A20="",MACROMICROELEMENTOS!$B20="",MACROMICROELEMENTOS!$C20="",MACROMICROELEMENTOS!$D20="",MACROMICROELEMENTOS!$E20="",MACROMICROELEMENTOS!$P20="",MACROMICROELEMENTOS!$CM20="",MACROMICROELEMENTOS!$CN20=""),"",((MACROMICROELEMENTOS!$P20-MACROMICROELEMENTOS!$CM20)*MACROMICROELEMENTOS!$CN20*MACROMICROELEMENTOS!$D20*(1/MACROMICROELEMENTOS!$C20)*MACROMICROELEMENTOS!$E20))</f>
        <v/>
      </c>
    </row>
    <row r="21" spans="1:93" x14ac:dyDescent="0.25">
      <c r="A21" s="50"/>
      <c r="B21" s="51"/>
      <c r="C21" s="50"/>
      <c r="D21" s="18">
        <v>50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6" t="str">
        <f>IF(AND(MACROMICROELEMENTOS!$U21="",MACROMICROELEMENTOS!$V21="",MACROMICROELEMENTOS!$W21="",MACROMICROELEMENTOS!$X21=""),"",AVERAGE(MACROMICROELEMENTOS!$U21,MACROMICROELEMENTOS!$V21,MACROMICROELEMENTOS!$W21,MACROMICROELEMENTOS!$X21))</f>
        <v/>
      </c>
      <c r="BJ21" s="18">
        <v>1</v>
      </c>
      <c r="BK21" s="53" t="str">
        <f>IF(OR(MACROMICROELEMENTOS!$A21="",MACROMICROELEMENTOS!$B21="",MACROMICROELEMENTOS!$C21="",MACROMICROELEMENTOS!$D21="",MACROMICROELEMENTOS!$E21="",MACROMICROELEMENTOS!$F21="",MACROMICROELEMENTOS!$BI21="",MACROMICROELEMENTOS!$BJ21=""),"",((MACROMICROELEMENTOS!$F21-MACROMICROELEMENTOS!$BI21)*MACROMICROELEMENTOS!$BJ21*MACROMICROELEMENTOS!$D21*(1/MACROMICROELEMENTOS!$C21)*MACROMICROELEMENTOS!$E21/1000))</f>
        <v/>
      </c>
      <c r="BL21" s="16" t="str">
        <f>IF(AND(MACROMICROELEMENTOS!$Y21="",MACROMICROELEMENTOS!$Z21="",MACROMICROELEMENTOS!$AA21="",MACROMICROELEMENTOS!$AB21=""),"",AVERAGE(MACROMICROELEMENTOS!$Y21,MACROMICROELEMENTOS!$Z21,MACROMICROELEMENTOS!$AA21,MACROMICROELEMENTOS!$AB21))</f>
        <v/>
      </c>
      <c r="BM21" s="18">
        <v>1</v>
      </c>
      <c r="BN21" s="53" t="str">
        <f>IF(OR(MACROMICROELEMENTOS!$A21="",MACROMICROELEMENTOS!$B21="",MACROMICROELEMENTOS!$C21="",MACROMICROELEMENTOS!$D21="",MACROMICROELEMENTOS!$E21="",MACROMICROELEMENTOS!$G21="",MACROMICROELEMENTOS!$BL21="",MACROMICROELEMENTOS!$BM21=""),"",((MACROMICROELEMENTOS!$G21-MACROMICROELEMENTOS!$BL21)*MACROMICROELEMENTOS!$BM21*MACROMICROELEMENTOS!$D21*(1/MACROMICROELEMENTOS!$C21)*MACROMICROELEMENTOS!$E21/1000))</f>
        <v/>
      </c>
      <c r="BO21" s="16" t="str">
        <f>IF(AND(MACROMICROELEMENTOS!$AC21="",MACROMICROELEMENTOS!$AD21="",MACROMICROELEMENTOS!$AE21="",MACROMICROELEMENTOS!$AF21=""),"",AVERAGE(MACROMICROELEMENTOS!$AC21,MACROMICROELEMENTOS!$AD21,MACROMICROELEMENTOS!$AE21,MACROMICROELEMENTOS!$AF21))</f>
        <v/>
      </c>
      <c r="BP21" s="18">
        <v>1</v>
      </c>
      <c r="BQ21" s="53" t="str">
        <f>IF(OR(MACROMICROELEMENTOS!$A21="",MACROMICROELEMENTOS!$B21="",MACROMICROELEMENTOS!$C21="",MACROMICROELEMENTOS!$D21="",MACROMICROELEMENTOS!$E21="",MACROMICROELEMENTOS!$H21="",MACROMICROELEMENTOS!$BO21="",MACROMICROELEMENTOS!$BP21=""),"",((MACROMICROELEMENTOS!$H21-MACROMICROELEMENTOS!$BO21)*MACROMICROELEMENTOS!$BP21*MACROMICROELEMENTOS!$D21*(1/MACROMICROELEMENTOS!$C21)*MACROMICROELEMENTOS!$E21/1000))</f>
        <v/>
      </c>
      <c r="BR21" s="16" t="str">
        <f>IF(AND(MACROMICROELEMENTOS!$Q21="",MACROMICROELEMENTOS!$R21="",MACROMICROELEMENTOS!$S21="",MACROMICROELEMENTOS!$T21=""),"",AVERAGE(MACROMICROELEMENTOS!$Q21,MACROMICROELEMENTOS!$R21,MACROMICROELEMENTOS!$S21,MACROMICROELEMENTOS!$T21))</f>
        <v/>
      </c>
      <c r="BS21" s="18">
        <v>1</v>
      </c>
      <c r="BT21" s="53" t="str">
        <f>IF(OR(MACROMICROELEMENTOS!$A21="",MACROMICROELEMENTOS!$B21="",MACROMICROELEMENTOS!$C21="",MACROMICROELEMENTOS!$D21="",MACROMICROELEMENTOS!$E21="",MACROMICROELEMENTOS!$I21="",MACROMICROELEMENTOS!$BR21="",MACROMICROELEMENTOS!$BS21=""),"",((MACROMICROELEMENTOS!$I21-MACROMICROELEMENTOS!$BR21)*MACROMICROELEMENTOS!$BS21*MACROMICROELEMENTOS!$D21*(1/MACROMICROELEMENTOS!$C21)*MACROMICROELEMENTOS!$E21))</f>
        <v/>
      </c>
      <c r="BU21" s="16" t="str">
        <f>IF(AND(MACROMICROELEMENTOS!$AG21="",MACROMICROELEMENTOS!$AH21="",MACROMICROELEMENTOS!$AI21="",MACROMICROELEMENTOS!$AJ21=""),"",AVERAGE(MACROMICROELEMENTOS!$AG21,MACROMICROELEMENTOS!$AH21,MACROMICROELEMENTOS!$AI21,MACROMICROELEMENTOS!$AJ21))</f>
        <v/>
      </c>
      <c r="BV21" s="18">
        <v>1</v>
      </c>
      <c r="BW21" s="53" t="str">
        <f>IF(OR(MACROMICROELEMENTOS!$A21="",MACROMICROELEMENTOS!$B21="",MACROMICROELEMENTOS!$C21="",MACROMICROELEMENTOS!$D21="",MACROMICROELEMENTOS!$E21="",MACROMICROELEMENTOS!$J21="",MACROMICROELEMENTOS!$BU21="",MACROMICROELEMENTOS!$BV21=""),"",((MACROMICROELEMENTOS!$J21-MACROMICROELEMENTOS!$BU21)*MACROMICROELEMENTOS!$BV21*MACROMICROELEMENTOS!$D21*(1/MACROMICROELEMENTOS!$C21)*MACROMICROELEMENTOS!$E21/1000))</f>
        <v/>
      </c>
      <c r="BX21" s="16" t="str">
        <f>IF(AND(MACROMICROELEMENTOS!$AK21="",MACROMICROELEMENTOS!$AL21="",MACROMICROELEMENTOS!$AM21="",MACROMICROELEMENTOS!$AN21=""),"",AVERAGE(MACROMICROELEMENTOS!$AK21,MACROMICROELEMENTOS!$AL21,MACROMICROELEMENTOS!$AM21,MACROMICROELEMENTOS!$AN21))</f>
        <v/>
      </c>
      <c r="BY21" s="18">
        <v>1</v>
      </c>
      <c r="BZ21" s="53" t="str">
        <f>IF(OR(MACROMICROELEMENTOS!$A21="",MACROMICROELEMENTOS!$B21="",MACROMICROELEMENTOS!$C21="",MACROMICROELEMENTOS!$D21="",MACROMICROELEMENTOS!$E21="",MACROMICROELEMENTOS!$K21="",MACROMICROELEMENTOS!$BX21="",MACROMICROELEMENTOS!$BY21=""),"",((MACROMICROELEMENTOS!$K21-MACROMICROELEMENTOS!$BX21)*MACROMICROELEMENTOS!$BY21*MACROMICROELEMENTOS!$D21*(1/MACROMICROELEMENTOS!$C21)*MACROMICROELEMENTOS!$E21/1000))</f>
        <v/>
      </c>
      <c r="CA21" s="16" t="str">
        <f>IF(AND(MACROMICROELEMENTOS!$AO21="",MACROMICROELEMENTOS!$AP21="",MACROMICROELEMENTOS!$AQ21="",MACROMICROELEMENTOS!$AR21=""),"",AVERAGE(MACROMICROELEMENTOS!$AO21,MACROMICROELEMENTOS!$AP21,MACROMICROELEMENTOS!$AQ21,MACROMICROELEMENTOS!$AR21))</f>
        <v/>
      </c>
      <c r="CB21" s="18">
        <v>1</v>
      </c>
      <c r="CC21" s="53" t="str">
        <f>IF(OR(MACROMICROELEMENTOS!$A21="",MACROMICROELEMENTOS!$B21="",MACROMICROELEMENTOS!$C21="",MACROMICROELEMENTOS!$D21="",MACROMICROELEMENTOS!$E21="",MACROMICROELEMENTOS!$L21="",MACROMICROELEMENTOS!$CA21="",MACROMICROELEMENTOS!$CB21=""),"",((MACROMICROELEMENTOS!$L21-MACROMICROELEMENTOS!$CA21)*MACROMICROELEMENTOS!$CB21*MACROMICROELEMENTOS!$D21*(1/MACROMICROELEMENTOS!$C21)*MACROMICROELEMENTOS!$E21))</f>
        <v/>
      </c>
      <c r="CD21" s="16" t="str">
        <f>IF(AND(MACROMICROELEMENTOS!$AS21="",MACROMICROELEMENTOS!$AT21="",MACROMICROELEMENTOS!$AU21="",MACROMICROELEMENTOS!$AV21=""),"",AVERAGE(MACROMICROELEMENTOS!$AS21,MACROMICROELEMENTOS!$AT21,MACROMICROELEMENTOS!$AU21,MACROMICROELEMENTOS!$AV21))</f>
        <v/>
      </c>
      <c r="CE21" s="18">
        <v>1</v>
      </c>
      <c r="CF21" s="53" t="str">
        <f>IF(OR(MACROMICROELEMENTOS!$A21="",MACROMICROELEMENTOS!$B21="",MACROMICROELEMENTOS!$C21="",MACROMICROELEMENTOS!$D21="",MACROMICROELEMENTOS!$E21="",MACROMICROELEMENTOS!$M21="",MACROMICROELEMENTOS!$CD21="",MACROMICROELEMENTOS!$CE21=""),"",((MACROMICROELEMENTOS!$M21-MACROMICROELEMENTOS!$CD21)*MACROMICROELEMENTOS!$CE21*MACROMICROELEMENTOS!$D21*(1/MACROMICROELEMENTOS!$C21)*MACROMICROELEMENTOS!$E21))</f>
        <v/>
      </c>
      <c r="CG21" s="16" t="str">
        <f>IF(AND(MACROMICROELEMENTOS!$AW21="",MACROMICROELEMENTOS!$AX21="",MACROMICROELEMENTOS!$AY21="",MACROMICROELEMENTOS!$AZ21=""),"",AVERAGE(MACROMICROELEMENTOS!$AW21,MACROMICROELEMENTOS!$AX21,MACROMICROELEMENTOS!$AY21,MACROMICROELEMENTOS!$AZ21))</f>
        <v/>
      </c>
      <c r="CH21" s="18">
        <v>1</v>
      </c>
      <c r="CI21" s="53" t="str">
        <f>IF(OR(MACROMICROELEMENTOS!$A21="",MACROMICROELEMENTOS!$B21="",MACROMICROELEMENTOS!$C21="",MACROMICROELEMENTOS!$D21="",MACROMICROELEMENTOS!$E21="",MACROMICROELEMENTOS!$N21="",MACROMICROELEMENTOS!$CG21="",MACROMICROELEMENTOS!$CH21=""),"",((MACROMICROELEMENTOS!$N21-MACROMICROELEMENTOS!$CG21)*MACROMICROELEMENTOS!$CH21*MACROMICROELEMENTOS!$D21*(1/MACROMICROELEMENTOS!$C21)*MACROMICROELEMENTOS!$E21))</f>
        <v/>
      </c>
      <c r="CJ21" s="16" t="str">
        <f>IF(AND(MACROMICROELEMENTOS!$BA21="",MACROMICROELEMENTOS!$BB21="",MACROMICROELEMENTOS!$BC21="",MACROMICROELEMENTOS!$BD21=""),"",IF(O21&gt;5,0,AVERAGE(MACROMICROELEMENTOS!$BA21,MACROMICROELEMENTOS!$BB21,MACROMICROELEMENTOS!$BC21,MACROMICROELEMENTOS!$BD21)))</f>
        <v/>
      </c>
      <c r="CK21" s="18">
        <v>1</v>
      </c>
      <c r="CL21" s="53" t="str">
        <f>IF(OR(MACROMICROELEMENTOS!$A21="",MACROMICROELEMENTOS!$B21="",MACROMICROELEMENTOS!$C21="",MACROMICROELEMENTOS!$D21="",MACROMICROELEMENTOS!$E21="",MACROMICROELEMENTOS!$O21="",MACROMICROELEMENTOS!$CJ21="",MACROMICROELEMENTOS!$CK21=""),"",((MACROMICROELEMENTOS!$O21-MACROMICROELEMENTOS!$CJ21)*MACROMICROELEMENTOS!$CK21*MACROMICROELEMENTOS!$D21*(1/MACROMICROELEMENTOS!$C21)*MACROMICROELEMENTOS!$E21))</f>
        <v/>
      </c>
      <c r="CM21" s="16" t="str">
        <f>IF(AND(MACROMICROELEMENTOS!$BE21="",MACROMICROELEMENTOS!$BF21="",MACROMICROELEMENTOS!$BG21="",MACROMICROELEMENTOS!$BH21=""),"",AVERAGE(MACROMICROELEMENTOS!$BE21,MACROMICROELEMENTOS!$BF21,MACROMICROELEMENTOS!$BG21,MACROMICROELEMENTOS!$BH21))</f>
        <v/>
      </c>
      <c r="CN21" s="18">
        <v>1</v>
      </c>
      <c r="CO21" s="53" t="str">
        <f>IF(OR(MACROMICROELEMENTOS!$A21="",MACROMICROELEMENTOS!$B21="",MACROMICROELEMENTOS!$C21="",MACROMICROELEMENTOS!$D21="",MACROMICROELEMENTOS!$E21="",MACROMICROELEMENTOS!$P21="",MACROMICROELEMENTOS!$CM21="",MACROMICROELEMENTOS!$CN21=""),"",((MACROMICROELEMENTOS!$P21-MACROMICROELEMENTOS!$CM21)*MACROMICROELEMENTOS!$CN21*MACROMICROELEMENTOS!$D21*(1/MACROMICROELEMENTOS!$C21)*MACROMICROELEMENTOS!$E21))</f>
        <v/>
      </c>
    </row>
    <row r="22" spans="1:93" x14ac:dyDescent="0.25">
      <c r="A22" s="50"/>
      <c r="B22" s="51"/>
      <c r="C22" s="50"/>
      <c r="D22" s="18">
        <v>50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6" t="str">
        <f>IF(AND(MACROMICROELEMENTOS!$U22="",MACROMICROELEMENTOS!$V22="",MACROMICROELEMENTOS!$W22="",MACROMICROELEMENTOS!$X22=""),"",AVERAGE(MACROMICROELEMENTOS!$U22,MACROMICROELEMENTOS!$V22,MACROMICROELEMENTOS!$W22,MACROMICROELEMENTOS!$X22))</f>
        <v/>
      </c>
      <c r="BJ22" s="18">
        <v>1</v>
      </c>
      <c r="BK22" s="53" t="str">
        <f>IF(OR(MACROMICROELEMENTOS!$A22="",MACROMICROELEMENTOS!$B22="",MACROMICROELEMENTOS!$C22="",MACROMICROELEMENTOS!$D22="",MACROMICROELEMENTOS!$E22="",MACROMICROELEMENTOS!$F22="",MACROMICROELEMENTOS!$BI22="",MACROMICROELEMENTOS!$BJ22=""),"",((MACROMICROELEMENTOS!$F22-MACROMICROELEMENTOS!$BI22)*MACROMICROELEMENTOS!$BJ22*MACROMICROELEMENTOS!$D22*(1/MACROMICROELEMENTOS!$C22)*MACROMICROELEMENTOS!$E22/1000))</f>
        <v/>
      </c>
      <c r="BL22" s="16" t="str">
        <f>IF(AND(MACROMICROELEMENTOS!$Y22="",MACROMICROELEMENTOS!$Z22="",MACROMICROELEMENTOS!$AA22="",MACROMICROELEMENTOS!$AB22=""),"",AVERAGE(MACROMICROELEMENTOS!$Y22,MACROMICROELEMENTOS!$Z22,MACROMICROELEMENTOS!$AA22,MACROMICROELEMENTOS!$AB22))</f>
        <v/>
      </c>
      <c r="BM22" s="18">
        <v>1</v>
      </c>
      <c r="BN22" s="53" t="str">
        <f>IF(OR(MACROMICROELEMENTOS!$A22="",MACROMICROELEMENTOS!$B22="",MACROMICROELEMENTOS!$C22="",MACROMICROELEMENTOS!$D22="",MACROMICROELEMENTOS!$E22="",MACROMICROELEMENTOS!$G22="",MACROMICROELEMENTOS!$BL22="",MACROMICROELEMENTOS!$BM22=""),"",((MACROMICROELEMENTOS!$G22-MACROMICROELEMENTOS!$BL22)*MACROMICROELEMENTOS!$BM22*MACROMICROELEMENTOS!$D22*(1/MACROMICROELEMENTOS!$C22)*MACROMICROELEMENTOS!$E22/1000))</f>
        <v/>
      </c>
      <c r="BO22" s="16" t="str">
        <f>IF(AND(MACROMICROELEMENTOS!$AC22="",MACROMICROELEMENTOS!$AD22="",MACROMICROELEMENTOS!$AE22="",MACROMICROELEMENTOS!$AF22=""),"",AVERAGE(MACROMICROELEMENTOS!$AC22,MACROMICROELEMENTOS!$AD22,MACROMICROELEMENTOS!$AE22,MACROMICROELEMENTOS!$AF22))</f>
        <v/>
      </c>
      <c r="BP22" s="18">
        <v>1</v>
      </c>
      <c r="BQ22" s="53" t="str">
        <f>IF(OR(MACROMICROELEMENTOS!$A22="",MACROMICROELEMENTOS!$B22="",MACROMICROELEMENTOS!$C22="",MACROMICROELEMENTOS!$D22="",MACROMICROELEMENTOS!$E22="",MACROMICROELEMENTOS!$H22="",MACROMICROELEMENTOS!$BO22="",MACROMICROELEMENTOS!$BP22=""),"",((MACROMICROELEMENTOS!$H22-MACROMICROELEMENTOS!$BO22)*MACROMICROELEMENTOS!$BP22*MACROMICROELEMENTOS!$D22*(1/MACROMICROELEMENTOS!$C22)*MACROMICROELEMENTOS!$E22/1000))</f>
        <v/>
      </c>
      <c r="BR22" s="16" t="str">
        <f>IF(AND(MACROMICROELEMENTOS!$Q22="",MACROMICROELEMENTOS!$R22="",MACROMICROELEMENTOS!$S22="",MACROMICROELEMENTOS!$T22=""),"",AVERAGE(MACROMICROELEMENTOS!$Q22,MACROMICROELEMENTOS!$R22,MACROMICROELEMENTOS!$S22,MACROMICROELEMENTOS!$T22))</f>
        <v/>
      </c>
      <c r="BS22" s="18">
        <v>1</v>
      </c>
      <c r="BT22" s="53" t="str">
        <f>IF(OR(MACROMICROELEMENTOS!$A22="",MACROMICROELEMENTOS!$B22="",MACROMICROELEMENTOS!$C22="",MACROMICROELEMENTOS!$D22="",MACROMICROELEMENTOS!$E22="",MACROMICROELEMENTOS!$I22="",MACROMICROELEMENTOS!$BR22="",MACROMICROELEMENTOS!$BS22=""),"",((MACROMICROELEMENTOS!$I22-MACROMICROELEMENTOS!$BR22)*MACROMICROELEMENTOS!$BS22*MACROMICROELEMENTOS!$D22*(1/MACROMICROELEMENTOS!$C22)*MACROMICROELEMENTOS!$E22))</f>
        <v/>
      </c>
      <c r="BU22" s="16" t="str">
        <f>IF(AND(MACROMICROELEMENTOS!$AG22="",MACROMICROELEMENTOS!$AH22="",MACROMICROELEMENTOS!$AI22="",MACROMICROELEMENTOS!$AJ22=""),"",AVERAGE(MACROMICROELEMENTOS!$AG22,MACROMICROELEMENTOS!$AH22,MACROMICROELEMENTOS!$AI22,MACROMICROELEMENTOS!$AJ22))</f>
        <v/>
      </c>
      <c r="BV22" s="18">
        <v>1</v>
      </c>
      <c r="BW22" s="53" t="str">
        <f>IF(OR(MACROMICROELEMENTOS!$A22="",MACROMICROELEMENTOS!$B22="",MACROMICROELEMENTOS!$C22="",MACROMICROELEMENTOS!$D22="",MACROMICROELEMENTOS!$E22="",MACROMICROELEMENTOS!$J22="",MACROMICROELEMENTOS!$BU22="",MACROMICROELEMENTOS!$BV22=""),"",((MACROMICROELEMENTOS!$J22-MACROMICROELEMENTOS!$BU22)*MACROMICROELEMENTOS!$BV22*MACROMICROELEMENTOS!$D22*(1/MACROMICROELEMENTOS!$C22)*MACROMICROELEMENTOS!$E22/1000))</f>
        <v/>
      </c>
      <c r="BX22" s="16" t="str">
        <f>IF(AND(MACROMICROELEMENTOS!$AK22="",MACROMICROELEMENTOS!$AL22="",MACROMICROELEMENTOS!$AM22="",MACROMICROELEMENTOS!$AN22=""),"",AVERAGE(MACROMICROELEMENTOS!$AK22,MACROMICROELEMENTOS!$AL22,MACROMICROELEMENTOS!$AM22,MACROMICROELEMENTOS!$AN22))</f>
        <v/>
      </c>
      <c r="BY22" s="18">
        <v>1</v>
      </c>
      <c r="BZ22" s="53" t="str">
        <f>IF(OR(MACROMICROELEMENTOS!$A22="",MACROMICROELEMENTOS!$B22="",MACROMICROELEMENTOS!$C22="",MACROMICROELEMENTOS!$D22="",MACROMICROELEMENTOS!$E22="",MACROMICROELEMENTOS!$K22="",MACROMICROELEMENTOS!$BX22="",MACROMICROELEMENTOS!$BY22=""),"",((MACROMICROELEMENTOS!$K22-MACROMICROELEMENTOS!$BX22)*MACROMICROELEMENTOS!$BY22*MACROMICROELEMENTOS!$D22*(1/MACROMICROELEMENTOS!$C22)*MACROMICROELEMENTOS!$E22/1000))</f>
        <v/>
      </c>
      <c r="CA22" s="16" t="str">
        <f>IF(AND(MACROMICROELEMENTOS!$AO22="",MACROMICROELEMENTOS!$AP22="",MACROMICROELEMENTOS!$AQ22="",MACROMICROELEMENTOS!$AR22=""),"",AVERAGE(MACROMICROELEMENTOS!$AO22,MACROMICROELEMENTOS!$AP22,MACROMICROELEMENTOS!$AQ22,MACROMICROELEMENTOS!$AR22))</f>
        <v/>
      </c>
      <c r="CB22" s="18">
        <v>1</v>
      </c>
      <c r="CC22" s="53" t="str">
        <f>IF(OR(MACROMICROELEMENTOS!$A22="",MACROMICROELEMENTOS!$B22="",MACROMICROELEMENTOS!$C22="",MACROMICROELEMENTOS!$D22="",MACROMICROELEMENTOS!$E22="",MACROMICROELEMENTOS!$L22="",MACROMICROELEMENTOS!$CA22="",MACROMICROELEMENTOS!$CB22=""),"",((MACROMICROELEMENTOS!$L22-MACROMICROELEMENTOS!$CA22)*MACROMICROELEMENTOS!$CB22*MACROMICROELEMENTOS!$D22*(1/MACROMICROELEMENTOS!$C22)*MACROMICROELEMENTOS!$E22))</f>
        <v/>
      </c>
      <c r="CD22" s="16" t="str">
        <f>IF(AND(MACROMICROELEMENTOS!$AS22="",MACROMICROELEMENTOS!$AT22="",MACROMICROELEMENTOS!$AU22="",MACROMICROELEMENTOS!$AV22=""),"",AVERAGE(MACROMICROELEMENTOS!$AS22,MACROMICROELEMENTOS!$AT22,MACROMICROELEMENTOS!$AU22,MACROMICROELEMENTOS!$AV22))</f>
        <v/>
      </c>
      <c r="CE22" s="18">
        <v>1</v>
      </c>
      <c r="CF22" s="53" t="str">
        <f>IF(OR(MACROMICROELEMENTOS!$A22="",MACROMICROELEMENTOS!$B22="",MACROMICROELEMENTOS!$C22="",MACROMICROELEMENTOS!$D22="",MACROMICROELEMENTOS!$E22="",MACROMICROELEMENTOS!$M22="",MACROMICROELEMENTOS!$CD22="",MACROMICROELEMENTOS!$CE22=""),"",((MACROMICROELEMENTOS!$M22-MACROMICROELEMENTOS!$CD22)*MACROMICROELEMENTOS!$CE22*MACROMICROELEMENTOS!$D22*(1/MACROMICROELEMENTOS!$C22)*MACROMICROELEMENTOS!$E22))</f>
        <v/>
      </c>
      <c r="CG22" s="16" t="str">
        <f>IF(AND(MACROMICROELEMENTOS!$AW22="",MACROMICROELEMENTOS!$AX22="",MACROMICROELEMENTOS!$AY22="",MACROMICROELEMENTOS!$AZ22=""),"",AVERAGE(MACROMICROELEMENTOS!$AW22,MACROMICROELEMENTOS!$AX22,MACROMICROELEMENTOS!$AY22,MACROMICROELEMENTOS!$AZ22))</f>
        <v/>
      </c>
      <c r="CH22" s="18">
        <v>1</v>
      </c>
      <c r="CI22" s="53" t="str">
        <f>IF(OR(MACROMICROELEMENTOS!$A22="",MACROMICROELEMENTOS!$B22="",MACROMICROELEMENTOS!$C22="",MACROMICROELEMENTOS!$D22="",MACROMICROELEMENTOS!$E22="",MACROMICROELEMENTOS!$N22="",MACROMICROELEMENTOS!$CG22="",MACROMICROELEMENTOS!$CH22=""),"",((MACROMICROELEMENTOS!$N22-MACROMICROELEMENTOS!$CG22)*MACROMICROELEMENTOS!$CH22*MACROMICROELEMENTOS!$D22*(1/MACROMICROELEMENTOS!$C22)*MACROMICROELEMENTOS!$E22))</f>
        <v/>
      </c>
      <c r="CJ22" s="16" t="str">
        <f>IF(AND(MACROMICROELEMENTOS!$BA22="",MACROMICROELEMENTOS!$BB22="",MACROMICROELEMENTOS!$BC22="",MACROMICROELEMENTOS!$BD22=""),"",IF(O22&gt;5,0,AVERAGE(MACROMICROELEMENTOS!$BA22,MACROMICROELEMENTOS!$BB22,MACROMICROELEMENTOS!$BC22,MACROMICROELEMENTOS!$BD22)))</f>
        <v/>
      </c>
      <c r="CK22" s="18">
        <v>1</v>
      </c>
      <c r="CL22" s="53" t="str">
        <f>IF(OR(MACROMICROELEMENTOS!$A22="",MACROMICROELEMENTOS!$B22="",MACROMICROELEMENTOS!$C22="",MACROMICROELEMENTOS!$D22="",MACROMICROELEMENTOS!$E22="",MACROMICROELEMENTOS!$O22="",MACROMICROELEMENTOS!$CJ22="",MACROMICROELEMENTOS!$CK22=""),"",((MACROMICROELEMENTOS!$O22-MACROMICROELEMENTOS!$CJ22)*MACROMICROELEMENTOS!$CK22*MACROMICROELEMENTOS!$D22*(1/MACROMICROELEMENTOS!$C22)*MACROMICROELEMENTOS!$E22))</f>
        <v/>
      </c>
      <c r="CM22" s="16" t="str">
        <f>IF(AND(MACROMICROELEMENTOS!$BE22="",MACROMICROELEMENTOS!$BF22="",MACROMICROELEMENTOS!$BG22="",MACROMICROELEMENTOS!$BH22=""),"",AVERAGE(MACROMICROELEMENTOS!$BE22,MACROMICROELEMENTOS!$BF22,MACROMICROELEMENTOS!$BG22,MACROMICROELEMENTOS!$BH22))</f>
        <v/>
      </c>
      <c r="CN22" s="18">
        <v>1</v>
      </c>
      <c r="CO22" s="53" t="str">
        <f>IF(OR(MACROMICROELEMENTOS!$A22="",MACROMICROELEMENTOS!$B22="",MACROMICROELEMENTOS!$C22="",MACROMICROELEMENTOS!$D22="",MACROMICROELEMENTOS!$E22="",MACROMICROELEMENTOS!$P22="",MACROMICROELEMENTOS!$CM22="",MACROMICROELEMENTOS!$CN22=""),"",((MACROMICROELEMENTOS!$P22-MACROMICROELEMENTOS!$CM22)*MACROMICROELEMENTOS!$CN22*MACROMICROELEMENTOS!$D22*(1/MACROMICROELEMENTOS!$C22)*MACROMICROELEMENTOS!$E22))</f>
        <v/>
      </c>
    </row>
    <row r="23" spans="1:93" x14ac:dyDescent="0.25">
      <c r="A23" s="50"/>
      <c r="B23" s="51"/>
      <c r="C23" s="50"/>
      <c r="D23" s="18">
        <v>50</v>
      </c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6" t="str">
        <f>IF(AND(MACROMICROELEMENTOS!$U23="",MACROMICROELEMENTOS!$V23="",MACROMICROELEMENTOS!$W23="",MACROMICROELEMENTOS!$X23=""),"",AVERAGE(MACROMICROELEMENTOS!$U23,MACROMICROELEMENTOS!$V23,MACROMICROELEMENTOS!$W23,MACROMICROELEMENTOS!$X23))</f>
        <v/>
      </c>
      <c r="BJ23" s="18">
        <v>1</v>
      </c>
      <c r="BK23" s="53" t="str">
        <f>IF(OR(MACROMICROELEMENTOS!$A23="",MACROMICROELEMENTOS!$B23="",MACROMICROELEMENTOS!$C23="",MACROMICROELEMENTOS!$D23="",MACROMICROELEMENTOS!$E23="",MACROMICROELEMENTOS!$F23="",MACROMICROELEMENTOS!$BI23="",MACROMICROELEMENTOS!$BJ23=""),"",((MACROMICROELEMENTOS!$F23-MACROMICROELEMENTOS!$BI23)*MACROMICROELEMENTOS!$BJ23*MACROMICROELEMENTOS!$D23*(1/MACROMICROELEMENTOS!$C23)*MACROMICROELEMENTOS!$E23/1000))</f>
        <v/>
      </c>
      <c r="BL23" s="16" t="str">
        <f>IF(AND(MACROMICROELEMENTOS!$Y23="",MACROMICROELEMENTOS!$Z23="",MACROMICROELEMENTOS!$AA23="",MACROMICROELEMENTOS!$AB23=""),"",AVERAGE(MACROMICROELEMENTOS!$Y23,MACROMICROELEMENTOS!$Z23,MACROMICROELEMENTOS!$AA23,MACROMICROELEMENTOS!$AB23))</f>
        <v/>
      </c>
      <c r="BM23" s="18">
        <v>1</v>
      </c>
      <c r="BN23" s="53" t="str">
        <f>IF(OR(MACROMICROELEMENTOS!$A23="",MACROMICROELEMENTOS!$B23="",MACROMICROELEMENTOS!$C23="",MACROMICROELEMENTOS!$D23="",MACROMICROELEMENTOS!$E23="",MACROMICROELEMENTOS!$G23="",MACROMICROELEMENTOS!$BL23="",MACROMICROELEMENTOS!$BM23=""),"",((MACROMICROELEMENTOS!$G23-MACROMICROELEMENTOS!$BL23)*MACROMICROELEMENTOS!$BM23*MACROMICROELEMENTOS!$D23*(1/MACROMICROELEMENTOS!$C23)*MACROMICROELEMENTOS!$E23/1000))</f>
        <v/>
      </c>
      <c r="BO23" s="16" t="str">
        <f>IF(AND(MACROMICROELEMENTOS!$AC23="",MACROMICROELEMENTOS!$AD23="",MACROMICROELEMENTOS!$AE23="",MACROMICROELEMENTOS!$AF23=""),"",AVERAGE(MACROMICROELEMENTOS!$AC23,MACROMICROELEMENTOS!$AD23,MACROMICROELEMENTOS!$AE23,MACROMICROELEMENTOS!$AF23))</f>
        <v/>
      </c>
      <c r="BP23" s="18">
        <v>1</v>
      </c>
      <c r="BQ23" s="53" t="str">
        <f>IF(OR(MACROMICROELEMENTOS!$A23="",MACROMICROELEMENTOS!$B23="",MACROMICROELEMENTOS!$C23="",MACROMICROELEMENTOS!$D23="",MACROMICROELEMENTOS!$E23="",MACROMICROELEMENTOS!$H23="",MACROMICROELEMENTOS!$BO23="",MACROMICROELEMENTOS!$BP23=""),"",((MACROMICROELEMENTOS!$H23-MACROMICROELEMENTOS!$BO23)*MACROMICROELEMENTOS!$BP23*MACROMICROELEMENTOS!$D23*(1/MACROMICROELEMENTOS!$C23)*MACROMICROELEMENTOS!$E23/1000))</f>
        <v/>
      </c>
      <c r="BR23" s="16" t="str">
        <f>IF(AND(MACROMICROELEMENTOS!$Q23="",MACROMICROELEMENTOS!$R23="",MACROMICROELEMENTOS!$S23="",MACROMICROELEMENTOS!$T23=""),"",AVERAGE(MACROMICROELEMENTOS!$Q23,MACROMICROELEMENTOS!$R23,MACROMICROELEMENTOS!$S23,MACROMICROELEMENTOS!$T23))</f>
        <v/>
      </c>
      <c r="BS23" s="18">
        <v>1</v>
      </c>
      <c r="BT23" s="53" t="str">
        <f>IF(OR(MACROMICROELEMENTOS!$A23="",MACROMICROELEMENTOS!$B23="",MACROMICROELEMENTOS!$C23="",MACROMICROELEMENTOS!$D23="",MACROMICROELEMENTOS!$E23="",MACROMICROELEMENTOS!$I23="",MACROMICROELEMENTOS!$BR23="",MACROMICROELEMENTOS!$BS23=""),"",((MACROMICROELEMENTOS!$I23-MACROMICROELEMENTOS!$BR23)*MACROMICROELEMENTOS!$BS23*MACROMICROELEMENTOS!$D23*(1/MACROMICROELEMENTOS!$C23)*MACROMICROELEMENTOS!$E23))</f>
        <v/>
      </c>
      <c r="BU23" s="16" t="str">
        <f>IF(AND(MACROMICROELEMENTOS!$AG23="",MACROMICROELEMENTOS!$AH23="",MACROMICROELEMENTOS!$AI23="",MACROMICROELEMENTOS!$AJ23=""),"",AVERAGE(MACROMICROELEMENTOS!$AG23,MACROMICROELEMENTOS!$AH23,MACROMICROELEMENTOS!$AI23,MACROMICROELEMENTOS!$AJ23))</f>
        <v/>
      </c>
      <c r="BV23" s="18">
        <v>1</v>
      </c>
      <c r="BW23" s="53" t="str">
        <f>IF(OR(MACROMICROELEMENTOS!$A23="",MACROMICROELEMENTOS!$B23="",MACROMICROELEMENTOS!$C23="",MACROMICROELEMENTOS!$D23="",MACROMICROELEMENTOS!$E23="",MACROMICROELEMENTOS!$J23="",MACROMICROELEMENTOS!$BU23="",MACROMICROELEMENTOS!$BV23=""),"",((MACROMICROELEMENTOS!$J23-MACROMICROELEMENTOS!$BU23)*MACROMICROELEMENTOS!$BV23*MACROMICROELEMENTOS!$D23*(1/MACROMICROELEMENTOS!$C23)*MACROMICROELEMENTOS!$E23/1000))</f>
        <v/>
      </c>
      <c r="BX23" s="16" t="str">
        <f>IF(AND(MACROMICROELEMENTOS!$AK23="",MACROMICROELEMENTOS!$AL23="",MACROMICROELEMENTOS!$AM23="",MACROMICROELEMENTOS!$AN23=""),"",AVERAGE(MACROMICROELEMENTOS!$AK23,MACROMICROELEMENTOS!$AL23,MACROMICROELEMENTOS!$AM23,MACROMICROELEMENTOS!$AN23))</f>
        <v/>
      </c>
      <c r="BY23" s="18">
        <v>1</v>
      </c>
      <c r="BZ23" s="53" t="str">
        <f>IF(OR(MACROMICROELEMENTOS!$A23="",MACROMICROELEMENTOS!$B23="",MACROMICROELEMENTOS!$C23="",MACROMICROELEMENTOS!$D23="",MACROMICROELEMENTOS!$E23="",MACROMICROELEMENTOS!$K23="",MACROMICROELEMENTOS!$BX23="",MACROMICROELEMENTOS!$BY23=""),"",((MACROMICROELEMENTOS!$K23-MACROMICROELEMENTOS!$BX23)*MACROMICROELEMENTOS!$BY23*MACROMICROELEMENTOS!$D23*(1/MACROMICROELEMENTOS!$C23)*MACROMICROELEMENTOS!$E23/1000))</f>
        <v/>
      </c>
      <c r="CA23" s="16" t="str">
        <f>IF(AND(MACROMICROELEMENTOS!$AO23="",MACROMICROELEMENTOS!$AP23="",MACROMICROELEMENTOS!$AQ23="",MACROMICROELEMENTOS!$AR23=""),"",AVERAGE(MACROMICROELEMENTOS!$AO23,MACROMICROELEMENTOS!$AP23,MACROMICROELEMENTOS!$AQ23,MACROMICROELEMENTOS!$AR23))</f>
        <v/>
      </c>
      <c r="CB23" s="18">
        <v>1</v>
      </c>
      <c r="CC23" s="53" t="str">
        <f>IF(OR(MACROMICROELEMENTOS!$A23="",MACROMICROELEMENTOS!$B23="",MACROMICROELEMENTOS!$C23="",MACROMICROELEMENTOS!$D23="",MACROMICROELEMENTOS!$E23="",MACROMICROELEMENTOS!$L23="",MACROMICROELEMENTOS!$CA23="",MACROMICROELEMENTOS!$CB23=""),"",((MACROMICROELEMENTOS!$L23-MACROMICROELEMENTOS!$CA23)*MACROMICROELEMENTOS!$CB23*MACROMICROELEMENTOS!$D23*(1/MACROMICROELEMENTOS!$C23)*MACROMICROELEMENTOS!$E23))</f>
        <v/>
      </c>
      <c r="CD23" s="16" t="str">
        <f>IF(AND(MACROMICROELEMENTOS!$AS23="",MACROMICROELEMENTOS!$AT23="",MACROMICROELEMENTOS!$AU23="",MACROMICROELEMENTOS!$AV23=""),"",AVERAGE(MACROMICROELEMENTOS!$AS23,MACROMICROELEMENTOS!$AT23,MACROMICROELEMENTOS!$AU23,MACROMICROELEMENTOS!$AV23))</f>
        <v/>
      </c>
      <c r="CE23" s="18">
        <v>1</v>
      </c>
      <c r="CF23" s="53" t="str">
        <f>IF(OR(MACROMICROELEMENTOS!$A23="",MACROMICROELEMENTOS!$B23="",MACROMICROELEMENTOS!$C23="",MACROMICROELEMENTOS!$D23="",MACROMICROELEMENTOS!$E23="",MACROMICROELEMENTOS!$M23="",MACROMICROELEMENTOS!$CD23="",MACROMICROELEMENTOS!$CE23=""),"",((MACROMICROELEMENTOS!$M23-MACROMICROELEMENTOS!$CD23)*MACROMICROELEMENTOS!$CE23*MACROMICROELEMENTOS!$D23*(1/MACROMICROELEMENTOS!$C23)*MACROMICROELEMENTOS!$E23))</f>
        <v/>
      </c>
      <c r="CG23" s="16" t="str">
        <f>IF(AND(MACROMICROELEMENTOS!$AW23="",MACROMICROELEMENTOS!$AX23="",MACROMICROELEMENTOS!$AY23="",MACROMICROELEMENTOS!$AZ23=""),"",AVERAGE(MACROMICROELEMENTOS!$AW23,MACROMICROELEMENTOS!$AX23,MACROMICROELEMENTOS!$AY23,MACROMICROELEMENTOS!$AZ23))</f>
        <v/>
      </c>
      <c r="CH23" s="18">
        <v>1</v>
      </c>
      <c r="CI23" s="53" t="str">
        <f>IF(OR(MACROMICROELEMENTOS!$A23="",MACROMICROELEMENTOS!$B23="",MACROMICROELEMENTOS!$C23="",MACROMICROELEMENTOS!$D23="",MACROMICROELEMENTOS!$E23="",MACROMICROELEMENTOS!$N23="",MACROMICROELEMENTOS!$CG23="",MACROMICROELEMENTOS!$CH23=""),"",((MACROMICROELEMENTOS!$N23-MACROMICROELEMENTOS!$CG23)*MACROMICROELEMENTOS!$CH23*MACROMICROELEMENTOS!$D23*(1/MACROMICROELEMENTOS!$C23)*MACROMICROELEMENTOS!$E23))</f>
        <v/>
      </c>
      <c r="CJ23" s="16" t="str">
        <f>IF(AND(MACROMICROELEMENTOS!$BA23="",MACROMICROELEMENTOS!$BB23="",MACROMICROELEMENTOS!$BC23="",MACROMICROELEMENTOS!$BD23=""),"",IF(O23&gt;5,0,AVERAGE(MACROMICROELEMENTOS!$BA23,MACROMICROELEMENTOS!$BB23,MACROMICROELEMENTOS!$BC23,MACROMICROELEMENTOS!$BD23)))</f>
        <v/>
      </c>
      <c r="CK23" s="18">
        <v>1</v>
      </c>
      <c r="CL23" s="53" t="str">
        <f>IF(OR(MACROMICROELEMENTOS!$A23="",MACROMICROELEMENTOS!$B23="",MACROMICROELEMENTOS!$C23="",MACROMICROELEMENTOS!$D23="",MACROMICROELEMENTOS!$E23="",MACROMICROELEMENTOS!$O23="",MACROMICROELEMENTOS!$CJ23="",MACROMICROELEMENTOS!$CK23=""),"",((MACROMICROELEMENTOS!$O23-MACROMICROELEMENTOS!$CJ23)*MACROMICROELEMENTOS!$CK23*MACROMICROELEMENTOS!$D23*(1/MACROMICROELEMENTOS!$C23)*MACROMICROELEMENTOS!$E23))</f>
        <v/>
      </c>
      <c r="CM23" s="16" t="str">
        <f>IF(AND(MACROMICROELEMENTOS!$BE23="",MACROMICROELEMENTOS!$BF23="",MACROMICROELEMENTOS!$BG23="",MACROMICROELEMENTOS!$BH23=""),"",AVERAGE(MACROMICROELEMENTOS!$BE23,MACROMICROELEMENTOS!$BF23,MACROMICROELEMENTOS!$BG23,MACROMICROELEMENTOS!$BH23))</f>
        <v/>
      </c>
      <c r="CN23" s="18">
        <v>1</v>
      </c>
      <c r="CO23" s="53" t="str">
        <f>IF(OR(MACROMICROELEMENTOS!$A23="",MACROMICROELEMENTOS!$B23="",MACROMICROELEMENTOS!$C23="",MACROMICROELEMENTOS!$D23="",MACROMICROELEMENTOS!$E23="",MACROMICROELEMENTOS!$P23="",MACROMICROELEMENTOS!$CM23="",MACROMICROELEMENTOS!$CN23=""),"",((MACROMICROELEMENTOS!$P23-MACROMICROELEMENTOS!$CM23)*MACROMICROELEMENTOS!$CN23*MACROMICROELEMENTOS!$D23*(1/MACROMICROELEMENTOS!$C23)*MACROMICROELEMENTOS!$E23))</f>
        <v/>
      </c>
    </row>
    <row r="24" spans="1:93" x14ac:dyDescent="0.25">
      <c r="A24" s="50"/>
      <c r="B24" s="51"/>
      <c r="C24" s="50"/>
      <c r="D24" s="18">
        <v>50</v>
      </c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6" t="str">
        <f>IF(AND(MACROMICROELEMENTOS!$U24="",MACROMICROELEMENTOS!$V24="",MACROMICROELEMENTOS!$W24="",MACROMICROELEMENTOS!$X24=""),"",AVERAGE(MACROMICROELEMENTOS!$U24,MACROMICROELEMENTOS!$V24,MACROMICROELEMENTOS!$W24,MACROMICROELEMENTOS!$X24))</f>
        <v/>
      </c>
      <c r="BJ24" s="18">
        <v>1</v>
      </c>
      <c r="BK24" s="53" t="str">
        <f>IF(OR(MACROMICROELEMENTOS!$A24="",MACROMICROELEMENTOS!$B24="",MACROMICROELEMENTOS!$C24="",MACROMICROELEMENTOS!$D24="",MACROMICROELEMENTOS!$E24="",MACROMICROELEMENTOS!$F24="",MACROMICROELEMENTOS!$BI24="",MACROMICROELEMENTOS!$BJ24=""),"",((MACROMICROELEMENTOS!$F24-MACROMICROELEMENTOS!$BI24)*MACROMICROELEMENTOS!$BJ24*MACROMICROELEMENTOS!$D24*(1/MACROMICROELEMENTOS!$C24)*MACROMICROELEMENTOS!$E24/1000))</f>
        <v/>
      </c>
      <c r="BL24" s="16" t="str">
        <f>IF(AND(MACROMICROELEMENTOS!$Y24="",MACROMICROELEMENTOS!$Z24="",MACROMICROELEMENTOS!$AA24="",MACROMICROELEMENTOS!$AB24=""),"",AVERAGE(MACROMICROELEMENTOS!$Y24,MACROMICROELEMENTOS!$Z24,MACROMICROELEMENTOS!$AA24,MACROMICROELEMENTOS!$AB24))</f>
        <v/>
      </c>
      <c r="BM24" s="18">
        <v>1</v>
      </c>
      <c r="BN24" s="53" t="str">
        <f>IF(OR(MACROMICROELEMENTOS!$A24="",MACROMICROELEMENTOS!$B24="",MACROMICROELEMENTOS!$C24="",MACROMICROELEMENTOS!$D24="",MACROMICROELEMENTOS!$E24="",MACROMICROELEMENTOS!$G24="",MACROMICROELEMENTOS!$BL24="",MACROMICROELEMENTOS!$BM24=""),"",((MACROMICROELEMENTOS!$G24-MACROMICROELEMENTOS!$BL24)*MACROMICROELEMENTOS!$BM24*MACROMICROELEMENTOS!$D24*(1/MACROMICROELEMENTOS!$C24)*MACROMICROELEMENTOS!$E24/1000))</f>
        <v/>
      </c>
      <c r="BO24" s="16" t="str">
        <f>IF(AND(MACROMICROELEMENTOS!$AC24="",MACROMICROELEMENTOS!$AD24="",MACROMICROELEMENTOS!$AE24="",MACROMICROELEMENTOS!$AF24=""),"",AVERAGE(MACROMICROELEMENTOS!$AC24,MACROMICROELEMENTOS!$AD24,MACROMICROELEMENTOS!$AE24,MACROMICROELEMENTOS!$AF24))</f>
        <v/>
      </c>
      <c r="BP24" s="18">
        <v>1</v>
      </c>
      <c r="BQ24" s="53" t="str">
        <f>IF(OR(MACROMICROELEMENTOS!$A24="",MACROMICROELEMENTOS!$B24="",MACROMICROELEMENTOS!$C24="",MACROMICROELEMENTOS!$D24="",MACROMICROELEMENTOS!$E24="",MACROMICROELEMENTOS!$H24="",MACROMICROELEMENTOS!$BO24="",MACROMICROELEMENTOS!$BP24=""),"",((MACROMICROELEMENTOS!$H24-MACROMICROELEMENTOS!$BO24)*MACROMICROELEMENTOS!$BP24*MACROMICROELEMENTOS!$D24*(1/MACROMICROELEMENTOS!$C24)*MACROMICROELEMENTOS!$E24/1000))</f>
        <v/>
      </c>
      <c r="BR24" s="16" t="str">
        <f>IF(AND(MACROMICROELEMENTOS!$Q24="",MACROMICROELEMENTOS!$R24="",MACROMICROELEMENTOS!$S24="",MACROMICROELEMENTOS!$T24=""),"",AVERAGE(MACROMICROELEMENTOS!$Q24,MACROMICROELEMENTOS!$R24,MACROMICROELEMENTOS!$S24,MACROMICROELEMENTOS!$T24))</f>
        <v/>
      </c>
      <c r="BS24" s="18">
        <v>1</v>
      </c>
      <c r="BT24" s="53" t="str">
        <f>IF(OR(MACROMICROELEMENTOS!$A24="",MACROMICROELEMENTOS!$B24="",MACROMICROELEMENTOS!$C24="",MACROMICROELEMENTOS!$D24="",MACROMICROELEMENTOS!$E24="",MACROMICROELEMENTOS!$I24="",MACROMICROELEMENTOS!$BR24="",MACROMICROELEMENTOS!$BS24=""),"",((MACROMICROELEMENTOS!$I24-MACROMICROELEMENTOS!$BR24)*MACROMICROELEMENTOS!$BS24*MACROMICROELEMENTOS!$D24*(1/MACROMICROELEMENTOS!$C24)*MACROMICROELEMENTOS!$E24))</f>
        <v/>
      </c>
      <c r="BU24" s="16" t="str">
        <f>IF(AND(MACROMICROELEMENTOS!$AG24="",MACROMICROELEMENTOS!$AH24="",MACROMICROELEMENTOS!$AI24="",MACROMICROELEMENTOS!$AJ24=""),"",AVERAGE(MACROMICROELEMENTOS!$AG24,MACROMICROELEMENTOS!$AH24,MACROMICROELEMENTOS!$AI24,MACROMICROELEMENTOS!$AJ24))</f>
        <v/>
      </c>
      <c r="BV24" s="18">
        <v>1</v>
      </c>
      <c r="BW24" s="53" t="str">
        <f>IF(OR(MACROMICROELEMENTOS!$A24="",MACROMICROELEMENTOS!$B24="",MACROMICROELEMENTOS!$C24="",MACROMICROELEMENTOS!$D24="",MACROMICROELEMENTOS!$E24="",MACROMICROELEMENTOS!$J24="",MACROMICROELEMENTOS!$BU24="",MACROMICROELEMENTOS!$BV24=""),"",((MACROMICROELEMENTOS!$J24-MACROMICROELEMENTOS!$BU24)*MACROMICROELEMENTOS!$BV24*MACROMICROELEMENTOS!$D24*(1/MACROMICROELEMENTOS!$C24)*MACROMICROELEMENTOS!$E24/1000))</f>
        <v/>
      </c>
      <c r="BX24" s="16" t="str">
        <f>IF(AND(MACROMICROELEMENTOS!$AK24="",MACROMICROELEMENTOS!$AL24="",MACROMICROELEMENTOS!$AM24="",MACROMICROELEMENTOS!$AN24=""),"",AVERAGE(MACROMICROELEMENTOS!$AK24,MACROMICROELEMENTOS!$AL24,MACROMICROELEMENTOS!$AM24,MACROMICROELEMENTOS!$AN24))</f>
        <v/>
      </c>
      <c r="BY24" s="18">
        <v>1</v>
      </c>
      <c r="BZ24" s="53" t="str">
        <f>IF(OR(MACROMICROELEMENTOS!$A24="",MACROMICROELEMENTOS!$B24="",MACROMICROELEMENTOS!$C24="",MACROMICROELEMENTOS!$D24="",MACROMICROELEMENTOS!$E24="",MACROMICROELEMENTOS!$K24="",MACROMICROELEMENTOS!$BX24="",MACROMICROELEMENTOS!$BY24=""),"",((MACROMICROELEMENTOS!$K24-MACROMICROELEMENTOS!$BX24)*MACROMICROELEMENTOS!$BY24*MACROMICROELEMENTOS!$D24*(1/MACROMICROELEMENTOS!$C24)*MACROMICROELEMENTOS!$E24/1000))</f>
        <v/>
      </c>
      <c r="CA24" s="16" t="str">
        <f>IF(AND(MACROMICROELEMENTOS!$AO24="",MACROMICROELEMENTOS!$AP24="",MACROMICROELEMENTOS!$AQ24="",MACROMICROELEMENTOS!$AR24=""),"",AVERAGE(MACROMICROELEMENTOS!$AO24,MACROMICROELEMENTOS!$AP24,MACROMICROELEMENTOS!$AQ24,MACROMICROELEMENTOS!$AR24))</f>
        <v/>
      </c>
      <c r="CB24" s="18">
        <v>1</v>
      </c>
      <c r="CC24" s="53" t="str">
        <f>IF(OR(MACROMICROELEMENTOS!$A24="",MACROMICROELEMENTOS!$B24="",MACROMICROELEMENTOS!$C24="",MACROMICROELEMENTOS!$D24="",MACROMICROELEMENTOS!$E24="",MACROMICROELEMENTOS!$L24="",MACROMICROELEMENTOS!$CA24="",MACROMICROELEMENTOS!$CB24=""),"",((MACROMICROELEMENTOS!$L24-MACROMICROELEMENTOS!$CA24)*MACROMICROELEMENTOS!$CB24*MACROMICROELEMENTOS!$D24*(1/MACROMICROELEMENTOS!$C24)*MACROMICROELEMENTOS!$E24))</f>
        <v/>
      </c>
      <c r="CD24" s="16" t="str">
        <f>IF(AND(MACROMICROELEMENTOS!$AS24="",MACROMICROELEMENTOS!$AT24="",MACROMICROELEMENTOS!$AU24="",MACROMICROELEMENTOS!$AV24=""),"",AVERAGE(MACROMICROELEMENTOS!$AS24,MACROMICROELEMENTOS!$AT24,MACROMICROELEMENTOS!$AU24,MACROMICROELEMENTOS!$AV24))</f>
        <v/>
      </c>
      <c r="CE24" s="18">
        <v>1</v>
      </c>
      <c r="CF24" s="53" t="str">
        <f>IF(OR(MACROMICROELEMENTOS!$A24="",MACROMICROELEMENTOS!$B24="",MACROMICROELEMENTOS!$C24="",MACROMICROELEMENTOS!$D24="",MACROMICROELEMENTOS!$E24="",MACROMICROELEMENTOS!$M24="",MACROMICROELEMENTOS!$CD24="",MACROMICROELEMENTOS!$CE24=""),"",((MACROMICROELEMENTOS!$M24-MACROMICROELEMENTOS!$CD24)*MACROMICROELEMENTOS!$CE24*MACROMICROELEMENTOS!$D24*(1/MACROMICROELEMENTOS!$C24)*MACROMICROELEMENTOS!$E24))</f>
        <v/>
      </c>
      <c r="CG24" s="16" t="str">
        <f>IF(AND(MACROMICROELEMENTOS!$AW24="",MACROMICROELEMENTOS!$AX24="",MACROMICROELEMENTOS!$AY24="",MACROMICROELEMENTOS!$AZ24=""),"",AVERAGE(MACROMICROELEMENTOS!$AW24,MACROMICROELEMENTOS!$AX24,MACROMICROELEMENTOS!$AY24,MACROMICROELEMENTOS!$AZ24))</f>
        <v/>
      </c>
      <c r="CH24" s="18">
        <v>1</v>
      </c>
      <c r="CI24" s="53" t="str">
        <f>IF(OR(MACROMICROELEMENTOS!$A24="",MACROMICROELEMENTOS!$B24="",MACROMICROELEMENTOS!$C24="",MACROMICROELEMENTOS!$D24="",MACROMICROELEMENTOS!$E24="",MACROMICROELEMENTOS!$N24="",MACROMICROELEMENTOS!$CG24="",MACROMICROELEMENTOS!$CH24=""),"",((MACROMICROELEMENTOS!$N24-MACROMICROELEMENTOS!$CG24)*MACROMICROELEMENTOS!$CH24*MACROMICROELEMENTOS!$D24*(1/MACROMICROELEMENTOS!$C24)*MACROMICROELEMENTOS!$E24))</f>
        <v/>
      </c>
      <c r="CJ24" s="16" t="str">
        <f>IF(AND(MACROMICROELEMENTOS!$BA24="",MACROMICROELEMENTOS!$BB24="",MACROMICROELEMENTOS!$BC24="",MACROMICROELEMENTOS!$BD24=""),"",IF(O24&gt;5,0,AVERAGE(MACROMICROELEMENTOS!$BA24,MACROMICROELEMENTOS!$BB24,MACROMICROELEMENTOS!$BC24,MACROMICROELEMENTOS!$BD24)))</f>
        <v/>
      </c>
      <c r="CK24" s="18">
        <v>1</v>
      </c>
      <c r="CL24" s="53" t="str">
        <f>IF(OR(MACROMICROELEMENTOS!$A24="",MACROMICROELEMENTOS!$B24="",MACROMICROELEMENTOS!$C24="",MACROMICROELEMENTOS!$D24="",MACROMICROELEMENTOS!$E24="",MACROMICROELEMENTOS!$O24="",MACROMICROELEMENTOS!$CJ24="",MACROMICROELEMENTOS!$CK24=""),"",((MACROMICROELEMENTOS!$O24-MACROMICROELEMENTOS!$CJ24)*MACROMICROELEMENTOS!$CK24*MACROMICROELEMENTOS!$D24*(1/MACROMICROELEMENTOS!$C24)*MACROMICROELEMENTOS!$E24))</f>
        <v/>
      </c>
      <c r="CM24" s="16" t="str">
        <f>IF(AND(MACROMICROELEMENTOS!$BE24="",MACROMICROELEMENTOS!$BF24="",MACROMICROELEMENTOS!$BG24="",MACROMICROELEMENTOS!$BH24=""),"",AVERAGE(MACROMICROELEMENTOS!$BE24,MACROMICROELEMENTOS!$BF24,MACROMICROELEMENTOS!$BG24,MACROMICROELEMENTOS!$BH24))</f>
        <v/>
      </c>
      <c r="CN24" s="18">
        <v>1</v>
      </c>
      <c r="CO24" s="53" t="str">
        <f>IF(OR(MACROMICROELEMENTOS!$A24="",MACROMICROELEMENTOS!$B24="",MACROMICROELEMENTOS!$C24="",MACROMICROELEMENTOS!$D24="",MACROMICROELEMENTOS!$E24="",MACROMICROELEMENTOS!$P24="",MACROMICROELEMENTOS!$CM24="",MACROMICROELEMENTOS!$CN24=""),"",((MACROMICROELEMENTOS!$P24-MACROMICROELEMENTOS!$CM24)*MACROMICROELEMENTOS!$CN24*MACROMICROELEMENTOS!$D24*(1/MACROMICROELEMENTOS!$C24)*MACROMICROELEMENTOS!$E24))</f>
        <v/>
      </c>
    </row>
    <row r="25" spans="1:93" x14ac:dyDescent="0.25">
      <c r="A25" s="50"/>
      <c r="B25" s="51"/>
      <c r="C25" s="50"/>
      <c r="D25" s="18">
        <v>50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6" t="str">
        <f>IF(AND(MACROMICROELEMENTOS!$U25="",MACROMICROELEMENTOS!$V25="",MACROMICROELEMENTOS!$W25="",MACROMICROELEMENTOS!$X25=""),"",AVERAGE(MACROMICROELEMENTOS!$U25,MACROMICROELEMENTOS!$V25,MACROMICROELEMENTOS!$W25,MACROMICROELEMENTOS!$X25))</f>
        <v/>
      </c>
      <c r="BJ25" s="18">
        <v>1</v>
      </c>
      <c r="BK25" s="53" t="str">
        <f>IF(OR(MACROMICROELEMENTOS!$A25="",MACROMICROELEMENTOS!$B25="",MACROMICROELEMENTOS!$C25="",MACROMICROELEMENTOS!$D25="",MACROMICROELEMENTOS!$E25="",MACROMICROELEMENTOS!$F25="",MACROMICROELEMENTOS!$BI25="",MACROMICROELEMENTOS!$BJ25=""),"",((MACROMICROELEMENTOS!$F25-MACROMICROELEMENTOS!$BI25)*MACROMICROELEMENTOS!$BJ25*MACROMICROELEMENTOS!$D25*(1/MACROMICROELEMENTOS!$C25)*MACROMICROELEMENTOS!$E25/1000))</f>
        <v/>
      </c>
      <c r="BL25" s="16" t="str">
        <f>IF(AND(MACROMICROELEMENTOS!$Y25="",MACROMICROELEMENTOS!$Z25="",MACROMICROELEMENTOS!$AA25="",MACROMICROELEMENTOS!$AB25=""),"",AVERAGE(MACROMICROELEMENTOS!$Y25,MACROMICROELEMENTOS!$Z25,MACROMICROELEMENTOS!$AA25,MACROMICROELEMENTOS!$AB25))</f>
        <v/>
      </c>
      <c r="BM25" s="18">
        <v>1</v>
      </c>
      <c r="BN25" s="53" t="str">
        <f>IF(OR(MACROMICROELEMENTOS!$A25="",MACROMICROELEMENTOS!$B25="",MACROMICROELEMENTOS!$C25="",MACROMICROELEMENTOS!$D25="",MACROMICROELEMENTOS!$E25="",MACROMICROELEMENTOS!$G25="",MACROMICROELEMENTOS!$BL25="",MACROMICROELEMENTOS!$BM25=""),"",((MACROMICROELEMENTOS!$G25-MACROMICROELEMENTOS!$BL25)*MACROMICROELEMENTOS!$BM25*MACROMICROELEMENTOS!$D25*(1/MACROMICROELEMENTOS!$C25)*MACROMICROELEMENTOS!$E25/1000))</f>
        <v/>
      </c>
      <c r="BO25" s="16" t="str">
        <f>IF(AND(MACROMICROELEMENTOS!$AC25="",MACROMICROELEMENTOS!$AD25="",MACROMICROELEMENTOS!$AE25="",MACROMICROELEMENTOS!$AF25=""),"",AVERAGE(MACROMICROELEMENTOS!$AC25,MACROMICROELEMENTOS!$AD25,MACROMICROELEMENTOS!$AE25,MACROMICROELEMENTOS!$AF25))</f>
        <v/>
      </c>
      <c r="BP25" s="18">
        <v>1</v>
      </c>
      <c r="BQ25" s="53" t="str">
        <f>IF(OR(MACROMICROELEMENTOS!$A25="",MACROMICROELEMENTOS!$B25="",MACROMICROELEMENTOS!$C25="",MACROMICROELEMENTOS!$D25="",MACROMICROELEMENTOS!$E25="",MACROMICROELEMENTOS!$H25="",MACROMICROELEMENTOS!$BO25="",MACROMICROELEMENTOS!$BP25=""),"",((MACROMICROELEMENTOS!$H25-MACROMICROELEMENTOS!$BO25)*MACROMICROELEMENTOS!$BP25*MACROMICROELEMENTOS!$D25*(1/MACROMICROELEMENTOS!$C25)*MACROMICROELEMENTOS!$E25/1000))</f>
        <v/>
      </c>
      <c r="BR25" s="16" t="str">
        <f>IF(AND(MACROMICROELEMENTOS!$Q25="",MACROMICROELEMENTOS!$R25="",MACROMICROELEMENTOS!$S25="",MACROMICROELEMENTOS!$T25=""),"",AVERAGE(MACROMICROELEMENTOS!$Q25,MACROMICROELEMENTOS!$R25,MACROMICROELEMENTOS!$S25,MACROMICROELEMENTOS!$T25))</f>
        <v/>
      </c>
      <c r="BS25" s="18">
        <v>1</v>
      </c>
      <c r="BT25" s="53" t="str">
        <f>IF(OR(MACROMICROELEMENTOS!$A25="",MACROMICROELEMENTOS!$B25="",MACROMICROELEMENTOS!$C25="",MACROMICROELEMENTOS!$D25="",MACROMICROELEMENTOS!$E25="",MACROMICROELEMENTOS!$I25="",MACROMICROELEMENTOS!$BR25="",MACROMICROELEMENTOS!$BS25=""),"",((MACROMICROELEMENTOS!$I25-MACROMICROELEMENTOS!$BR25)*MACROMICROELEMENTOS!$BS25*MACROMICROELEMENTOS!$D25*(1/MACROMICROELEMENTOS!$C25)*MACROMICROELEMENTOS!$E25))</f>
        <v/>
      </c>
      <c r="BU25" s="16" t="str">
        <f>IF(AND(MACROMICROELEMENTOS!$AG25="",MACROMICROELEMENTOS!$AH25="",MACROMICROELEMENTOS!$AI25="",MACROMICROELEMENTOS!$AJ25=""),"",AVERAGE(MACROMICROELEMENTOS!$AG25,MACROMICROELEMENTOS!$AH25,MACROMICROELEMENTOS!$AI25,MACROMICROELEMENTOS!$AJ25))</f>
        <v/>
      </c>
      <c r="BV25" s="18">
        <v>1</v>
      </c>
      <c r="BW25" s="53" t="str">
        <f>IF(OR(MACROMICROELEMENTOS!$A25="",MACROMICROELEMENTOS!$B25="",MACROMICROELEMENTOS!$C25="",MACROMICROELEMENTOS!$D25="",MACROMICROELEMENTOS!$E25="",MACROMICROELEMENTOS!$J25="",MACROMICROELEMENTOS!$BU25="",MACROMICROELEMENTOS!$BV25=""),"",((MACROMICROELEMENTOS!$J25-MACROMICROELEMENTOS!$BU25)*MACROMICROELEMENTOS!$BV25*MACROMICROELEMENTOS!$D25*(1/MACROMICROELEMENTOS!$C25)*MACROMICROELEMENTOS!$E25/1000))</f>
        <v/>
      </c>
      <c r="BX25" s="16" t="str">
        <f>IF(AND(MACROMICROELEMENTOS!$AK25="",MACROMICROELEMENTOS!$AL25="",MACROMICROELEMENTOS!$AM25="",MACROMICROELEMENTOS!$AN25=""),"",AVERAGE(MACROMICROELEMENTOS!$AK25,MACROMICROELEMENTOS!$AL25,MACROMICROELEMENTOS!$AM25,MACROMICROELEMENTOS!$AN25))</f>
        <v/>
      </c>
      <c r="BY25" s="18">
        <v>1</v>
      </c>
      <c r="BZ25" s="53" t="str">
        <f>IF(OR(MACROMICROELEMENTOS!$A25="",MACROMICROELEMENTOS!$B25="",MACROMICROELEMENTOS!$C25="",MACROMICROELEMENTOS!$D25="",MACROMICROELEMENTOS!$E25="",MACROMICROELEMENTOS!$K25="",MACROMICROELEMENTOS!$BX25="",MACROMICROELEMENTOS!$BY25=""),"",((MACROMICROELEMENTOS!$K25-MACROMICROELEMENTOS!$BX25)*MACROMICROELEMENTOS!$BY25*MACROMICROELEMENTOS!$D25*(1/MACROMICROELEMENTOS!$C25)*MACROMICROELEMENTOS!$E25/1000))</f>
        <v/>
      </c>
      <c r="CA25" s="16" t="str">
        <f>IF(AND(MACROMICROELEMENTOS!$AO25="",MACROMICROELEMENTOS!$AP25="",MACROMICROELEMENTOS!$AQ25="",MACROMICROELEMENTOS!$AR25=""),"",AVERAGE(MACROMICROELEMENTOS!$AO25,MACROMICROELEMENTOS!$AP25,MACROMICROELEMENTOS!$AQ25,MACROMICROELEMENTOS!$AR25))</f>
        <v/>
      </c>
      <c r="CB25" s="18">
        <v>1</v>
      </c>
      <c r="CC25" s="53" t="str">
        <f>IF(OR(MACROMICROELEMENTOS!$A25="",MACROMICROELEMENTOS!$B25="",MACROMICROELEMENTOS!$C25="",MACROMICROELEMENTOS!$D25="",MACROMICROELEMENTOS!$E25="",MACROMICROELEMENTOS!$L25="",MACROMICROELEMENTOS!$CA25="",MACROMICROELEMENTOS!$CB25=""),"",((MACROMICROELEMENTOS!$L25-MACROMICROELEMENTOS!$CA25)*MACROMICROELEMENTOS!$CB25*MACROMICROELEMENTOS!$D25*(1/MACROMICROELEMENTOS!$C25)*MACROMICROELEMENTOS!$E25))</f>
        <v/>
      </c>
      <c r="CD25" s="16" t="str">
        <f>IF(AND(MACROMICROELEMENTOS!$AS25="",MACROMICROELEMENTOS!$AT25="",MACROMICROELEMENTOS!$AU25="",MACROMICROELEMENTOS!$AV25=""),"",AVERAGE(MACROMICROELEMENTOS!$AS25,MACROMICROELEMENTOS!$AT25,MACROMICROELEMENTOS!$AU25,MACROMICROELEMENTOS!$AV25))</f>
        <v/>
      </c>
      <c r="CE25" s="18">
        <v>1</v>
      </c>
      <c r="CF25" s="53" t="str">
        <f>IF(OR(MACROMICROELEMENTOS!$A25="",MACROMICROELEMENTOS!$B25="",MACROMICROELEMENTOS!$C25="",MACROMICROELEMENTOS!$D25="",MACROMICROELEMENTOS!$E25="",MACROMICROELEMENTOS!$M25="",MACROMICROELEMENTOS!$CD25="",MACROMICROELEMENTOS!$CE25=""),"",((MACROMICROELEMENTOS!$M25-MACROMICROELEMENTOS!$CD25)*MACROMICROELEMENTOS!$CE25*MACROMICROELEMENTOS!$D25*(1/MACROMICROELEMENTOS!$C25)*MACROMICROELEMENTOS!$E25))</f>
        <v/>
      </c>
      <c r="CG25" s="16" t="str">
        <f>IF(AND(MACROMICROELEMENTOS!$AW25="",MACROMICROELEMENTOS!$AX25="",MACROMICROELEMENTOS!$AY25="",MACROMICROELEMENTOS!$AZ25=""),"",AVERAGE(MACROMICROELEMENTOS!$AW25,MACROMICROELEMENTOS!$AX25,MACROMICROELEMENTOS!$AY25,MACROMICROELEMENTOS!$AZ25))</f>
        <v/>
      </c>
      <c r="CH25" s="18">
        <v>1</v>
      </c>
      <c r="CI25" s="53" t="str">
        <f>IF(OR(MACROMICROELEMENTOS!$A25="",MACROMICROELEMENTOS!$B25="",MACROMICROELEMENTOS!$C25="",MACROMICROELEMENTOS!$D25="",MACROMICROELEMENTOS!$E25="",MACROMICROELEMENTOS!$N25="",MACROMICROELEMENTOS!$CG25="",MACROMICROELEMENTOS!$CH25=""),"",((MACROMICROELEMENTOS!$N25-MACROMICROELEMENTOS!$CG25)*MACROMICROELEMENTOS!$CH25*MACROMICROELEMENTOS!$D25*(1/MACROMICROELEMENTOS!$C25)*MACROMICROELEMENTOS!$E25))</f>
        <v/>
      </c>
      <c r="CJ25" s="16" t="str">
        <f>IF(AND(MACROMICROELEMENTOS!$BA25="",MACROMICROELEMENTOS!$BB25="",MACROMICROELEMENTOS!$BC25="",MACROMICROELEMENTOS!$BD25=""),"",IF(O25&gt;5,0,AVERAGE(MACROMICROELEMENTOS!$BA25,MACROMICROELEMENTOS!$BB25,MACROMICROELEMENTOS!$BC25,MACROMICROELEMENTOS!$BD25)))</f>
        <v/>
      </c>
      <c r="CK25" s="18">
        <v>1</v>
      </c>
      <c r="CL25" s="53" t="str">
        <f>IF(OR(MACROMICROELEMENTOS!$A25="",MACROMICROELEMENTOS!$B25="",MACROMICROELEMENTOS!$C25="",MACROMICROELEMENTOS!$D25="",MACROMICROELEMENTOS!$E25="",MACROMICROELEMENTOS!$O25="",MACROMICROELEMENTOS!$CJ25="",MACROMICROELEMENTOS!$CK25=""),"",((MACROMICROELEMENTOS!$O25-MACROMICROELEMENTOS!$CJ25)*MACROMICROELEMENTOS!$CK25*MACROMICROELEMENTOS!$D25*(1/MACROMICROELEMENTOS!$C25)*MACROMICROELEMENTOS!$E25))</f>
        <v/>
      </c>
      <c r="CM25" s="16" t="str">
        <f>IF(AND(MACROMICROELEMENTOS!$BE25="",MACROMICROELEMENTOS!$BF25="",MACROMICROELEMENTOS!$BG25="",MACROMICROELEMENTOS!$BH25=""),"",AVERAGE(MACROMICROELEMENTOS!$BE25,MACROMICROELEMENTOS!$BF25,MACROMICROELEMENTOS!$BG25,MACROMICROELEMENTOS!$BH25))</f>
        <v/>
      </c>
      <c r="CN25" s="18">
        <v>1</v>
      </c>
      <c r="CO25" s="53" t="str">
        <f>IF(OR(MACROMICROELEMENTOS!$A25="",MACROMICROELEMENTOS!$B25="",MACROMICROELEMENTOS!$C25="",MACROMICROELEMENTOS!$D25="",MACROMICROELEMENTOS!$E25="",MACROMICROELEMENTOS!$P25="",MACROMICROELEMENTOS!$CM25="",MACROMICROELEMENTOS!$CN25=""),"",((MACROMICROELEMENTOS!$P25-MACROMICROELEMENTOS!$CM25)*MACROMICROELEMENTOS!$CN25*MACROMICROELEMENTOS!$D25*(1/MACROMICROELEMENTOS!$C25)*MACROMICROELEMENTOS!$E25))</f>
        <v/>
      </c>
    </row>
    <row r="26" spans="1:93" x14ac:dyDescent="0.25">
      <c r="A26" s="50"/>
      <c r="B26" s="51"/>
      <c r="C26" s="50"/>
      <c r="D26" s="18">
        <v>50</v>
      </c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6" t="str">
        <f>IF(AND(MACROMICROELEMENTOS!$U26="",MACROMICROELEMENTOS!$V26="",MACROMICROELEMENTOS!$W26="",MACROMICROELEMENTOS!$X26=""),"",AVERAGE(MACROMICROELEMENTOS!$U26,MACROMICROELEMENTOS!$V26,MACROMICROELEMENTOS!$W26,MACROMICROELEMENTOS!$X26))</f>
        <v/>
      </c>
      <c r="BJ26" s="18">
        <v>1</v>
      </c>
      <c r="BK26" s="53" t="str">
        <f>IF(OR(MACROMICROELEMENTOS!$A26="",MACROMICROELEMENTOS!$B26="",MACROMICROELEMENTOS!$C26="",MACROMICROELEMENTOS!$D26="",MACROMICROELEMENTOS!$E26="",MACROMICROELEMENTOS!$F26="",MACROMICROELEMENTOS!$BI26="",MACROMICROELEMENTOS!$BJ26=""),"",((MACROMICROELEMENTOS!$F26-MACROMICROELEMENTOS!$BI26)*MACROMICROELEMENTOS!$BJ26*MACROMICROELEMENTOS!$D26*(1/MACROMICROELEMENTOS!$C26)*MACROMICROELEMENTOS!$E26/1000))</f>
        <v/>
      </c>
      <c r="BL26" s="16" t="str">
        <f>IF(AND(MACROMICROELEMENTOS!$Y26="",MACROMICROELEMENTOS!$Z26="",MACROMICROELEMENTOS!$AA26="",MACROMICROELEMENTOS!$AB26=""),"",AVERAGE(MACROMICROELEMENTOS!$Y26,MACROMICROELEMENTOS!$Z26,MACROMICROELEMENTOS!$AA26,MACROMICROELEMENTOS!$AB26))</f>
        <v/>
      </c>
      <c r="BM26" s="18">
        <v>1</v>
      </c>
      <c r="BN26" s="53" t="str">
        <f>IF(OR(MACROMICROELEMENTOS!$A26="",MACROMICROELEMENTOS!$B26="",MACROMICROELEMENTOS!$C26="",MACROMICROELEMENTOS!$D26="",MACROMICROELEMENTOS!$E26="",MACROMICROELEMENTOS!$G26="",MACROMICROELEMENTOS!$BL26="",MACROMICROELEMENTOS!$BM26=""),"",((MACROMICROELEMENTOS!$G26-MACROMICROELEMENTOS!$BL26)*MACROMICROELEMENTOS!$BM26*MACROMICROELEMENTOS!$D26*(1/MACROMICROELEMENTOS!$C26)*MACROMICROELEMENTOS!$E26/1000))</f>
        <v/>
      </c>
      <c r="BO26" s="16" t="str">
        <f>IF(AND(MACROMICROELEMENTOS!$AC26="",MACROMICROELEMENTOS!$AD26="",MACROMICROELEMENTOS!$AE26="",MACROMICROELEMENTOS!$AF26=""),"",AVERAGE(MACROMICROELEMENTOS!$AC26,MACROMICROELEMENTOS!$AD26,MACROMICROELEMENTOS!$AE26,MACROMICROELEMENTOS!$AF26))</f>
        <v/>
      </c>
      <c r="BP26" s="18">
        <v>1</v>
      </c>
      <c r="BQ26" s="53" t="str">
        <f>IF(OR(MACROMICROELEMENTOS!$A26="",MACROMICROELEMENTOS!$B26="",MACROMICROELEMENTOS!$C26="",MACROMICROELEMENTOS!$D26="",MACROMICROELEMENTOS!$E26="",MACROMICROELEMENTOS!$H26="",MACROMICROELEMENTOS!$BO26="",MACROMICROELEMENTOS!$BP26=""),"",((MACROMICROELEMENTOS!$H26-MACROMICROELEMENTOS!$BO26)*MACROMICROELEMENTOS!$BP26*MACROMICROELEMENTOS!$D26*(1/MACROMICROELEMENTOS!$C26)*MACROMICROELEMENTOS!$E26/1000))</f>
        <v/>
      </c>
      <c r="BR26" s="16" t="str">
        <f>IF(AND(MACROMICROELEMENTOS!$Q26="",MACROMICROELEMENTOS!$R26="",MACROMICROELEMENTOS!$S26="",MACROMICROELEMENTOS!$T26=""),"",AVERAGE(MACROMICROELEMENTOS!$Q26,MACROMICROELEMENTOS!$R26,MACROMICROELEMENTOS!$S26,MACROMICROELEMENTOS!$T26))</f>
        <v/>
      </c>
      <c r="BS26" s="18">
        <v>1</v>
      </c>
      <c r="BT26" s="53" t="str">
        <f>IF(OR(MACROMICROELEMENTOS!$A26="",MACROMICROELEMENTOS!$B26="",MACROMICROELEMENTOS!$C26="",MACROMICROELEMENTOS!$D26="",MACROMICROELEMENTOS!$E26="",MACROMICROELEMENTOS!$I26="",MACROMICROELEMENTOS!$BR26="",MACROMICROELEMENTOS!$BS26=""),"",((MACROMICROELEMENTOS!$I26-MACROMICROELEMENTOS!$BR26)*MACROMICROELEMENTOS!$BS26*MACROMICROELEMENTOS!$D26*(1/MACROMICROELEMENTOS!$C26)*MACROMICROELEMENTOS!$E26))</f>
        <v/>
      </c>
      <c r="BU26" s="16" t="str">
        <f>IF(AND(MACROMICROELEMENTOS!$AG26="",MACROMICROELEMENTOS!$AH26="",MACROMICROELEMENTOS!$AI26="",MACROMICROELEMENTOS!$AJ26=""),"",AVERAGE(MACROMICROELEMENTOS!$AG26,MACROMICROELEMENTOS!$AH26,MACROMICROELEMENTOS!$AI26,MACROMICROELEMENTOS!$AJ26))</f>
        <v/>
      </c>
      <c r="BV26" s="18">
        <v>1</v>
      </c>
      <c r="BW26" s="53" t="str">
        <f>IF(OR(MACROMICROELEMENTOS!$A26="",MACROMICROELEMENTOS!$B26="",MACROMICROELEMENTOS!$C26="",MACROMICROELEMENTOS!$D26="",MACROMICROELEMENTOS!$E26="",MACROMICROELEMENTOS!$J26="",MACROMICROELEMENTOS!$BU26="",MACROMICROELEMENTOS!$BV26=""),"",((MACROMICROELEMENTOS!$J26-MACROMICROELEMENTOS!$BU26)*MACROMICROELEMENTOS!$BV26*MACROMICROELEMENTOS!$D26*(1/MACROMICROELEMENTOS!$C26)*MACROMICROELEMENTOS!$E26/1000))</f>
        <v/>
      </c>
      <c r="BX26" s="16" t="str">
        <f>IF(AND(MACROMICROELEMENTOS!$AK26="",MACROMICROELEMENTOS!$AL26="",MACROMICROELEMENTOS!$AM26="",MACROMICROELEMENTOS!$AN26=""),"",AVERAGE(MACROMICROELEMENTOS!$AK26,MACROMICROELEMENTOS!$AL26,MACROMICROELEMENTOS!$AM26,MACROMICROELEMENTOS!$AN26))</f>
        <v/>
      </c>
      <c r="BY26" s="18">
        <v>1</v>
      </c>
      <c r="BZ26" s="53" t="str">
        <f>IF(OR(MACROMICROELEMENTOS!$A26="",MACROMICROELEMENTOS!$B26="",MACROMICROELEMENTOS!$C26="",MACROMICROELEMENTOS!$D26="",MACROMICROELEMENTOS!$E26="",MACROMICROELEMENTOS!$K26="",MACROMICROELEMENTOS!$BX26="",MACROMICROELEMENTOS!$BY26=""),"",((MACROMICROELEMENTOS!$K26-MACROMICROELEMENTOS!$BX26)*MACROMICROELEMENTOS!$BY26*MACROMICROELEMENTOS!$D26*(1/MACROMICROELEMENTOS!$C26)*MACROMICROELEMENTOS!$E26/1000))</f>
        <v/>
      </c>
      <c r="CA26" s="16" t="str">
        <f>IF(AND(MACROMICROELEMENTOS!$AO26="",MACROMICROELEMENTOS!$AP26="",MACROMICROELEMENTOS!$AQ26="",MACROMICROELEMENTOS!$AR26=""),"",AVERAGE(MACROMICROELEMENTOS!$AO26,MACROMICROELEMENTOS!$AP26,MACROMICROELEMENTOS!$AQ26,MACROMICROELEMENTOS!$AR26))</f>
        <v/>
      </c>
      <c r="CB26" s="18">
        <v>1</v>
      </c>
      <c r="CC26" s="53" t="str">
        <f>IF(OR(MACROMICROELEMENTOS!$A26="",MACROMICROELEMENTOS!$B26="",MACROMICROELEMENTOS!$C26="",MACROMICROELEMENTOS!$D26="",MACROMICROELEMENTOS!$E26="",MACROMICROELEMENTOS!$L26="",MACROMICROELEMENTOS!$CA26="",MACROMICROELEMENTOS!$CB26=""),"",((MACROMICROELEMENTOS!$L26-MACROMICROELEMENTOS!$CA26)*MACROMICROELEMENTOS!$CB26*MACROMICROELEMENTOS!$D26*(1/MACROMICROELEMENTOS!$C26)*MACROMICROELEMENTOS!$E26))</f>
        <v/>
      </c>
      <c r="CD26" s="16" t="str">
        <f>IF(AND(MACROMICROELEMENTOS!$AS26="",MACROMICROELEMENTOS!$AT26="",MACROMICROELEMENTOS!$AU26="",MACROMICROELEMENTOS!$AV26=""),"",AVERAGE(MACROMICROELEMENTOS!$AS26,MACROMICROELEMENTOS!$AT26,MACROMICROELEMENTOS!$AU26,MACROMICROELEMENTOS!$AV26))</f>
        <v/>
      </c>
      <c r="CE26" s="18">
        <v>1</v>
      </c>
      <c r="CF26" s="53" t="str">
        <f>IF(OR(MACROMICROELEMENTOS!$A26="",MACROMICROELEMENTOS!$B26="",MACROMICROELEMENTOS!$C26="",MACROMICROELEMENTOS!$D26="",MACROMICROELEMENTOS!$E26="",MACROMICROELEMENTOS!$M26="",MACROMICROELEMENTOS!$CD26="",MACROMICROELEMENTOS!$CE26=""),"",((MACROMICROELEMENTOS!$M26-MACROMICROELEMENTOS!$CD26)*MACROMICROELEMENTOS!$CE26*MACROMICROELEMENTOS!$D26*(1/MACROMICROELEMENTOS!$C26)*MACROMICROELEMENTOS!$E26))</f>
        <v/>
      </c>
      <c r="CG26" s="16" t="str">
        <f>IF(AND(MACROMICROELEMENTOS!$AW26="",MACROMICROELEMENTOS!$AX26="",MACROMICROELEMENTOS!$AY26="",MACROMICROELEMENTOS!$AZ26=""),"",AVERAGE(MACROMICROELEMENTOS!$AW26,MACROMICROELEMENTOS!$AX26,MACROMICROELEMENTOS!$AY26,MACROMICROELEMENTOS!$AZ26))</f>
        <v/>
      </c>
      <c r="CH26" s="18">
        <v>1</v>
      </c>
      <c r="CI26" s="53" t="str">
        <f>IF(OR(MACROMICROELEMENTOS!$A26="",MACROMICROELEMENTOS!$B26="",MACROMICROELEMENTOS!$C26="",MACROMICROELEMENTOS!$D26="",MACROMICROELEMENTOS!$E26="",MACROMICROELEMENTOS!$N26="",MACROMICROELEMENTOS!$CG26="",MACROMICROELEMENTOS!$CH26=""),"",((MACROMICROELEMENTOS!$N26-MACROMICROELEMENTOS!$CG26)*MACROMICROELEMENTOS!$CH26*MACROMICROELEMENTOS!$D26*(1/MACROMICROELEMENTOS!$C26)*MACROMICROELEMENTOS!$E26))</f>
        <v/>
      </c>
      <c r="CJ26" s="16" t="str">
        <f>IF(AND(MACROMICROELEMENTOS!$BA26="",MACROMICROELEMENTOS!$BB26="",MACROMICROELEMENTOS!$BC26="",MACROMICROELEMENTOS!$BD26=""),"",IF(O26&gt;5,0,AVERAGE(MACROMICROELEMENTOS!$BA26,MACROMICROELEMENTOS!$BB26,MACROMICROELEMENTOS!$BC26,MACROMICROELEMENTOS!$BD26)))</f>
        <v/>
      </c>
      <c r="CK26" s="18">
        <v>1</v>
      </c>
      <c r="CL26" s="53" t="str">
        <f>IF(OR(MACROMICROELEMENTOS!$A26="",MACROMICROELEMENTOS!$B26="",MACROMICROELEMENTOS!$C26="",MACROMICROELEMENTOS!$D26="",MACROMICROELEMENTOS!$E26="",MACROMICROELEMENTOS!$O26="",MACROMICROELEMENTOS!$CJ26="",MACROMICROELEMENTOS!$CK26=""),"",((MACROMICROELEMENTOS!$O26-MACROMICROELEMENTOS!$CJ26)*MACROMICROELEMENTOS!$CK26*MACROMICROELEMENTOS!$D26*(1/MACROMICROELEMENTOS!$C26)*MACROMICROELEMENTOS!$E26))</f>
        <v/>
      </c>
      <c r="CM26" s="16" t="str">
        <f>IF(AND(MACROMICROELEMENTOS!$BE26="",MACROMICROELEMENTOS!$BF26="",MACROMICROELEMENTOS!$BG26="",MACROMICROELEMENTOS!$BH26=""),"",AVERAGE(MACROMICROELEMENTOS!$BE26,MACROMICROELEMENTOS!$BF26,MACROMICROELEMENTOS!$BG26,MACROMICROELEMENTOS!$BH26))</f>
        <v/>
      </c>
      <c r="CN26" s="18">
        <v>1</v>
      </c>
      <c r="CO26" s="53" t="str">
        <f>IF(OR(MACROMICROELEMENTOS!$A26="",MACROMICROELEMENTOS!$B26="",MACROMICROELEMENTOS!$C26="",MACROMICROELEMENTOS!$D26="",MACROMICROELEMENTOS!$E26="",MACROMICROELEMENTOS!$P26="",MACROMICROELEMENTOS!$CM26="",MACROMICROELEMENTOS!$CN26=""),"",((MACROMICROELEMENTOS!$P26-MACROMICROELEMENTOS!$CM26)*MACROMICROELEMENTOS!$CN26*MACROMICROELEMENTOS!$D26*(1/MACROMICROELEMENTOS!$C26)*MACROMICROELEMENTOS!$E26))</f>
        <v/>
      </c>
    </row>
    <row r="27" spans="1:93" x14ac:dyDescent="0.25">
      <c r="A27" s="50"/>
      <c r="B27" s="51"/>
      <c r="C27" s="50"/>
      <c r="D27" s="18">
        <v>50</v>
      </c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6" t="str">
        <f>IF(AND(MACROMICROELEMENTOS!$U27="",MACROMICROELEMENTOS!$V27="",MACROMICROELEMENTOS!$W27="",MACROMICROELEMENTOS!$X27=""),"",AVERAGE(MACROMICROELEMENTOS!$U27,MACROMICROELEMENTOS!$V27,MACROMICROELEMENTOS!$W27,MACROMICROELEMENTOS!$X27))</f>
        <v/>
      </c>
      <c r="BJ27" s="18">
        <v>1</v>
      </c>
      <c r="BK27" s="53" t="str">
        <f>IF(OR(MACROMICROELEMENTOS!$A27="",MACROMICROELEMENTOS!$B27="",MACROMICROELEMENTOS!$C27="",MACROMICROELEMENTOS!$D27="",MACROMICROELEMENTOS!$E27="",MACROMICROELEMENTOS!$F27="",MACROMICROELEMENTOS!$BI27="",MACROMICROELEMENTOS!$BJ27=""),"",((MACROMICROELEMENTOS!$F27-MACROMICROELEMENTOS!$BI27)*MACROMICROELEMENTOS!$BJ27*MACROMICROELEMENTOS!$D27*(1/MACROMICROELEMENTOS!$C27)*MACROMICROELEMENTOS!$E27/1000))</f>
        <v/>
      </c>
      <c r="BL27" s="16" t="str">
        <f>IF(AND(MACROMICROELEMENTOS!$Y27="",MACROMICROELEMENTOS!$Z27="",MACROMICROELEMENTOS!$AA27="",MACROMICROELEMENTOS!$AB27=""),"",AVERAGE(MACROMICROELEMENTOS!$Y27,MACROMICROELEMENTOS!$Z27,MACROMICROELEMENTOS!$AA27,MACROMICROELEMENTOS!$AB27))</f>
        <v/>
      </c>
      <c r="BM27" s="18">
        <v>1</v>
      </c>
      <c r="BN27" s="53" t="str">
        <f>IF(OR(MACROMICROELEMENTOS!$A27="",MACROMICROELEMENTOS!$B27="",MACROMICROELEMENTOS!$C27="",MACROMICROELEMENTOS!$D27="",MACROMICROELEMENTOS!$E27="",MACROMICROELEMENTOS!$G27="",MACROMICROELEMENTOS!$BL27="",MACROMICROELEMENTOS!$BM27=""),"",((MACROMICROELEMENTOS!$G27-MACROMICROELEMENTOS!$BL27)*MACROMICROELEMENTOS!$BM27*MACROMICROELEMENTOS!$D27*(1/MACROMICROELEMENTOS!$C27)*MACROMICROELEMENTOS!$E27/1000))</f>
        <v/>
      </c>
      <c r="BO27" s="16" t="str">
        <f>IF(AND(MACROMICROELEMENTOS!$AC27="",MACROMICROELEMENTOS!$AD27="",MACROMICROELEMENTOS!$AE27="",MACROMICROELEMENTOS!$AF27=""),"",AVERAGE(MACROMICROELEMENTOS!$AC27,MACROMICROELEMENTOS!$AD27,MACROMICROELEMENTOS!$AE27,MACROMICROELEMENTOS!$AF27))</f>
        <v/>
      </c>
      <c r="BP27" s="18">
        <v>1</v>
      </c>
      <c r="BQ27" s="53" t="str">
        <f>IF(OR(MACROMICROELEMENTOS!$A27="",MACROMICROELEMENTOS!$B27="",MACROMICROELEMENTOS!$C27="",MACROMICROELEMENTOS!$D27="",MACROMICROELEMENTOS!$E27="",MACROMICROELEMENTOS!$H27="",MACROMICROELEMENTOS!$BO27="",MACROMICROELEMENTOS!$BP27=""),"",((MACROMICROELEMENTOS!$H27-MACROMICROELEMENTOS!$BO27)*MACROMICROELEMENTOS!$BP27*MACROMICROELEMENTOS!$D27*(1/MACROMICROELEMENTOS!$C27)*MACROMICROELEMENTOS!$E27/1000))</f>
        <v/>
      </c>
      <c r="BR27" s="16" t="str">
        <f>IF(AND(MACROMICROELEMENTOS!$Q27="",MACROMICROELEMENTOS!$R27="",MACROMICROELEMENTOS!$S27="",MACROMICROELEMENTOS!$T27=""),"",AVERAGE(MACROMICROELEMENTOS!$Q27,MACROMICROELEMENTOS!$R27,MACROMICROELEMENTOS!$S27,MACROMICROELEMENTOS!$T27))</f>
        <v/>
      </c>
      <c r="BS27" s="18">
        <v>1</v>
      </c>
      <c r="BT27" s="53" t="str">
        <f>IF(OR(MACROMICROELEMENTOS!$A27="",MACROMICROELEMENTOS!$B27="",MACROMICROELEMENTOS!$C27="",MACROMICROELEMENTOS!$D27="",MACROMICROELEMENTOS!$E27="",MACROMICROELEMENTOS!$I27="",MACROMICROELEMENTOS!$BR27="",MACROMICROELEMENTOS!$BS27=""),"",((MACROMICROELEMENTOS!$I27-MACROMICROELEMENTOS!$BR27)*MACROMICROELEMENTOS!$BS27*MACROMICROELEMENTOS!$D27*(1/MACROMICROELEMENTOS!$C27)*MACROMICROELEMENTOS!$E27))</f>
        <v/>
      </c>
      <c r="BU27" s="16" t="str">
        <f>IF(AND(MACROMICROELEMENTOS!$AG27="",MACROMICROELEMENTOS!$AH27="",MACROMICROELEMENTOS!$AI27="",MACROMICROELEMENTOS!$AJ27=""),"",AVERAGE(MACROMICROELEMENTOS!$AG27,MACROMICROELEMENTOS!$AH27,MACROMICROELEMENTOS!$AI27,MACROMICROELEMENTOS!$AJ27))</f>
        <v/>
      </c>
      <c r="BV27" s="18">
        <v>1</v>
      </c>
      <c r="BW27" s="53" t="str">
        <f>IF(OR(MACROMICROELEMENTOS!$A27="",MACROMICROELEMENTOS!$B27="",MACROMICROELEMENTOS!$C27="",MACROMICROELEMENTOS!$D27="",MACROMICROELEMENTOS!$E27="",MACROMICROELEMENTOS!$J27="",MACROMICROELEMENTOS!$BU27="",MACROMICROELEMENTOS!$BV27=""),"",((MACROMICROELEMENTOS!$J27-MACROMICROELEMENTOS!$BU27)*MACROMICROELEMENTOS!$BV27*MACROMICROELEMENTOS!$D27*(1/MACROMICROELEMENTOS!$C27)*MACROMICROELEMENTOS!$E27/1000))</f>
        <v/>
      </c>
      <c r="BX27" s="16" t="str">
        <f>IF(AND(MACROMICROELEMENTOS!$AK27="",MACROMICROELEMENTOS!$AL27="",MACROMICROELEMENTOS!$AM27="",MACROMICROELEMENTOS!$AN27=""),"",AVERAGE(MACROMICROELEMENTOS!$AK27,MACROMICROELEMENTOS!$AL27,MACROMICROELEMENTOS!$AM27,MACROMICROELEMENTOS!$AN27))</f>
        <v/>
      </c>
      <c r="BY27" s="18">
        <v>1</v>
      </c>
      <c r="BZ27" s="53" t="str">
        <f>IF(OR(MACROMICROELEMENTOS!$A27="",MACROMICROELEMENTOS!$B27="",MACROMICROELEMENTOS!$C27="",MACROMICROELEMENTOS!$D27="",MACROMICROELEMENTOS!$E27="",MACROMICROELEMENTOS!$K27="",MACROMICROELEMENTOS!$BX27="",MACROMICROELEMENTOS!$BY27=""),"",((MACROMICROELEMENTOS!$K27-MACROMICROELEMENTOS!$BX27)*MACROMICROELEMENTOS!$BY27*MACROMICROELEMENTOS!$D27*(1/MACROMICROELEMENTOS!$C27)*MACROMICROELEMENTOS!$E27/1000))</f>
        <v/>
      </c>
      <c r="CA27" s="16" t="str">
        <f>IF(AND(MACROMICROELEMENTOS!$AO27="",MACROMICROELEMENTOS!$AP27="",MACROMICROELEMENTOS!$AQ27="",MACROMICROELEMENTOS!$AR27=""),"",AVERAGE(MACROMICROELEMENTOS!$AO27,MACROMICROELEMENTOS!$AP27,MACROMICROELEMENTOS!$AQ27,MACROMICROELEMENTOS!$AR27))</f>
        <v/>
      </c>
      <c r="CB27" s="18">
        <v>1</v>
      </c>
      <c r="CC27" s="53" t="str">
        <f>IF(OR(MACROMICROELEMENTOS!$A27="",MACROMICROELEMENTOS!$B27="",MACROMICROELEMENTOS!$C27="",MACROMICROELEMENTOS!$D27="",MACROMICROELEMENTOS!$E27="",MACROMICROELEMENTOS!$L27="",MACROMICROELEMENTOS!$CA27="",MACROMICROELEMENTOS!$CB27=""),"",((MACROMICROELEMENTOS!$L27-MACROMICROELEMENTOS!$CA27)*MACROMICROELEMENTOS!$CB27*MACROMICROELEMENTOS!$D27*(1/MACROMICROELEMENTOS!$C27)*MACROMICROELEMENTOS!$E27))</f>
        <v/>
      </c>
      <c r="CD27" s="16" t="str">
        <f>IF(AND(MACROMICROELEMENTOS!$AS27="",MACROMICROELEMENTOS!$AT27="",MACROMICROELEMENTOS!$AU27="",MACROMICROELEMENTOS!$AV27=""),"",AVERAGE(MACROMICROELEMENTOS!$AS27,MACROMICROELEMENTOS!$AT27,MACROMICROELEMENTOS!$AU27,MACROMICROELEMENTOS!$AV27))</f>
        <v/>
      </c>
      <c r="CE27" s="18">
        <v>1</v>
      </c>
      <c r="CF27" s="53" t="str">
        <f>IF(OR(MACROMICROELEMENTOS!$A27="",MACROMICROELEMENTOS!$B27="",MACROMICROELEMENTOS!$C27="",MACROMICROELEMENTOS!$D27="",MACROMICROELEMENTOS!$E27="",MACROMICROELEMENTOS!$M27="",MACROMICROELEMENTOS!$CD27="",MACROMICROELEMENTOS!$CE27=""),"",((MACROMICROELEMENTOS!$M27-MACROMICROELEMENTOS!$CD27)*MACROMICROELEMENTOS!$CE27*MACROMICROELEMENTOS!$D27*(1/MACROMICROELEMENTOS!$C27)*MACROMICROELEMENTOS!$E27))</f>
        <v/>
      </c>
      <c r="CG27" s="16" t="str">
        <f>IF(AND(MACROMICROELEMENTOS!$AW27="",MACROMICROELEMENTOS!$AX27="",MACROMICROELEMENTOS!$AY27="",MACROMICROELEMENTOS!$AZ27=""),"",AVERAGE(MACROMICROELEMENTOS!$AW27,MACROMICROELEMENTOS!$AX27,MACROMICROELEMENTOS!$AY27,MACROMICROELEMENTOS!$AZ27))</f>
        <v/>
      </c>
      <c r="CH27" s="18">
        <v>1</v>
      </c>
      <c r="CI27" s="53" t="str">
        <f>IF(OR(MACROMICROELEMENTOS!$A27="",MACROMICROELEMENTOS!$B27="",MACROMICROELEMENTOS!$C27="",MACROMICROELEMENTOS!$D27="",MACROMICROELEMENTOS!$E27="",MACROMICROELEMENTOS!$N27="",MACROMICROELEMENTOS!$CG27="",MACROMICROELEMENTOS!$CH27=""),"",((MACROMICROELEMENTOS!$N27-MACROMICROELEMENTOS!$CG27)*MACROMICROELEMENTOS!$CH27*MACROMICROELEMENTOS!$D27*(1/MACROMICROELEMENTOS!$C27)*MACROMICROELEMENTOS!$E27))</f>
        <v/>
      </c>
      <c r="CJ27" s="16" t="str">
        <f>IF(AND(MACROMICROELEMENTOS!$BA27="",MACROMICROELEMENTOS!$BB27="",MACROMICROELEMENTOS!$BC27="",MACROMICROELEMENTOS!$BD27=""),"",IF(O27&gt;5,0,AVERAGE(MACROMICROELEMENTOS!$BA27,MACROMICROELEMENTOS!$BB27,MACROMICROELEMENTOS!$BC27,MACROMICROELEMENTOS!$BD27)))</f>
        <v/>
      </c>
      <c r="CK27" s="18">
        <v>1</v>
      </c>
      <c r="CL27" s="53" t="str">
        <f>IF(OR(MACROMICROELEMENTOS!$A27="",MACROMICROELEMENTOS!$B27="",MACROMICROELEMENTOS!$C27="",MACROMICROELEMENTOS!$D27="",MACROMICROELEMENTOS!$E27="",MACROMICROELEMENTOS!$O27="",MACROMICROELEMENTOS!$CJ27="",MACROMICROELEMENTOS!$CK27=""),"",((MACROMICROELEMENTOS!$O27-MACROMICROELEMENTOS!$CJ27)*MACROMICROELEMENTOS!$CK27*MACROMICROELEMENTOS!$D27*(1/MACROMICROELEMENTOS!$C27)*MACROMICROELEMENTOS!$E27))</f>
        <v/>
      </c>
      <c r="CM27" s="16" t="str">
        <f>IF(AND(MACROMICROELEMENTOS!$BE27="",MACROMICROELEMENTOS!$BF27="",MACROMICROELEMENTOS!$BG27="",MACROMICROELEMENTOS!$BH27=""),"",AVERAGE(MACROMICROELEMENTOS!$BE27,MACROMICROELEMENTOS!$BF27,MACROMICROELEMENTOS!$BG27,MACROMICROELEMENTOS!$BH27))</f>
        <v/>
      </c>
      <c r="CN27" s="18">
        <v>1</v>
      </c>
      <c r="CO27" s="53" t="str">
        <f>IF(OR(MACROMICROELEMENTOS!$A27="",MACROMICROELEMENTOS!$B27="",MACROMICROELEMENTOS!$C27="",MACROMICROELEMENTOS!$D27="",MACROMICROELEMENTOS!$E27="",MACROMICROELEMENTOS!$P27="",MACROMICROELEMENTOS!$CM27="",MACROMICROELEMENTOS!$CN27=""),"",((MACROMICROELEMENTOS!$P27-MACROMICROELEMENTOS!$CM27)*MACROMICROELEMENTOS!$CN27*MACROMICROELEMENTOS!$D27*(1/MACROMICROELEMENTOS!$C27)*MACROMICROELEMENTOS!$E27))</f>
        <v/>
      </c>
    </row>
    <row r="28" spans="1:93" x14ac:dyDescent="0.25">
      <c r="A28" s="50"/>
      <c r="B28" s="51"/>
      <c r="C28" s="50"/>
      <c r="D28" s="18">
        <v>50</v>
      </c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6" t="str">
        <f>IF(AND(MACROMICROELEMENTOS!$U28="",MACROMICROELEMENTOS!$V28="",MACROMICROELEMENTOS!$W28="",MACROMICROELEMENTOS!$X28=""),"",AVERAGE(MACROMICROELEMENTOS!$U28,MACROMICROELEMENTOS!$V28,MACROMICROELEMENTOS!$W28,MACROMICROELEMENTOS!$X28))</f>
        <v/>
      </c>
      <c r="BJ28" s="18">
        <v>1</v>
      </c>
      <c r="BK28" s="53" t="str">
        <f>IF(OR(MACROMICROELEMENTOS!$A28="",MACROMICROELEMENTOS!$B28="",MACROMICROELEMENTOS!$C28="",MACROMICROELEMENTOS!$D28="",MACROMICROELEMENTOS!$E28="",MACROMICROELEMENTOS!$F28="",MACROMICROELEMENTOS!$BI28="",MACROMICROELEMENTOS!$BJ28=""),"",((MACROMICROELEMENTOS!$F28-MACROMICROELEMENTOS!$BI28)*MACROMICROELEMENTOS!$BJ28*MACROMICROELEMENTOS!$D28*(1/MACROMICROELEMENTOS!$C28)*MACROMICROELEMENTOS!$E28/1000))</f>
        <v/>
      </c>
      <c r="BL28" s="16" t="str">
        <f>IF(AND(MACROMICROELEMENTOS!$Y28="",MACROMICROELEMENTOS!$Z28="",MACROMICROELEMENTOS!$AA28="",MACROMICROELEMENTOS!$AB28=""),"",AVERAGE(MACROMICROELEMENTOS!$Y28,MACROMICROELEMENTOS!$Z28,MACROMICROELEMENTOS!$AA28,MACROMICROELEMENTOS!$AB28))</f>
        <v/>
      </c>
      <c r="BM28" s="18">
        <v>1</v>
      </c>
      <c r="BN28" s="53" t="str">
        <f>IF(OR(MACROMICROELEMENTOS!$A28="",MACROMICROELEMENTOS!$B28="",MACROMICROELEMENTOS!$C28="",MACROMICROELEMENTOS!$D28="",MACROMICROELEMENTOS!$E28="",MACROMICROELEMENTOS!$G28="",MACROMICROELEMENTOS!$BL28="",MACROMICROELEMENTOS!$BM28=""),"",((MACROMICROELEMENTOS!$G28-MACROMICROELEMENTOS!$BL28)*MACROMICROELEMENTOS!$BM28*MACROMICROELEMENTOS!$D28*(1/MACROMICROELEMENTOS!$C28)*MACROMICROELEMENTOS!$E28/1000))</f>
        <v/>
      </c>
      <c r="BO28" s="16" t="str">
        <f>IF(AND(MACROMICROELEMENTOS!$AC28="",MACROMICROELEMENTOS!$AD28="",MACROMICROELEMENTOS!$AE28="",MACROMICROELEMENTOS!$AF28=""),"",AVERAGE(MACROMICROELEMENTOS!$AC28,MACROMICROELEMENTOS!$AD28,MACROMICROELEMENTOS!$AE28,MACROMICROELEMENTOS!$AF28))</f>
        <v/>
      </c>
      <c r="BP28" s="18">
        <v>1</v>
      </c>
      <c r="BQ28" s="53" t="str">
        <f>IF(OR(MACROMICROELEMENTOS!$A28="",MACROMICROELEMENTOS!$B28="",MACROMICROELEMENTOS!$C28="",MACROMICROELEMENTOS!$D28="",MACROMICROELEMENTOS!$E28="",MACROMICROELEMENTOS!$H28="",MACROMICROELEMENTOS!$BO28="",MACROMICROELEMENTOS!$BP28=""),"",((MACROMICROELEMENTOS!$H28-MACROMICROELEMENTOS!$BO28)*MACROMICROELEMENTOS!$BP28*MACROMICROELEMENTOS!$D28*(1/MACROMICROELEMENTOS!$C28)*MACROMICROELEMENTOS!$E28/1000))</f>
        <v/>
      </c>
      <c r="BR28" s="16" t="str">
        <f>IF(AND(MACROMICROELEMENTOS!$Q28="",MACROMICROELEMENTOS!$R28="",MACROMICROELEMENTOS!$S28="",MACROMICROELEMENTOS!$T28=""),"",AVERAGE(MACROMICROELEMENTOS!$Q28,MACROMICROELEMENTOS!$R28,MACROMICROELEMENTOS!$S28,MACROMICROELEMENTOS!$T28))</f>
        <v/>
      </c>
      <c r="BS28" s="18">
        <v>1</v>
      </c>
      <c r="BT28" s="53" t="str">
        <f>IF(OR(MACROMICROELEMENTOS!$A28="",MACROMICROELEMENTOS!$B28="",MACROMICROELEMENTOS!$C28="",MACROMICROELEMENTOS!$D28="",MACROMICROELEMENTOS!$E28="",MACROMICROELEMENTOS!$I28="",MACROMICROELEMENTOS!$BR28="",MACROMICROELEMENTOS!$BS28=""),"",((MACROMICROELEMENTOS!$I28-MACROMICROELEMENTOS!$BR28)*MACROMICROELEMENTOS!$BS28*MACROMICROELEMENTOS!$D28*(1/MACROMICROELEMENTOS!$C28)*MACROMICROELEMENTOS!$E28))</f>
        <v/>
      </c>
      <c r="BU28" s="16" t="str">
        <f>IF(AND(MACROMICROELEMENTOS!$AG28="",MACROMICROELEMENTOS!$AH28="",MACROMICROELEMENTOS!$AI28="",MACROMICROELEMENTOS!$AJ28=""),"",AVERAGE(MACROMICROELEMENTOS!$AG28,MACROMICROELEMENTOS!$AH28,MACROMICROELEMENTOS!$AI28,MACROMICROELEMENTOS!$AJ28))</f>
        <v/>
      </c>
      <c r="BV28" s="18">
        <v>1</v>
      </c>
      <c r="BW28" s="53" t="str">
        <f>IF(OR(MACROMICROELEMENTOS!$A28="",MACROMICROELEMENTOS!$B28="",MACROMICROELEMENTOS!$C28="",MACROMICROELEMENTOS!$D28="",MACROMICROELEMENTOS!$E28="",MACROMICROELEMENTOS!$J28="",MACROMICROELEMENTOS!$BU28="",MACROMICROELEMENTOS!$BV28=""),"",((MACROMICROELEMENTOS!$J28-MACROMICROELEMENTOS!$BU28)*MACROMICROELEMENTOS!$BV28*MACROMICROELEMENTOS!$D28*(1/MACROMICROELEMENTOS!$C28)*MACROMICROELEMENTOS!$E28/1000))</f>
        <v/>
      </c>
      <c r="BX28" s="16" t="str">
        <f>IF(AND(MACROMICROELEMENTOS!$AK28="",MACROMICROELEMENTOS!$AL28="",MACROMICROELEMENTOS!$AM28="",MACROMICROELEMENTOS!$AN28=""),"",AVERAGE(MACROMICROELEMENTOS!$AK28,MACROMICROELEMENTOS!$AL28,MACROMICROELEMENTOS!$AM28,MACROMICROELEMENTOS!$AN28))</f>
        <v/>
      </c>
      <c r="BY28" s="18">
        <v>1</v>
      </c>
      <c r="BZ28" s="53" t="str">
        <f>IF(OR(MACROMICROELEMENTOS!$A28="",MACROMICROELEMENTOS!$B28="",MACROMICROELEMENTOS!$C28="",MACROMICROELEMENTOS!$D28="",MACROMICROELEMENTOS!$E28="",MACROMICROELEMENTOS!$K28="",MACROMICROELEMENTOS!$BX28="",MACROMICROELEMENTOS!$BY28=""),"",((MACROMICROELEMENTOS!$K28-MACROMICROELEMENTOS!$BX28)*MACROMICROELEMENTOS!$BY28*MACROMICROELEMENTOS!$D28*(1/MACROMICROELEMENTOS!$C28)*MACROMICROELEMENTOS!$E28/1000))</f>
        <v/>
      </c>
      <c r="CA28" s="16" t="str">
        <f>IF(AND(MACROMICROELEMENTOS!$AO28="",MACROMICROELEMENTOS!$AP28="",MACROMICROELEMENTOS!$AQ28="",MACROMICROELEMENTOS!$AR28=""),"",AVERAGE(MACROMICROELEMENTOS!$AO28,MACROMICROELEMENTOS!$AP28,MACROMICROELEMENTOS!$AQ28,MACROMICROELEMENTOS!$AR28))</f>
        <v/>
      </c>
      <c r="CB28" s="18">
        <v>1</v>
      </c>
      <c r="CC28" s="53" t="str">
        <f>IF(OR(MACROMICROELEMENTOS!$A28="",MACROMICROELEMENTOS!$B28="",MACROMICROELEMENTOS!$C28="",MACROMICROELEMENTOS!$D28="",MACROMICROELEMENTOS!$E28="",MACROMICROELEMENTOS!$L28="",MACROMICROELEMENTOS!$CA28="",MACROMICROELEMENTOS!$CB28=""),"",((MACROMICROELEMENTOS!$L28-MACROMICROELEMENTOS!$CA28)*MACROMICROELEMENTOS!$CB28*MACROMICROELEMENTOS!$D28*(1/MACROMICROELEMENTOS!$C28)*MACROMICROELEMENTOS!$E28))</f>
        <v/>
      </c>
      <c r="CD28" s="16" t="str">
        <f>IF(AND(MACROMICROELEMENTOS!$AS28="",MACROMICROELEMENTOS!$AT28="",MACROMICROELEMENTOS!$AU28="",MACROMICROELEMENTOS!$AV28=""),"",AVERAGE(MACROMICROELEMENTOS!$AS28,MACROMICROELEMENTOS!$AT28,MACROMICROELEMENTOS!$AU28,MACROMICROELEMENTOS!$AV28))</f>
        <v/>
      </c>
      <c r="CE28" s="18">
        <v>1</v>
      </c>
      <c r="CF28" s="53" t="str">
        <f>IF(OR(MACROMICROELEMENTOS!$A28="",MACROMICROELEMENTOS!$B28="",MACROMICROELEMENTOS!$C28="",MACROMICROELEMENTOS!$D28="",MACROMICROELEMENTOS!$E28="",MACROMICROELEMENTOS!$M28="",MACROMICROELEMENTOS!$CD28="",MACROMICROELEMENTOS!$CE28=""),"",((MACROMICROELEMENTOS!$M28-MACROMICROELEMENTOS!$CD28)*MACROMICROELEMENTOS!$CE28*MACROMICROELEMENTOS!$D28*(1/MACROMICROELEMENTOS!$C28)*MACROMICROELEMENTOS!$E28))</f>
        <v/>
      </c>
      <c r="CG28" s="16" t="str">
        <f>IF(AND(MACROMICROELEMENTOS!$AW28="",MACROMICROELEMENTOS!$AX28="",MACROMICROELEMENTOS!$AY28="",MACROMICROELEMENTOS!$AZ28=""),"",AVERAGE(MACROMICROELEMENTOS!$AW28,MACROMICROELEMENTOS!$AX28,MACROMICROELEMENTOS!$AY28,MACROMICROELEMENTOS!$AZ28))</f>
        <v/>
      </c>
      <c r="CH28" s="18">
        <v>1</v>
      </c>
      <c r="CI28" s="53" t="str">
        <f>IF(OR(MACROMICROELEMENTOS!$A28="",MACROMICROELEMENTOS!$B28="",MACROMICROELEMENTOS!$C28="",MACROMICROELEMENTOS!$D28="",MACROMICROELEMENTOS!$E28="",MACROMICROELEMENTOS!$N28="",MACROMICROELEMENTOS!$CG28="",MACROMICROELEMENTOS!$CH28=""),"",((MACROMICROELEMENTOS!$N28-MACROMICROELEMENTOS!$CG28)*MACROMICROELEMENTOS!$CH28*MACROMICROELEMENTOS!$D28*(1/MACROMICROELEMENTOS!$C28)*MACROMICROELEMENTOS!$E28))</f>
        <v/>
      </c>
      <c r="CJ28" s="16" t="str">
        <f>IF(AND(MACROMICROELEMENTOS!$BA28="",MACROMICROELEMENTOS!$BB28="",MACROMICROELEMENTOS!$BC28="",MACROMICROELEMENTOS!$BD28=""),"",IF(O28&gt;5,0,AVERAGE(MACROMICROELEMENTOS!$BA28,MACROMICROELEMENTOS!$BB28,MACROMICROELEMENTOS!$BC28,MACROMICROELEMENTOS!$BD28)))</f>
        <v/>
      </c>
      <c r="CK28" s="18">
        <v>1</v>
      </c>
      <c r="CL28" s="53" t="str">
        <f>IF(OR(MACROMICROELEMENTOS!$A28="",MACROMICROELEMENTOS!$B28="",MACROMICROELEMENTOS!$C28="",MACROMICROELEMENTOS!$D28="",MACROMICROELEMENTOS!$E28="",MACROMICROELEMENTOS!$O28="",MACROMICROELEMENTOS!$CJ28="",MACROMICROELEMENTOS!$CK28=""),"",((MACROMICROELEMENTOS!$O28-MACROMICROELEMENTOS!$CJ28)*MACROMICROELEMENTOS!$CK28*MACROMICROELEMENTOS!$D28*(1/MACROMICROELEMENTOS!$C28)*MACROMICROELEMENTOS!$E28))</f>
        <v/>
      </c>
      <c r="CM28" s="16" t="str">
        <f>IF(AND(MACROMICROELEMENTOS!$BE28="",MACROMICROELEMENTOS!$BF28="",MACROMICROELEMENTOS!$BG28="",MACROMICROELEMENTOS!$BH28=""),"",AVERAGE(MACROMICROELEMENTOS!$BE28,MACROMICROELEMENTOS!$BF28,MACROMICROELEMENTOS!$BG28,MACROMICROELEMENTOS!$BH28))</f>
        <v/>
      </c>
      <c r="CN28" s="18">
        <v>1</v>
      </c>
      <c r="CO28" s="53" t="str">
        <f>IF(OR(MACROMICROELEMENTOS!$A28="",MACROMICROELEMENTOS!$B28="",MACROMICROELEMENTOS!$C28="",MACROMICROELEMENTOS!$D28="",MACROMICROELEMENTOS!$E28="",MACROMICROELEMENTOS!$P28="",MACROMICROELEMENTOS!$CM28="",MACROMICROELEMENTOS!$CN28=""),"",((MACROMICROELEMENTOS!$P28-MACROMICROELEMENTOS!$CM28)*MACROMICROELEMENTOS!$CN28*MACROMICROELEMENTOS!$D28*(1/MACROMICROELEMENTOS!$C28)*MACROMICROELEMENTOS!$E28))</f>
        <v/>
      </c>
    </row>
    <row r="29" spans="1:93" x14ac:dyDescent="0.25">
      <c r="A29" s="50"/>
      <c r="B29" s="51"/>
      <c r="C29" s="50"/>
      <c r="D29" s="18">
        <v>50</v>
      </c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6" t="str">
        <f>IF(AND(MACROMICROELEMENTOS!$U29="",MACROMICROELEMENTOS!$V29="",MACROMICROELEMENTOS!$W29="",MACROMICROELEMENTOS!$X29=""),"",AVERAGE(MACROMICROELEMENTOS!$U29,MACROMICROELEMENTOS!$V29,MACROMICROELEMENTOS!$W29,MACROMICROELEMENTOS!$X29))</f>
        <v/>
      </c>
      <c r="BJ29" s="18">
        <v>1</v>
      </c>
      <c r="BK29" s="53" t="str">
        <f>IF(OR(MACROMICROELEMENTOS!$A29="",MACROMICROELEMENTOS!$B29="",MACROMICROELEMENTOS!$C29="",MACROMICROELEMENTOS!$D29="",MACROMICROELEMENTOS!$E29="",MACROMICROELEMENTOS!$F29="",MACROMICROELEMENTOS!$BI29="",MACROMICROELEMENTOS!$BJ29=""),"",((MACROMICROELEMENTOS!$F29-MACROMICROELEMENTOS!$BI29)*MACROMICROELEMENTOS!$BJ29*MACROMICROELEMENTOS!$D29*(1/MACROMICROELEMENTOS!$C29)*MACROMICROELEMENTOS!$E29/1000))</f>
        <v/>
      </c>
      <c r="BL29" s="16" t="str">
        <f>IF(AND(MACROMICROELEMENTOS!$Y29="",MACROMICROELEMENTOS!$Z29="",MACROMICROELEMENTOS!$AA29="",MACROMICROELEMENTOS!$AB29=""),"",AVERAGE(MACROMICROELEMENTOS!$Y29,MACROMICROELEMENTOS!$Z29,MACROMICROELEMENTOS!$AA29,MACROMICROELEMENTOS!$AB29))</f>
        <v/>
      </c>
      <c r="BM29" s="18">
        <v>1</v>
      </c>
      <c r="BN29" s="53" t="str">
        <f>IF(OR(MACROMICROELEMENTOS!$A29="",MACROMICROELEMENTOS!$B29="",MACROMICROELEMENTOS!$C29="",MACROMICROELEMENTOS!$D29="",MACROMICROELEMENTOS!$E29="",MACROMICROELEMENTOS!$G29="",MACROMICROELEMENTOS!$BL29="",MACROMICROELEMENTOS!$BM29=""),"",((MACROMICROELEMENTOS!$G29-MACROMICROELEMENTOS!$BL29)*MACROMICROELEMENTOS!$BM29*MACROMICROELEMENTOS!$D29*(1/MACROMICROELEMENTOS!$C29)*MACROMICROELEMENTOS!$E29/1000))</f>
        <v/>
      </c>
      <c r="BO29" s="16" t="str">
        <f>IF(AND(MACROMICROELEMENTOS!$AC29="",MACROMICROELEMENTOS!$AD29="",MACROMICROELEMENTOS!$AE29="",MACROMICROELEMENTOS!$AF29=""),"",AVERAGE(MACROMICROELEMENTOS!$AC29,MACROMICROELEMENTOS!$AD29,MACROMICROELEMENTOS!$AE29,MACROMICROELEMENTOS!$AF29))</f>
        <v/>
      </c>
      <c r="BP29" s="18">
        <v>1</v>
      </c>
      <c r="BQ29" s="53" t="str">
        <f>IF(OR(MACROMICROELEMENTOS!$A29="",MACROMICROELEMENTOS!$B29="",MACROMICROELEMENTOS!$C29="",MACROMICROELEMENTOS!$D29="",MACROMICROELEMENTOS!$E29="",MACROMICROELEMENTOS!$H29="",MACROMICROELEMENTOS!$BO29="",MACROMICROELEMENTOS!$BP29=""),"",((MACROMICROELEMENTOS!$H29-MACROMICROELEMENTOS!$BO29)*MACROMICROELEMENTOS!$BP29*MACROMICROELEMENTOS!$D29*(1/MACROMICROELEMENTOS!$C29)*MACROMICROELEMENTOS!$E29/1000))</f>
        <v/>
      </c>
      <c r="BR29" s="16" t="str">
        <f>IF(AND(MACROMICROELEMENTOS!$Q29="",MACROMICROELEMENTOS!$R29="",MACROMICROELEMENTOS!$S29="",MACROMICROELEMENTOS!$T29=""),"",AVERAGE(MACROMICROELEMENTOS!$Q29,MACROMICROELEMENTOS!$R29,MACROMICROELEMENTOS!$S29,MACROMICROELEMENTOS!$T29))</f>
        <v/>
      </c>
      <c r="BS29" s="18">
        <v>1</v>
      </c>
      <c r="BT29" s="53" t="str">
        <f>IF(OR(MACROMICROELEMENTOS!$A29="",MACROMICROELEMENTOS!$B29="",MACROMICROELEMENTOS!$C29="",MACROMICROELEMENTOS!$D29="",MACROMICROELEMENTOS!$E29="",MACROMICROELEMENTOS!$I29="",MACROMICROELEMENTOS!$BR29="",MACROMICROELEMENTOS!$BS29=""),"",((MACROMICROELEMENTOS!$I29-MACROMICROELEMENTOS!$BR29)*MACROMICROELEMENTOS!$BS29*MACROMICROELEMENTOS!$D29*(1/MACROMICROELEMENTOS!$C29)*MACROMICROELEMENTOS!$E29))</f>
        <v/>
      </c>
      <c r="BU29" s="16" t="str">
        <f>IF(AND(MACROMICROELEMENTOS!$AG29="",MACROMICROELEMENTOS!$AH29="",MACROMICROELEMENTOS!$AI29="",MACROMICROELEMENTOS!$AJ29=""),"",AVERAGE(MACROMICROELEMENTOS!$AG29,MACROMICROELEMENTOS!$AH29,MACROMICROELEMENTOS!$AI29,MACROMICROELEMENTOS!$AJ29))</f>
        <v/>
      </c>
      <c r="BV29" s="18">
        <v>1</v>
      </c>
      <c r="BW29" s="53" t="str">
        <f>IF(OR(MACROMICROELEMENTOS!$A29="",MACROMICROELEMENTOS!$B29="",MACROMICROELEMENTOS!$C29="",MACROMICROELEMENTOS!$D29="",MACROMICROELEMENTOS!$E29="",MACROMICROELEMENTOS!$J29="",MACROMICROELEMENTOS!$BU29="",MACROMICROELEMENTOS!$BV29=""),"",((MACROMICROELEMENTOS!$J29-MACROMICROELEMENTOS!$BU29)*MACROMICROELEMENTOS!$BV29*MACROMICROELEMENTOS!$D29*(1/MACROMICROELEMENTOS!$C29)*MACROMICROELEMENTOS!$E29/1000))</f>
        <v/>
      </c>
      <c r="BX29" s="16" t="str">
        <f>IF(AND(MACROMICROELEMENTOS!$AK29="",MACROMICROELEMENTOS!$AL29="",MACROMICROELEMENTOS!$AM29="",MACROMICROELEMENTOS!$AN29=""),"",AVERAGE(MACROMICROELEMENTOS!$AK29,MACROMICROELEMENTOS!$AL29,MACROMICROELEMENTOS!$AM29,MACROMICROELEMENTOS!$AN29))</f>
        <v/>
      </c>
      <c r="BY29" s="18">
        <v>1</v>
      </c>
      <c r="BZ29" s="53" t="str">
        <f>IF(OR(MACROMICROELEMENTOS!$A29="",MACROMICROELEMENTOS!$B29="",MACROMICROELEMENTOS!$C29="",MACROMICROELEMENTOS!$D29="",MACROMICROELEMENTOS!$E29="",MACROMICROELEMENTOS!$K29="",MACROMICROELEMENTOS!$BX29="",MACROMICROELEMENTOS!$BY29=""),"",((MACROMICROELEMENTOS!$K29-MACROMICROELEMENTOS!$BX29)*MACROMICROELEMENTOS!$BY29*MACROMICROELEMENTOS!$D29*(1/MACROMICROELEMENTOS!$C29)*MACROMICROELEMENTOS!$E29/1000))</f>
        <v/>
      </c>
      <c r="CA29" s="16" t="str">
        <f>IF(AND(MACROMICROELEMENTOS!$AO29="",MACROMICROELEMENTOS!$AP29="",MACROMICROELEMENTOS!$AQ29="",MACROMICROELEMENTOS!$AR29=""),"",AVERAGE(MACROMICROELEMENTOS!$AO29,MACROMICROELEMENTOS!$AP29,MACROMICROELEMENTOS!$AQ29,MACROMICROELEMENTOS!$AR29))</f>
        <v/>
      </c>
      <c r="CB29" s="18">
        <v>1</v>
      </c>
      <c r="CC29" s="53" t="str">
        <f>IF(OR(MACROMICROELEMENTOS!$A29="",MACROMICROELEMENTOS!$B29="",MACROMICROELEMENTOS!$C29="",MACROMICROELEMENTOS!$D29="",MACROMICROELEMENTOS!$E29="",MACROMICROELEMENTOS!$L29="",MACROMICROELEMENTOS!$CA29="",MACROMICROELEMENTOS!$CB29=""),"",((MACROMICROELEMENTOS!$L29-MACROMICROELEMENTOS!$CA29)*MACROMICROELEMENTOS!$CB29*MACROMICROELEMENTOS!$D29*(1/MACROMICROELEMENTOS!$C29)*MACROMICROELEMENTOS!$E29))</f>
        <v/>
      </c>
      <c r="CD29" s="16" t="str">
        <f>IF(AND(MACROMICROELEMENTOS!$AS29="",MACROMICROELEMENTOS!$AT29="",MACROMICROELEMENTOS!$AU29="",MACROMICROELEMENTOS!$AV29=""),"",AVERAGE(MACROMICROELEMENTOS!$AS29,MACROMICROELEMENTOS!$AT29,MACROMICROELEMENTOS!$AU29,MACROMICROELEMENTOS!$AV29))</f>
        <v/>
      </c>
      <c r="CE29" s="18">
        <v>1</v>
      </c>
      <c r="CF29" s="53" t="str">
        <f>IF(OR(MACROMICROELEMENTOS!$A29="",MACROMICROELEMENTOS!$B29="",MACROMICROELEMENTOS!$C29="",MACROMICROELEMENTOS!$D29="",MACROMICROELEMENTOS!$E29="",MACROMICROELEMENTOS!$M29="",MACROMICROELEMENTOS!$CD29="",MACROMICROELEMENTOS!$CE29=""),"",((MACROMICROELEMENTOS!$M29-MACROMICROELEMENTOS!$CD29)*MACROMICROELEMENTOS!$CE29*MACROMICROELEMENTOS!$D29*(1/MACROMICROELEMENTOS!$C29)*MACROMICROELEMENTOS!$E29))</f>
        <v/>
      </c>
      <c r="CG29" s="16" t="str">
        <f>IF(AND(MACROMICROELEMENTOS!$AW29="",MACROMICROELEMENTOS!$AX29="",MACROMICROELEMENTOS!$AY29="",MACROMICROELEMENTOS!$AZ29=""),"",AVERAGE(MACROMICROELEMENTOS!$AW29,MACROMICROELEMENTOS!$AX29,MACROMICROELEMENTOS!$AY29,MACROMICROELEMENTOS!$AZ29))</f>
        <v/>
      </c>
      <c r="CH29" s="18">
        <v>1</v>
      </c>
      <c r="CI29" s="53" t="str">
        <f>IF(OR(MACROMICROELEMENTOS!$A29="",MACROMICROELEMENTOS!$B29="",MACROMICROELEMENTOS!$C29="",MACROMICROELEMENTOS!$D29="",MACROMICROELEMENTOS!$E29="",MACROMICROELEMENTOS!$N29="",MACROMICROELEMENTOS!$CG29="",MACROMICROELEMENTOS!$CH29=""),"",((MACROMICROELEMENTOS!$N29-MACROMICROELEMENTOS!$CG29)*MACROMICROELEMENTOS!$CH29*MACROMICROELEMENTOS!$D29*(1/MACROMICROELEMENTOS!$C29)*MACROMICROELEMENTOS!$E29))</f>
        <v/>
      </c>
      <c r="CJ29" s="16" t="str">
        <f>IF(AND(MACROMICROELEMENTOS!$BA29="",MACROMICROELEMENTOS!$BB29="",MACROMICROELEMENTOS!$BC29="",MACROMICROELEMENTOS!$BD29=""),"",IF(O29&gt;5,0,AVERAGE(MACROMICROELEMENTOS!$BA29,MACROMICROELEMENTOS!$BB29,MACROMICROELEMENTOS!$BC29,MACROMICROELEMENTOS!$BD29)))</f>
        <v/>
      </c>
      <c r="CK29" s="18">
        <v>1</v>
      </c>
      <c r="CL29" s="53" t="str">
        <f>IF(OR(MACROMICROELEMENTOS!$A29="",MACROMICROELEMENTOS!$B29="",MACROMICROELEMENTOS!$C29="",MACROMICROELEMENTOS!$D29="",MACROMICROELEMENTOS!$E29="",MACROMICROELEMENTOS!$O29="",MACROMICROELEMENTOS!$CJ29="",MACROMICROELEMENTOS!$CK29=""),"",((MACROMICROELEMENTOS!$O29-MACROMICROELEMENTOS!$CJ29)*MACROMICROELEMENTOS!$CK29*MACROMICROELEMENTOS!$D29*(1/MACROMICROELEMENTOS!$C29)*MACROMICROELEMENTOS!$E29))</f>
        <v/>
      </c>
      <c r="CM29" s="16" t="str">
        <f>IF(AND(MACROMICROELEMENTOS!$BE29="",MACROMICROELEMENTOS!$BF29="",MACROMICROELEMENTOS!$BG29="",MACROMICROELEMENTOS!$BH29=""),"",AVERAGE(MACROMICROELEMENTOS!$BE29,MACROMICROELEMENTOS!$BF29,MACROMICROELEMENTOS!$BG29,MACROMICROELEMENTOS!$BH29))</f>
        <v/>
      </c>
      <c r="CN29" s="18">
        <v>1</v>
      </c>
      <c r="CO29" s="53" t="str">
        <f>IF(OR(MACROMICROELEMENTOS!$A29="",MACROMICROELEMENTOS!$B29="",MACROMICROELEMENTOS!$C29="",MACROMICROELEMENTOS!$D29="",MACROMICROELEMENTOS!$E29="",MACROMICROELEMENTOS!$P29="",MACROMICROELEMENTOS!$CM29="",MACROMICROELEMENTOS!$CN29=""),"",((MACROMICROELEMENTOS!$P29-MACROMICROELEMENTOS!$CM29)*MACROMICROELEMENTOS!$CN29*MACROMICROELEMENTOS!$D29*(1/MACROMICROELEMENTOS!$C29)*MACROMICROELEMENTOS!$E29))</f>
        <v/>
      </c>
    </row>
    <row r="30" spans="1:93" x14ac:dyDescent="0.25">
      <c r="A30" s="50"/>
      <c r="B30" s="51"/>
      <c r="C30" s="50"/>
      <c r="D30" s="18">
        <v>50</v>
      </c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6" t="str">
        <f>IF(AND(MACROMICROELEMENTOS!$U30="",MACROMICROELEMENTOS!$V30="",MACROMICROELEMENTOS!$W30="",MACROMICROELEMENTOS!$X30=""),"",AVERAGE(MACROMICROELEMENTOS!$U30,MACROMICROELEMENTOS!$V30,MACROMICROELEMENTOS!$W30,MACROMICROELEMENTOS!$X30))</f>
        <v/>
      </c>
      <c r="BJ30" s="18">
        <v>1</v>
      </c>
      <c r="BK30" s="53" t="str">
        <f>IF(OR(MACROMICROELEMENTOS!$A30="",MACROMICROELEMENTOS!$B30="",MACROMICROELEMENTOS!$C30="",MACROMICROELEMENTOS!$D30="",MACROMICROELEMENTOS!$E30="",MACROMICROELEMENTOS!$F30="",MACROMICROELEMENTOS!$BI30="",MACROMICROELEMENTOS!$BJ30=""),"",((MACROMICROELEMENTOS!$F30-MACROMICROELEMENTOS!$BI30)*MACROMICROELEMENTOS!$BJ30*MACROMICROELEMENTOS!$D30*(1/MACROMICROELEMENTOS!$C30)*MACROMICROELEMENTOS!$E30/1000))</f>
        <v/>
      </c>
      <c r="BL30" s="16" t="str">
        <f>IF(AND(MACROMICROELEMENTOS!$Y30="",MACROMICROELEMENTOS!$Z30="",MACROMICROELEMENTOS!$AA30="",MACROMICROELEMENTOS!$AB30=""),"",AVERAGE(MACROMICROELEMENTOS!$Y30,MACROMICROELEMENTOS!$Z30,MACROMICROELEMENTOS!$AA30,MACROMICROELEMENTOS!$AB30))</f>
        <v/>
      </c>
      <c r="BM30" s="18">
        <v>1</v>
      </c>
      <c r="BN30" s="53" t="str">
        <f>IF(OR(MACROMICROELEMENTOS!$A30="",MACROMICROELEMENTOS!$B30="",MACROMICROELEMENTOS!$C30="",MACROMICROELEMENTOS!$D30="",MACROMICROELEMENTOS!$E30="",MACROMICROELEMENTOS!$G30="",MACROMICROELEMENTOS!$BL30="",MACROMICROELEMENTOS!$BM30=""),"",((MACROMICROELEMENTOS!$G30-MACROMICROELEMENTOS!$BL30)*MACROMICROELEMENTOS!$BM30*MACROMICROELEMENTOS!$D30*(1/MACROMICROELEMENTOS!$C30)*MACROMICROELEMENTOS!$E30/1000))</f>
        <v/>
      </c>
      <c r="BO30" s="16" t="str">
        <f>IF(AND(MACROMICROELEMENTOS!$AC30="",MACROMICROELEMENTOS!$AD30="",MACROMICROELEMENTOS!$AE30="",MACROMICROELEMENTOS!$AF30=""),"",AVERAGE(MACROMICROELEMENTOS!$AC30,MACROMICROELEMENTOS!$AD30,MACROMICROELEMENTOS!$AE30,MACROMICROELEMENTOS!$AF30))</f>
        <v/>
      </c>
      <c r="BP30" s="18">
        <v>1</v>
      </c>
      <c r="BQ30" s="53" t="str">
        <f>IF(OR(MACROMICROELEMENTOS!$A30="",MACROMICROELEMENTOS!$B30="",MACROMICROELEMENTOS!$C30="",MACROMICROELEMENTOS!$D30="",MACROMICROELEMENTOS!$E30="",MACROMICROELEMENTOS!$H30="",MACROMICROELEMENTOS!$BO30="",MACROMICROELEMENTOS!$BP30=""),"",((MACROMICROELEMENTOS!$H30-MACROMICROELEMENTOS!$BO30)*MACROMICROELEMENTOS!$BP30*MACROMICROELEMENTOS!$D30*(1/MACROMICROELEMENTOS!$C30)*MACROMICROELEMENTOS!$E30/1000))</f>
        <v/>
      </c>
      <c r="BR30" s="16" t="str">
        <f>IF(AND(MACROMICROELEMENTOS!$Q30="",MACROMICROELEMENTOS!$R30="",MACROMICROELEMENTOS!$S30="",MACROMICROELEMENTOS!$T30=""),"",AVERAGE(MACROMICROELEMENTOS!$Q30,MACROMICROELEMENTOS!$R30,MACROMICROELEMENTOS!$S30,MACROMICROELEMENTOS!$T30))</f>
        <v/>
      </c>
      <c r="BS30" s="18">
        <v>1</v>
      </c>
      <c r="BT30" s="53" t="str">
        <f>IF(OR(MACROMICROELEMENTOS!$A30="",MACROMICROELEMENTOS!$B30="",MACROMICROELEMENTOS!$C30="",MACROMICROELEMENTOS!$D30="",MACROMICROELEMENTOS!$E30="",MACROMICROELEMENTOS!$I30="",MACROMICROELEMENTOS!$BR30="",MACROMICROELEMENTOS!$BS30=""),"",((MACROMICROELEMENTOS!$I30-MACROMICROELEMENTOS!$BR30)*MACROMICROELEMENTOS!$BS30*MACROMICROELEMENTOS!$D30*(1/MACROMICROELEMENTOS!$C30)*MACROMICROELEMENTOS!$E30))</f>
        <v/>
      </c>
      <c r="BU30" s="16" t="str">
        <f>IF(AND(MACROMICROELEMENTOS!$AG30="",MACROMICROELEMENTOS!$AH30="",MACROMICROELEMENTOS!$AI30="",MACROMICROELEMENTOS!$AJ30=""),"",AVERAGE(MACROMICROELEMENTOS!$AG30,MACROMICROELEMENTOS!$AH30,MACROMICROELEMENTOS!$AI30,MACROMICROELEMENTOS!$AJ30))</f>
        <v/>
      </c>
      <c r="BV30" s="18">
        <v>1</v>
      </c>
      <c r="BW30" s="53" t="str">
        <f>IF(OR(MACROMICROELEMENTOS!$A30="",MACROMICROELEMENTOS!$B30="",MACROMICROELEMENTOS!$C30="",MACROMICROELEMENTOS!$D30="",MACROMICROELEMENTOS!$E30="",MACROMICROELEMENTOS!$J30="",MACROMICROELEMENTOS!$BU30="",MACROMICROELEMENTOS!$BV30=""),"",((MACROMICROELEMENTOS!$J30-MACROMICROELEMENTOS!$BU30)*MACROMICROELEMENTOS!$BV30*MACROMICROELEMENTOS!$D30*(1/MACROMICROELEMENTOS!$C30)*MACROMICROELEMENTOS!$E30/1000))</f>
        <v/>
      </c>
      <c r="BX30" s="16" t="str">
        <f>IF(AND(MACROMICROELEMENTOS!$AK30="",MACROMICROELEMENTOS!$AL30="",MACROMICROELEMENTOS!$AM30="",MACROMICROELEMENTOS!$AN30=""),"",AVERAGE(MACROMICROELEMENTOS!$AK30,MACROMICROELEMENTOS!$AL30,MACROMICROELEMENTOS!$AM30,MACROMICROELEMENTOS!$AN30))</f>
        <v/>
      </c>
      <c r="BY30" s="18">
        <v>1</v>
      </c>
      <c r="BZ30" s="53" t="str">
        <f>IF(OR(MACROMICROELEMENTOS!$A30="",MACROMICROELEMENTOS!$B30="",MACROMICROELEMENTOS!$C30="",MACROMICROELEMENTOS!$D30="",MACROMICROELEMENTOS!$E30="",MACROMICROELEMENTOS!$K30="",MACROMICROELEMENTOS!$BX30="",MACROMICROELEMENTOS!$BY30=""),"",((MACROMICROELEMENTOS!$K30-MACROMICROELEMENTOS!$BX30)*MACROMICROELEMENTOS!$BY30*MACROMICROELEMENTOS!$D30*(1/MACROMICROELEMENTOS!$C30)*MACROMICROELEMENTOS!$E30/1000))</f>
        <v/>
      </c>
      <c r="CA30" s="16" t="str">
        <f>IF(AND(MACROMICROELEMENTOS!$AO30="",MACROMICROELEMENTOS!$AP30="",MACROMICROELEMENTOS!$AQ30="",MACROMICROELEMENTOS!$AR30=""),"",AVERAGE(MACROMICROELEMENTOS!$AO30,MACROMICROELEMENTOS!$AP30,MACROMICROELEMENTOS!$AQ30,MACROMICROELEMENTOS!$AR30))</f>
        <v/>
      </c>
      <c r="CB30" s="18">
        <v>1</v>
      </c>
      <c r="CC30" s="53" t="str">
        <f>IF(OR(MACROMICROELEMENTOS!$A30="",MACROMICROELEMENTOS!$B30="",MACROMICROELEMENTOS!$C30="",MACROMICROELEMENTOS!$D30="",MACROMICROELEMENTOS!$E30="",MACROMICROELEMENTOS!$L30="",MACROMICROELEMENTOS!$CA30="",MACROMICROELEMENTOS!$CB30=""),"",((MACROMICROELEMENTOS!$L30-MACROMICROELEMENTOS!$CA30)*MACROMICROELEMENTOS!$CB30*MACROMICROELEMENTOS!$D30*(1/MACROMICROELEMENTOS!$C30)*MACROMICROELEMENTOS!$E30))</f>
        <v/>
      </c>
      <c r="CD30" s="16" t="str">
        <f>IF(AND(MACROMICROELEMENTOS!$AS30="",MACROMICROELEMENTOS!$AT30="",MACROMICROELEMENTOS!$AU30="",MACROMICROELEMENTOS!$AV30=""),"",AVERAGE(MACROMICROELEMENTOS!$AS30,MACROMICROELEMENTOS!$AT30,MACROMICROELEMENTOS!$AU30,MACROMICROELEMENTOS!$AV30))</f>
        <v/>
      </c>
      <c r="CE30" s="18">
        <v>1</v>
      </c>
      <c r="CF30" s="53" t="str">
        <f>IF(OR(MACROMICROELEMENTOS!$A30="",MACROMICROELEMENTOS!$B30="",MACROMICROELEMENTOS!$C30="",MACROMICROELEMENTOS!$D30="",MACROMICROELEMENTOS!$E30="",MACROMICROELEMENTOS!$M30="",MACROMICROELEMENTOS!$CD30="",MACROMICROELEMENTOS!$CE30=""),"",((MACROMICROELEMENTOS!$M30-MACROMICROELEMENTOS!$CD30)*MACROMICROELEMENTOS!$CE30*MACROMICROELEMENTOS!$D30*(1/MACROMICROELEMENTOS!$C30)*MACROMICROELEMENTOS!$E30))</f>
        <v/>
      </c>
      <c r="CG30" s="16" t="str">
        <f>IF(AND(MACROMICROELEMENTOS!$AW30="",MACROMICROELEMENTOS!$AX30="",MACROMICROELEMENTOS!$AY30="",MACROMICROELEMENTOS!$AZ30=""),"",AVERAGE(MACROMICROELEMENTOS!$AW30,MACROMICROELEMENTOS!$AX30,MACROMICROELEMENTOS!$AY30,MACROMICROELEMENTOS!$AZ30))</f>
        <v/>
      </c>
      <c r="CH30" s="18">
        <v>1</v>
      </c>
      <c r="CI30" s="53" t="str">
        <f>IF(OR(MACROMICROELEMENTOS!$A30="",MACROMICROELEMENTOS!$B30="",MACROMICROELEMENTOS!$C30="",MACROMICROELEMENTOS!$D30="",MACROMICROELEMENTOS!$E30="",MACROMICROELEMENTOS!$N30="",MACROMICROELEMENTOS!$CG30="",MACROMICROELEMENTOS!$CH30=""),"",((MACROMICROELEMENTOS!$N30-MACROMICROELEMENTOS!$CG30)*MACROMICROELEMENTOS!$CH30*MACROMICROELEMENTOS!$D30*(1/MACROMICROELEMENTOS!$C30)*MACROMICROELEMENTOS!$E30))</f>
        <v/>
      </c>
      <c r="CJ30" s="16" t="str">
        <f>IF(AND(MACROMICROELEMENTOS!$BA30="",MACROMICROELEMENTOS!$BB30="",MACROMICROELEMENTOS!$BC30="",MACROMICROELEMENTOS!$BD30=""),"",IF(O30&gt;5,0,AVERAGE(MACROMICROELEMENTOS!$BA30,MACROMICROELEMENTOS!$BB30,MACROMICROELEMENTOS!$BC30,MACROMICROELEMENTOS!$BD30)))</f>
        <v/>
      </c>
      <c r="CK30" s="18">
        <v>1</v>
      </c>
      <c r="CL30" s="53" t="str">
        <f>IF(OR(MACROMICROELEMENTOS!$A30="",MACROMICROELEMENTOS!$B30="",MACROMICROELEMENTOS!$C30="",MACROMICROELEMENTOS!$D30="",MACROMICROELEMENTOS!$E30="",MACROMICROELEMENTOS!$O30="",MACROMICROELEMENTOS!$CJ30="",MACROMICROELEMENTOS!$CK30=""),"",((MACROMICROELEMENTOS!$O30-MACROMICROELEMENTOS!$CJ30)*MACROMICROELEMENTOS!$CK30*MACROMICROELEMENTOS!$D30*(1/MACROMICROELEMENTOS!$C30)*MACROMICROELEMENTOS!$E30))</f>
        <v/>
      </c>
      <c r="CM30" s="16" t="str">
        <f>IF(AND(MACROMICROELEMENTOS!$BE30="",MACROMICROELEMENTOS!$BF30="",MACROMICROELEMENTOS!$BG30="",MACROMICROELEMENTOS!$BH30=""),"",AVERAGE(MACROMICROELEMENTOS!$BE30,MACROMICROELEMENTOS!$BF30,MACROMICROELEMENTOS!$BG30,MACROMICROELEMENTOS!$BH30))</f>
        <v/>
      </c>
      <c r="CN30" s="18">
        <v>1</v>
      </c>
      <c r="CO30" s="53" t="str">
        <f>IF(OR(MACROMICROELEMENTOS!$A30="",MACROMICROELEMENTOS!$B30="",MACROMICROELEMENTOS!$C30="",MACROMICROELEMENTOS!$D30="",MACROMICROELEMENTOS!$E30="",MACROMICROELEMENTOS!$P30="",MACROMICROELEMENTOS!$CM30="",MACROMICROELEMENTOS!$CN30=""),"",((MACROMICROELEMENTOS!$P30-MACROMICROELEMENTOS!$CM30)*MACROMICROELEMENTOS!$CN30*MACROMICROELEMENTOS!$D30*(1/MACROMICROELEMENTOS!$C30)*MACROMICROELEMENTOS!$E30))</f>
        <v/>
      </c>
    </row>
    <row r="31" spans="1:93" x14ac:dyDescent="0.25">
      <c r="A31" s="50"/>
      <c r="B31" s="51"/>
      <c r="C31" s="50"/>
      <c r="D31" s="18">
        <v>50</v>
      </c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6" t="str">
        <f>IF(AND(MACROMICROELEMENTOS!$U31="",MACROMICROELEMENTOS!$V31="",MACROMICROELEMENTOS!$W31="",MACROMICROELEMENTOS!$X31=""),"",AVERAGE(MACROMICROELEMENTOS!$U31,MACROMICROELEMENTOS!$V31,MACROMICROELEMENTOS!$W31,MACROMICROELEMENTOS!$X31))</f>
        <v/>
      </c>
      <c r="BJ31" s="18">
        <v>1</v>
      </c>
      <c r="BK31" s="53" t="str">
        <f>IF(OR(MACROMICROELEMENTOS!$A31="",MACROMICROELEMENTOS!$B31="",MACROMICROELEMENTOS!$C31="",MACROMICROELEMENTOS!$D31="",MACROMICROELEMENTOS!$E31="",MACROMICROELEMENTOS!$F31="",MACROMICROELEMENTOS!$BI31="",MACROMICROELEMENTOS!$BJ31=""),"",((MACROMICROELEMENTOS!$F31-MACROMICROELEMENTOS!$BI31)*MACROMICROELEMENTOS!$BJ31*MACROMICROELEMENTOS!$D31*(1/MACROMICROELEMENTOS!$C31)*MACROMICROELEMENTOS!$E31/1000))</f>
        <v/>
      </c>
      <c r="BL31" s="16" t="str">
        <f>IF(AND(MACROMICROELEMENTOS!$Y31="",MACROMICROELEMENTOS!$Z31="",MACROMICROELEMENTOS!$AA31="",MACROMICROELEMENTOS!$AB31=""),"",AVERAGE(MACROMICROELEMENTOS!$Y31,MACROMICROELEMENTOS!$Z31,MACROMICROELEMENTOS!$AA31,MACROMICROELEMENTOS!$AB31))</f>
        <v/>
      </c>
      <c r="BM31" s="18">
        <v>1</v>
      </c>
      <c r="BN31" s="53" t="str">
        <f>IF(OR(MACROMICROELEMENTOS!$A31="",MACROMICROELEMENTOS!$B31="",MACROMICROELEMENTOS!$C31="",MACROMICROELEMENTOS!$D31="",MACROMICROELEMENTOS!$E31="",MACROMICROELEMENTOS!$G31="",MACROMICROELEMENTOS!$BL31="",MACROMICROELEMENTOS!$BM31=""),"",((MACROMICROELEMENTOS!$G31-MACROMICROELEMENTOS!$BL31)*MACROMICROELEMENTOS!$BM31*MACROMICROELEMENTOS!$D31*(1/MACROMICROELEMENTOS!$C31)*MACROMICROELEMENTOS!$E31/1000))</f>
        <v/>
      </c>
      <c r="BO31" s="16" t="str">
        <f>IF(AND(MACROMICROELEMENTOS!$AC31="",MACROMICROELEMENTOS!$AD31="",MACROMICROELEMENTOS!$AE31="",MACROMICROELEMENTOS!$AF31=""),"",AVERAGE(MACROMICROELEMENTOS!$AC31,MACROMICROELEMENTOS!$AD31,MACROMICROELEMENTOS!$AE31,MACROMICROELEMENTOS!$AF31))</f>
        <v/>
      </c>
      <c r="BP31" s="18">
        <v>1</v>
      </c>
      <c r="BQ31" s="53" t="str">
        <f>IF(OR(MACROMICROELEMENTOS!$A31="",MACROMICROELEMENTOS!$B31="",MACROMICROELEMENTOS!$C31="",MACROMICROELEMENTOS!$D31="",MACROMICROELEMENTOS!$E31="",MACROMICROELEMENTOS!$H31="",MACROMICROELEMENTOS!$BO31="",MACROMICROELEMENTOS!$BP31=""),"",((MACROMICROELEMENTOS!$H31-MACROMICROELEMENTOS!$BO31)*MACROMICROELEMENTOS!$BP31*MACROMICROELEMENTOS!$D31*(1/MACROMICROELEMENTOS!$C31)*MACROMICROELEMENTOS!$E31/1000))</f>
        <v/>
      </c>
      <c r="BR31" s="16" t="str">
        <f>IF(AND(MACROMICROELEMENTOS!$Q31="",MACROMICROELEMENTOS!$R31="",MACROMICROELEMENTOS!$S31="",MACROMICROELEMENTOS!$T31=""),"",AVERAGE(MACROMICROELEMENTOS!$Q31,MACROMICROELEMENTOS!$R31,MACROMICROELEMENTOS!$S31,MACROMICROELEMENTOS!$T31))</f>
        <v/>
      </c>
      <c r="BS31" s="18">
        <v>1</v>
      </c>
      <c r="BT31" s="53" t="str">
        <f>IF(OR(MACROMICROELEMENTOS!$A31="",MACROMICROELEMENTOS!$B31="",MACROMICROELEMENTOS!$C31="",MACROMICROELEMENTOS!$D31="",MACROMICROELEMENTOS!$E31="",MACROMICROELEMENTOS!$I31="",MACROMICROELEMENTOS!$BR31="",MACROMICROELEMENTOS!$BS31=""),"",((MACROMICROELEMENTOS!$I31-MACROMICROELEMENTOS!$BR31)*MACROMICROELEMENTOS!$BS31*MACROMICROELEMENTOS!$D31*(1/MACROMICROELEMENTOS!$C31)*MACROMICROELEMENTOS!$E31))</f>
        <v/>
      </c>
      <c r="BU31" s="16" t="str">
        <f>IF(AND(MACROMICROELEMENTOS!$AG31="",MACROMICROELEMENTOS!$AH31="",MACROMICROELEMENTOS!$AI31="",MACROMICROELEMENTOS!$AJ31=""),"",AVERAGE(MACROMICROELEMENTOS!$AG31,MACROMICROELEMENTOS!$AH31,MACROMICROELEMENTOS!$AI31,MACROMICROELEMENTOS!$AJ31))</f>
        <v/>
      </c>
      <c r="BV31" s="18">
        <v>1</v>
      </c>
      <c r="BW31" s="53" t="str">
        <f>IF(OR(MACROMICROELEMENTOS!$A31="",MACROMICROELEMENTOS!$B31="",MACROMICROELEMENTOS!$C31="",MACROMICROELEMENTOS!$D31="",MACROMICROELEMENTOS!$E31="",MACROMICROELEMENTOS!$J31="",MACROMICROELEMENTOS!$BU31="",MACROMICROELEMENTOS!$BV31=""),"",((MACROMICROELEMENTOS!$J31-MACROMICROELEMENTOS!$BU31)*MACROMICROELEMENTOS!$BV31*MACROMICROELEMENTOS!$D31*(1/MACROMICROELEMENTOS!$C31)*MACROMICROELEMENTOS!$E31/1000))</f>
        <v/>
      </c>
      <c r="BX31" s="16" t="str">
        <f>IF(AND(MACROMICROELEMENTOS!$AK31="",MACROMICROELEMENTOS!$AL31="",MACROMICROELEMENTOS!$AM31="",MACROMICROELEMENTOS!$AN31=""),"",AVERAGE(MACROMICROELEMENTOS!$AK31,MACROMICROELEMENTOS!$AL31,MACROMICROELEMENTOS!$AM31,MACROMICROELEMENTOS!$AN31))</f>
        <v/>
      </c>
      <c r="BY31" s="18">
        <v>1</v>
      </c>
      <c r="BZ31" s="53" t="str">
        <f>IF(OR(MACROMICROELEMENTOS!$A31="",MACROMICROELEMENTOS!$B31="",MACROMICROELEMENTOS!$C31="",MACROMICROELEMENTOS!$D31="",MACROMICROELEMENTOS!$E31="",MACROMICROELEMENTOS!$K31="",MACROMICROELEMENTOS!$BX31="",MACROMICROELEMENTOS!$BY31=""),"",((MACROMICROELEMENTOS!$K31-MACROMICROELEMENTOS!$BX31)*MACROMICROELEMENTOS!$BY31*MACROMICROELEMENTOS!$D31*(1/MACROMICROELEMENTOS!$C31)*MACROMICROELEMENTOS!$E31/1000))</f>
        <v/>
      </c>
      <c r="CA31" s="16" t="str">
        <f>IF(AND(MACROMICROELEMENTOS!$AO31="",MACROMICROELEMENTOS!$AP31="",MACROMICROELEMENTOS!$AQ31="",MACROMICROELEMENTOS!$AR31=""),"",AVERAGE(MACROMICROELEMENTOS!$AO31,MACROMICROELEMENTOS!$AP31,MACROMICROELEMENTOS!$AQ31,MACROMICROELEMENTOS!$AR31))</f>
        <v/>
      </c>
      <c r="CB31" s="18">
        <v>1</v>
      </c>
      <c r="CC31" s="53" t="str">
        <f>IF(OR(MACROMICROELEMENTOS!$A31="",MACROMICROELEMENTOS!$B31="",MACROMICROELEMENTOS!$C31="",MACROMICROELEMENTOS!$D31="",MACROMICROELEMENTOS!$E31="",MACROMICROELEMENTOS!$L31="",MACROMICROELEMENTOS!$CA31="",MACROMICROELEMENTOS!$CB31=""),"",((MACROMICROELEMENTOS!$L31-MACROMICROELEMENTOS!$CA31)*MACROMICROELEMENTOS!$CB31*MACROMICROELEMENTOS!$D31*(1/MACROMICROELEMENTOS!$C31)*MACROMICROELEMENTOS!$E31))</f>
        <v/>
      </c>
      <c r="CD31" s="16" t="str">
        <f>IF(AND(MACROMICROELEMENTOS!$AS31="",MACROMICROELEMENTOS!$AT31="",MACROMICROELEMENTOS!$AU31="",MACROMICROELEMENTOS!$AV31=""),"",AVERAGE(MACROMICROELEMENTOS!$AS31,MACROMICROELEMENTOS!$AT31,MACROMICROELEMENTOS!$AU31,MACROMICROELEMENTOS!$AV31))</f>
        <v/>
      </c>
      <c r="CE31" s="18">
        <v>1</v>
      </c>
      <c r="CF31" s="53" t="str">
        <f>IF(OR(MACROMICROELEMENTOS!$A31="",MACROMICROELEMENTOS!$B31="",MACROMICROELEMENTOS!$C31="",MACROMICROELEMENTOS!$D31="",MACROMICROELEMENTOS!$E31="",MACROMICROELEMENTOS!$M31="",MACROMICROELEMENTOS!$CD31="",MACROMICROELEMENTOS!$CE31=""),"",((MACROMICROELEMENTOS!$M31-MACROMICROELEMENTOS!$CD31)*MACROMICROELEMENTOS!$CE31*MACROMICROELEMENTOS!$D31*(1/MACROMICROELEMENTOS!$C31)*MACROMICROELEMENTOS!$E31))</f>
        <v/>
      </c>
      <c r="CG31" s="16" t="str">
        <f>IF(AND(MACROMICROELEMENTOS!$AW31="",MACROMICROELEMENTOS!$AX31="",MACROMICROELEMENTOS!$AY31="",MACROMICROELEMENTOS!$AZ31=""),"",AVERAGE(MACROMICROELEMENTOS!$AW31,MACROMICROELEMENTOS!$AX31,MACROMICROELEMENTOS!$AY31,MACROMICROELEMENTOS!$AZ31))</f>
        <v/>
      </c>
      <c r="CH31" s="18">
        <v>1</v>
      </c>
      <c r="CI31" s="53" t="str">
        <f>IF(OR(MACROMICROELEMENTOS!$A31="",MACROMICROELEMENTOS!$B31="",MACROMICROELEMENTOS!$C31="",MACROMICROELEMENTOS!$D31="",MACROMICROELEMENTOS!$E31="",MACROMICROELEMENTOS!$N31="",MACROMICROELEMENTOS!$CG31="",MACROMICROELEMENTOS!$CH31=""),"",((MACROMICROELEMENTOS!$N31-MACROMICROELEMENTOS!$CG31)*MACROMICROELEMENTOS!$CH31*MACROMICROELEMENTOS!$D31*(1/MACROMICROELEMENTOS!$C31)*MACROMICROELEMENTOS!$E31))</f>
        <v/>
      </c>
      <c r="CJ31" s="16" t="str">
        <f>IF(AND(MACROMICROELEMENTOS!$BA31="",MACROMICROELEMENTOS!$BB31="",MACROMICROELEMENTOS!$BC31="",MACROMICROELEMENTOS!$BD31=""),"",IF(O31&gt;5,0,AVERAGE(MACROMICROELEMENTOS!$BA31,MACROMICROELEMENTOS!$BB31,MACROMICROELEMENTOS!$BC31,MACROMICROELEMENTOS!$BD31)))</f>
        <v/>
      </c>
      <c r="CK31" s="18">
        <v>1</v>
      </c>
      <c r="CL31" s="53" t="str">
        <f>IF(OR(MACROMICROELEMENTOS!$A31="",MACROMICROELEMENTOS!$B31="",MACROMICROELEMENTOS!$C31="",MACROMICROELEMENTOS!$D31="",MACROMICROELEMENTOS!$E31="",MACROMICROELEMENTOS!$O31="",MACROMICROELEMENTOS!$CJ31="",MACROMICROELEMENTOS!$CK31=""),"",((MACROMICROELEMENTOS!$O31-MACROMICROELEMENTOS!$CJ31)*MACROMICROELEMENTOS!$CK31*MACROMICROELEMENTOS!$D31*(1/MACROMICROELEMENTOS!$C31)*MACROMICROELEMENTOS!$E31))</f>
        <v/>
      </c>
      <c r="CM31" s="16" t="str">
        <f>IF(AND(MACROMICROELEMENTOS!$BE31="",MACROMICROELEMENTOS!$BF31="",MACROMICROELEMENTOS!$BG31="",MACROMICROELEMENTOS!$BH31=""),"",AVERAGE(MACROMICROELEMENTOS!$BE31,MACROMICROELEMENTOS!$BF31,MACROMICROELEMENTOS!$BG31,MACROMICROELEMENTOS!$BH31))</f>
        <v/>
      </c>
      <c r="CN31" s="18">
        <v>1</v>
      </c>
      <c r="CO31" s="53" t="str">
        <f>IF(OR(MACROMICROELEMENTOS!$A31="",MACROMICROELEMENTOS!$B31="",MACROMICROELEMENTOS!$C31="",MACROMICROELEMENTOS!$D31="",MACROMICROELEMENTOS!$E31="",MACROMICROELEMENTOS!$P31="",MACROMICROELEMENTOS!$CM31="",MACROMICROELEMENTOS!$CN31=""),"",((MACROMICROELEMENTOS!$P31-MACROMICROELEMENTOS!$CM31)*MACROMICROELEMENTOS!$CN31*MACROMICROELEMENTOS!$D31*(1/MACROMICROELEMENTOS!$C31)*MACROMICROELEMENTOS!$E31))</f>
        <v/>
      </c>
    </row>
    <row r="32" spans="1:93" x14ac:dyDescent="0.25">
      <c r="A32" s="50"/>
      <c r="B32" s="51"/>
      <c r="C32" s="50"/>
      <c r="D32" s="18">
        <v>50</v>
      </c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6" t="str">
        <f>IF(AND(MACROMICROELEMENTOS!$U32="",MACROMICROELEMENTOS!$V32="",MACROMICROELEMENTOS!$W32="",MACROMICROELEMENTOS!$X32=""),"",AVERAGE(MACROMICROELEMENTOS!$U32,MACROMICROELEMENTOS!$V32,MACROMICROELEMENTOS!$W32,MACROMICROELEMENTOS!$X32))</f>
        <v/>
      </c>
      <c r="BJ32" s="18">
        <v>1</v>
      </c>
      <c r="BK32" s="53" t="str">
        <f>IF(OR(MACROMICROELEMENTOS!$A32="",MACROMICROELEMENTOS!$B32="",MACROMICROELEMENTOS!$C32="",MACROMICROELEMENTOS!$D32="",MACROMICROELEMENTOS!$E32="",MACROMICROELEMENTOS!$F32="",MACROMICROELEMENTOS!$BI32="",MACROMICROELEMENTOS!$BJ32=""),"",((MACROMICROELEMENTOS!$F32-MACROMICROELEMENTOS!$BI32)*MACROMICROELEMENTOS!$BJ32*MACROMICROELEMENTOS!$D32*(1/MACROMICROELEMENTOS!$C32)*MACROMICROELEMENTOS!$E32/1000))</f>
        <v/>
      </c>
      <c r="BL32" s="16" t="str">
        <f>IF(AND(MACROMICROELEMENTOS!$Y32="",MACROMICROELEMENTOS!$Z32="",MACROMICROELEMENTOS!$AA32="",MACROMICROELEMENTOS!$AB32=""),"",AVERAGE(MACROMICROELEMENTOS!$Y32,MACROMICROELEMENTOS!$Z32,MACROMICROELEMENTOS!$AA32,MACROMICROELEMENTOS!$AB32))</f>
        <v/>
      </c>
      <c r="BM32" s="18">
        <v>1</v>
      </c>
      <c r="BN32" s="53" t="str">
        <f>IF(OR(MACROMICROELEMENTOS!$A32="",MACROMICROELEMENTOS!$B32="",MACROMICROELEMENTOS!$C32="",MACROMICROELEMENTOS!$D32="",MACROMICROELEMENTOS!$E32="",MACROMICROELEMENTOS!$G32="",MACROMICROELEMENTOS!$BL32="",MACROMICROELEMENTOS!$BM32=""),"",((MACROMICROELEMENTOS!$G32-MACROMICROELEMENTOS!$BL32)*MACROMICROELEMENTOS!$BM32*MACROMICROELEMENTOS!$D32*(1/MACROMICROELEMENTOS!$C32)*MACROMICROELEMENTOS!$E32/1000))</f>
        <v/>
      </c>
      <c r="BO32" s="16" t="str">
        <f>IF(AND(MACROMICROELEMENTOS!$AC32="",MACROMICROELEMENTOS!$AD32="",MACROMICROELEMENTOS!$AE32="",MACROMICROELEMENTOS!$AF32=""),"",AVERAGE(MACROMICROELEMENTOS!$AC32,MACROMICROELEMENTOS!$AD32,MACROMICROELEMENTOS!$AE32,MACROMICROELEMENTOS!$AF32))</f>
        <v/>
      </c>
      <c r="BP32" s="18">
        <v>1</v>
      </c>
      <c r="BQ32" s="53" t="str">
        <f>IF(OR(MACROMICROELEMENTOS!$A32="",MACROMICROELEMENTOS!$B32="",MACROMICROELEMENTOS!$C32="",MACROMICROELEMENTOS!$D32="",MACROMICROELEMENTOS!$E32="",MACROMICROELEMENTOS!$H32="",MACROMICROELEMENTOS!$BO32="",MACROMICROELEMENTOS!$BP32=""),"",((MACROMICROELEMENTOS!$H32-MACROMICROELEMENTOS!$BO32)*MACROMICROELEMENTOS!$BP32*MACROMICROELEMENTOS!$D32*(1/MACROMICROELEMENTOS!$C32)*MACROMICROELEMENTOS!$E32/1000))</f>
        <v/>
      </c>
      <c r="BR32" s="16" t="str">
        <f>IF(AND(MACROMICROELEMENTOS!$Q32="",MACROMICROELEMENTOS!$R32="",MACROMICROELEMENTOS!$S32="",MACROMICROELEMENTOS!$T32=""),"",AVERAGE(MACROMICROELEMENTOS!$Q32,MACROMICROELEMENTOS!$R32,MACROMICROELEMENTOS!$S32,MACROMICROELEMENTOS!$T32))</f>
        <v/>
      </c>
      <c r="BS32" s="18">
        <v>1</v>
      </c>
      <c r="BT32" s="53" t="str">
        <f>IF(OR(MACROMICROELEMENTOS!$A32="",MACROMICROELEMENTOS!$B32="",MACROMICROELEMENTOS!$C32="",MACROMICROELEMENTOS!$D32="",MACROMICROELEMENTOS!$E32="",MACROMICROELEMENTOS!$I32="",MACROMICROELEMENTOS!$BR32="",MACROMICROELEMENTOS!$BS32=""),"",((MACROMICROELEMENTOS!$I32-MACROMICROELEMENTOS!$BR32)*MACROMICROELEMENTOS!$BS32*MACROMICROELEMENTOS!$D32*(1/MACROMICROELEMENTOS!$C32)*MACROMICROELEMENTOS!$E32))</f>
        <v/>
      </c>
      <c r="BU32" s="16" t="str">
        <f>IF(AND(MACROMICROELEMENTOS!$AG32="",MACROMICROELEMENTOS!$AH32="",MACROMICROELEMENTOS!$AI32="",MACROMICROELEMENTOS!$AJ32=""),"",AVERAGE(MACROMICROELEMENTOS!$AG32,MACROMICROELEMENTOS!$AH32,MACROMICROELEMENTOS!$AI32,MACROMICROELEMENTOS!$AJ32))</f>
        <v/>
      </c>
      <c r="BV32" s="18">
        <v>1</v>
      </c>
      <c r="BW32" s="53" t="str">
        <f>IF(OR(MACROMICROELEMENTOS!$A32="",MACROMICROELEMENTOS!$B32="",MACROMICROELEMENTOS!$C32="",MACROMICROELEMENTOS!$D32="",MACROMICROELEMENTOS!$E32="",MACROMICROELEMENTOS!$J32="",MACROMICROELEMENTOS!$BU32="",MACROMICROELEMENTOS!$BV32=""),"",((MACROMICROELEMENTOS!$J32-MACROMICROELEMENTOS!$BU32)*MACROMICROELEMENTOS!$BV32*MACROMICROELEMENTOS!$D32*(1/MACROMICROELEMENTOS!$C32)*MACROMICROELEMENTOS!$E32/1000))</f>
        <v/>
      </c>
      <c r="BX32" s="16" t="str">
        <f>IF(AND(MACROMICROELEMENTOS!$AK32="",MACROMICROELEMENTOS!$AL32="",MACROMICROELEMENTOS!$AM32="",MACROMICROELEMENTOS!$AN32=""),"",AVERAGE(MACROMICROELEMENTOS!$AK32,MACROMICROELEMENTOS!$AL32,MACROMICROELEMENTOS!$AM32,MACROMICROELEMENTOS!$AN32))</f>
        <v/>
      </c>
      <c r="BY32" s="18">
        <v>1</v>
      </c>
      <c r="BZ32" s="53" t="str">
        <f>IF(OR(MACROMICROELEMENTOS!$A32="",MACROMICROELEMENTOS!$B32="",MACROMICROELEMENTOS!$C32="",MACROMICROELEMENTOS!$D32="",MACROMICROELEMENTOS!$E32="",MACROMICROELEMENTOS!$K32="",MACROMICROELEMENTOS!$BX32="",MACROMICROELEMENTOS!$BY32=""),"",((MACROMICROELEMENTOS!$K32-MACROMICROELEMENTOS!$BX32)*MACROMICROELEMENTOS!$BY32*MACROMICROELEMENTOS!$D32*(1/MACROMICROELEMENTOS!$C32)*MACROMICROELEMENTOS!$E32/1000))</f>
        <v/>
      </c>
      <c r="CA32" s="16" t="str">
        <f>IF(AND(MACROMICROELEMENTOS!$AO32="",MACROMICROELEMENTOS!$AP32="",MACROMICROELEMENTOS!$AQ32="",MACROMICROELEMENTOS!$AR32=""),"",AVERAGE(MACROMICROELEMENTOS!$AO32,MACROMICROELEMENTOS!$AP32,MACROMICROELEMENTOS!$AQ32,MACROMICROELEMENTOS!$AR32))</f>
        <v/>
      </c>
      <c r="CB32" s="18">
        <v>1</v>
      </c>
      <c r="CC32" s="53" t="str">
        <f>IF(OR(MACROMICROELEMENTOS!$A32="",MACROMICROELEMENTOS!$B32="",MACROMICROELEMENTOS!$C32="",MACROMICROELEMENTOS!$D32="",MACROMICROELEMENTOS!$E32="",MACROMICROELEMENTOS!$L32="",MACROMICROELEMENTOS!$CA32="",MACROMICROELEMENTOS!$CB32=""),"",((MACROMICROELEMENTOS!$L32-MACROMICROELEMENTOS!$CA32)*MACROMICROELEMENTOS!$CB32*MACROMICROELEMENTOS!$D32*(1/MACROMICROELEMENTOS!$C32)*MACROMICROELEMENTOS!$E32))</f>
        <v/>
      </c>
      <c r="CD32" s="16" t="str">
        <f>IF(AND(MACROMICROELEMENTOS!$AS32="",MACROMICROELEMENTOS!$AT32="",MACROMICROELEMENTOS!$AU32="",MACROMICROELEMENTOS!$AV32=""),"",AVERAGE(MACROMICROELEMENTOS!$AS32,MACROMICROELEMENTOS!$AT32,MACROMICROELEMENTOS!$AU32,MACROMICROELEMENTOS!$AV32))</f>
        <v/>
      </c>
      <c r="CE32" s="18">
        <v>1</v>
      </c>
      <c r="CF32" s="53" t="str">
        <f>IF(OR(MACROMICROELEMENTOS!$A32="",MACROMICROELEMENTOS!$B32="",MACROMICROELEMENTOS!$C32="",MACROMICROELEMENTOS!$D32="",MACROMICROELEMENTOS!$E32="",MACROMICROELEMENTOS!$M32="",MACROMICROELEMENTOS!$CD32="",MACROMICROELEMENTOS!$CE32=""),"",((MACROMICROELEMENTOS!$M32-MACROMICROELEMENTOS!$CD32)*MACROMICROELEMENTOS!$CE32*MACROMICROELEMENTOS!$D32*(1/MACROMICROELEMENTOS!$C32)*MACROMICROELEMENTOS!$E32))</f>
        <v/>
      </c>
      <c r="CG32" s="16" t="str">
        <f>IF(AND(MACROMICROELEMENTOS!$AW32="",MACROMICROELEMENTOS!$AX32="",MACROMICROELEMENTOS!$AY32="",MACROMICROELEMENTOS!$AZ32=""),"",AVERAGE(MACROMICROELEMENTOS!$AW32,MACROMICROELEMENTOS!$AX32,MACROMICROELEMENTOS!$AY32,MACROMICROELEMENTOS!$AZ32))</f>
        <v/>
      </c>
      <c r="CH32" s="18">
        <v>1</v>
      </c>
      <c r="CI32" s="53" t="str">
        <f>IF(OR(MACROMICROELEMENTOS!$A32="",MACROMICROELEMENTOS!$B32="",MACROMICROELEMENTOS!$C32="",MACROMICROELEMENTOS!$D32="",MACROMICROELEMENTOS!$E32="",MACROMICROELEMENTOS!$N32="",MACROMICROELEMENTOS!$CG32="",MACROMICROELEMENTOS!$CH32=""),"",((MACROMICROELEMENTOS!$N32-MACROMICROELEMENTOS!$CG32)*MACROMICROELEMENTOS!$CH32*MACROMICROELEMENTOS!$D32*(1/MACROMICROELEMENTOS!$C32)*MACROMICROELEMENTOS!$E32))</f>
        <v/>
      </c>
      <c r="CJ32" s="16" t="str">
        <f>IF(AND(MACROMICROELEMENTOS!$BA32="",MACROMICROELEMENTOS!$BB32="",MACROMICROELEMENTOS!$BC32="",MACROMICROELEMENTOS!$BD32=""),"",IF(O32&gt;5,0,AVERAGE(MACROMICROELEMENTOS!$BA32,MACROMICROELEMENTOS!$BB32,MACROMICROELEMENTOS!$BC32,MACROMICROELEMENTOS!$BD32)))</f>
        <v/>
      </c>
      <c r="CK32" s="18">
        <v>1</v>
      </c>
      <c r="CL32" s="53" t="str">
        <f>IF(OR(MACROMICROELEMENTOS!$A32="",MACROMICROELEMENTOS!$B32="",MACROMICROELEMENTOS!$C32="",MACROMICROELEMENTOS!$D32="",MACROMICROELEMENTOS!$E32="",MACROMICROELEMENTOS!$O32="",MACROMICROELEMENTOS!$CJ32="",MACROMICROELEMENTOS!$CK32=""),"",((MACROMICROELEMENTOS!$O32-MACROMICROELEMENTOS!$CJ32)*MACROMICROELEMENTOS!$CK32*MACROMICROELEMENTOS!$D32*(1/MACROMICROELEMENTOS!$C32)*MACROMICROELEMENTOS!$E32))</f>
        <v/>
      </c>
      <c r="CM32" s="16" t="str">
        <f>IF(AND(MACROMICROELEMENTOS!$BE32="",MACROMICROELEMENTOS!$BF32="",MACROMICROELEMENTOS!$BG32="",MACROMICROELEMENTOS!$BH32=""),"",AVERAGE(MACROMICROELEMENTOS!$BE32,MACROMICROELEMENTOS!$BF32,MACROMICROELEMENTOS!$BG32,MACROMICROELEMENTOS!$BH32))</f>
        <v/>
      </c>
      <c r="CN32" s="18">
        <v>1</v>
      </c>
      <c r="CO32" s="53" t="str">
        <f>IF(OR(MACROMICROELEMENTOS!$A32="",MACROMICROELEMENTOS!$B32="",MACROMICROELEMENTOS!$C32="",MACROMICROELEMENTOS!$D32="",MACROMICROELEMENTOS!$E32="",MACROMICROELEMENTOS!$P32="",MACROMICROELEMENTOS!$CM32="",MACROMICROELEMENTOS!$CN32=""),"",((MACROMICROELEMENTOS!$P32-MACROMICROELEMENTOS!$CM32)*MACROMICROELEMENTOS!$CN32*MACROMICROELEMENTOS!$D32*(1/MACROMICROELEMENTOS!$C32)*MACROMICROELEMENTOS!$E32))</f>
        <v/>
      </c>
    </row>
    <row r="33" spans="1:93" x14ac:dyDescent="0.25">
      <c r="A33" s="50"/>
      <c r="B33" s="51"/>
      <c r="C33" s="50"/>
      <c r="D33" s="18">
        <v>50</v>
      </c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6" t="str">
        <f>IF(AND(MACROMICROELEMENTOS!$U33="",MACROMICROELEMENTOS!$V33="",MACROMICROELEMENTOS!$W33="",MACROMICROELEMENTOS!$X33=""),"",AVERAGE(MACROMICROELEMENTOS!$U33,MACROMICROELEMENTOS!$V33,MACROMICROELEMENTOS!$W33,MACROMICROELEMENTOS!$X33))</f>
        <v/>
      </c>
      <c r="BJ33" s="18">
        <v>1</v>
      </c>
      <c r="BK33" s="53" t="str">
        <f>IF(OR(MACROMICROELEMENTOS!$A33="",MACROMICROELEMENTOS!$B33="",MACROMICROELEMENTOS!$C33="",MACROMICROELEMENTOS!$D33="",MACROMICROELEMENTOS!$E33="",MACROMICROELEMENTOS!$F33="",MACROMICROELEMENTOS!$BI33="",MACROMICROELEMENTOS!$BJ33=""),"",((MACROMICROELEMENTOS!$F33-MACROMICROELEMENTOS!$BI33)*MACROMICROELEMENTOS!$BJ33*MACROMICROELEMENTOS!$D33*(1/MACROMICROELEMENTOS!$C33)*MACROMICROELEMENTOS!$E33/1000))</f>
        <v/>
      </c>
      <c r="BL33" s="16" t="str">
        <f>IF(AND(MACROMICROELEMENTOS!$Y33="",MACROMICROELEMENTOS!$Z33="",MACROMICROELEMENTOS!$AA33="",MACROMICROELEMENTOS!$AB33=""),"",AVERAGE(MACROMICROELEMENTOS!$Y33,MACROMICROELEMENTOS!$Z33,MACROMICROELEMENTOS!$AA33,MACROMICROELEMENTOS!$AB33))</f>
        <v/>
      </c>
      <c r="BM33" s="18">
        <v>1</v>
      </c>
      <c r="BN33" s="53" t="str">
        <f>IF(OR(MACROMICROELEMENTOS!$A33="",MACROMICROELEMENTOS!$B33="",MACROMICROELEMENTOS!$C33="",MACROMICROELEMENTOS!$D33="",MACROMICROELEMENTOS!$E33="",MACROMICROELEMENTOS!$G33="",MACROMICROELEMENTOS!$BL33="",MACROMICROELEMENTOS!$BM33=""),"",((MACROMICROELEMENTOS!$G33-MACROMICROELEMENTOS!$BL33)*MACROMICROELEMENTOS!$BM33*MACROMICROELEMENTOS!$D33*(1/MACROMICROELEMENTOS!$C33)*MACROMICROELEMENTOS!$E33/1000))</f>
        <v/>
      </c>
      <c r="BO33" s="16" t="str">
        <f>IF(AND(MACROMICROELEMENTOS!$AC33="",MACROMICROELEMENTOS!$AD33="",MACROMICROELEMENTOS!$AE33="",MACROMICROELEMENTOS!$AF33=""),"",AVERAGE(MACROMICROELEMENTOS!$AC33,MACROMICROELEMENTOS!$AD33,MACROMICROELEMENTOS!$AE33,MACROMICROELEMENTOS!$AF33))</f>
        <v/>
      </c>
      <c r="BP33" s="18">
        <v>1</v>
      </c>
      <c r="BQ33" s="53" t="str">
        <f>IF(OR(MACROMICROELEMENTOS!$A33="",MACROMICROELEMENTOS!$B33="",MACROMICROELEMENTOS!$C33="",MACROMICROELEMENTOS!$D33="",MACROMICROELEMENTOS!$E33="",MACROMICROELEMENTOS!$H33="",MACROMICROELEMENTOS!$BO33="",MACROMICROELEMENTOS!$BP33=""),"",((MACROMICROELEMENTOS!$H33-MACROMICROELEMENTOS!$BO33)*MACROMICROELEMENTOS!$BP33*MACROMICROELEMENTOS!$D33*(1/MACROMICROELEMENTOS!$C33)*MACROMICROELEMENTOS!$E33/1000))</f>
        <v/>
      </c>
      <c r="BR33" s="16" t="str">
        <f>IF(AND(MACROMICROELEMENTOS!$Q33="",MACROMICROELEMENTOS!$R33="",MACROMICROELEMENTOS!$S33="",MACROMICROELEMENTOS!$T33=""),"",AVERAGE(MACROMICROELEMENTOS!$Q33,MACROMICROELEMENTOS!$R33,MACROMICROELEMENTOS!$S33,MACROMICROELEMENTOS!$T33))</f>
        <v/>
      </c>
      <c r="BS33" s="18">
        <v>1</v>
      </c>
      <c r="BT33" s="53" t="str">
        <f>IF(OR(MACROMICROELEMENTOS!$A33="",MACROMICROELEMENTOS!$B33="",MACROMICROELEMENTOS!$C33="",MACROMICROELEMENTOS!$D33="",MACROMICROELEMENTOS!$E33="",MACROMICROELEMENTOS!$I33="",MACROMICROELEMENTOS!$BR33="",MACROMICROELEMENTOS!$BS33=""),"",((MACROMICROELEMENTOS!$I33-MACROMICROELEMENTOS!$BR33)*MACROMICROELEMENTOS!$BS33*MACROMICROELEMENTOS!$D33*(1/MACROMICROELEMENTOS!$C33)*MACROMICROELEMENTOS!$E33))</f>
        <v/>
      </c>
      <c r="BU33" s="16" t="str">
        <f>IF(AND(MACROMICROELEMENTOS!$AG33="",MACROMICROELEMENTOS!$AH33="",MACROMICROELEMENTOS!$AI33="",MACROMICROELEMENTOS!$AJ33=""),"",AVERAGE(MACROMICROELEMENTOS!$AG33,MACROMICROELEMENTOS!$AH33,MACROMICROELEMENTOS!$AI33,MACROMICROELEMENTOS!$AJ33))</f>
        <v/>
      </c>
      <c r="BV33" s="18">
        <v>1</v>
      </c>
      <c r="BW33" s="53" t="str">
        <f>IF(OR(MACROMICROELEMENTOS!$A33="",MACROMICROELEMENTOS!$B33="",MACROMICROELEMENTOS!$C33="",MACROMICROELEMENTOS!$D33="",MACROMICROELEMENTOS!$E33="",MACROMICROELEMENTOS!$J33="",MACROMICROELEMENTOS!$BU33="",MACROMICROELEMENTOS!$BV33=""),"",((MACROMICROELEMENTOS!$J33-MACROMICROELEMENTOS!$BU33)*MACROMICROELEMENTOS!$BV33*MACROMICROELEMENTOS!$D33*(1/MACROMICROELEMENTOS!$C33)*MACROMICROELEMENTOS!$E33/1000))</f>
        <v/>
      </c>
      <c r="BX33" s="16" t="str">
        <f>IF(AND(MACROMICROELEMENTOS!$AK33="",MACROMICROELEMENTOS!$AL33="",MACROMICROELEMENTOS!$AM33="",MACROMICROELEMENTOS!$AN33=""),"",AVERAGE(MACROMICROELEMENTOS!$AK33,MACROMICROELEMENTOS!$AL33,MACROMICROELEMENTOS!$AM33,MACROMICROELEMENTOS!$AN33))</f>
        <v/>
      </c>
      <c r="BY33" s="18">
        <v>1</v>
      </c>
      <c r="BZ33" s="53" t="str">
        <f>IF(OR(MACROMICROELEMENTOS!$A33="",MACROMICROELEMENTOS!$B33="",MACROMICROELEMENTOS!$C33="",MACROMICROELEMENTOS!$D33="",MACROMICROELEMENTOS!$E33="",MACROMICROELEMENTOS!$K33="",MACROMICROELEMENTOS!$BX33="",MACROMICROELEMENTOS!$BY33=""),"",((MACROMICROELEMENTOS!$K33-MACROMICROELEMENTOS!$BX33)*MACROMICROELEMENTOS!$BY33*MACROMICROELEMENTOS!$D33*(1/MACROMICROELEMENTOS!$C33)*MACROMICROELEMENTOS!$E33/1000))</f>
        <v/>
      </c>
      <c r="CA33" s="16" t="str">
        <f>IF(AND(MACROMICROELEMENTOS!$AO33="",MACROMICROELEMENTOS!$AP33="",MACROMICROELEMENTOS!$AQ33="",MACROMICROELEMENTOS!$AR33=""),"",AVERAGE(MACROMICROELEMENTOS!$AO33,MACROMICROELEMENTOS!$AP33,MACROMICROELEMENTOS!$AQ33,MACROMICROELEMENTOS!$AR33))</f>
        <v/>
      </c>
      <c r="CB33" s="18">
        <v>1</v>
      </c>
      <c r="CC33" s="53" t="str">
        <f>IF(OR(MACROMICROELEMENTOS!$A33="",MACROMICROELEMENTOS!$B33="",MACROMICROELEMENTOS!$C33="",MACROMICROELEMENTOS!$D33="",MACROMICROELEMENTOS!$E33="",MACROMICROELEMENTOS!$L33="",MACROMICROELEMENTOS!$CA33="",MACROMICROELEMENTOS!$CB33=""),"",((MACROMICROELEMENTOS!$L33-MACROMICROELEMENTOS!$CA33)*MACROMICROELEMENTOS!$CB33*MACROMICROELEMENTOS!$D33*(1/MACROMICROELEMENTOS!$C33)*MACROMICROELEMENTOS!$E33))</f>
        <v/>
      </c>
      <c r="CD33" s="16" t="str">
        <f>IF(AND(MACROMICROELEMENTOS!$AS33="",MACROMICROELEMENTOS!$AT33="",MACROMICROELEMENTOS!$AU33="",MACROMICROELEMENTOS!$AV33=""),"",AVERAGE(MACROMICROELEMENTOS!$AS33,MACROMICROELEMENTOS!$AT33,MACROMICROELEMENTOS!$AU33,MACROMICROELEMENTOS!$AV33))</f>
        <v/>
      </c>
      <c r="CE33" s="18">
        <v>1</v>
      </c>
      <c r="CF33" s="53" t="str">
        <f>IF(OR(MACROMICROELEMENTOS!$A33="",MACROMICROELEMENTOS!$B33="",MACROMICROELEMENTOS!$C33="",MACROMICROELEMENTOS!$D33="",MACROMICROELEMENTOS!$E33="",MACROMICROELEMENTOS!$M33="",MACROMICROELEMENTOS!$CD33="",MACROMICROELEMENTOS!$CE33=""),"",((MACROMICROELEMENTOS!$M33-MACROMICROELEMENTOS!$CD33)*MACROMICROELEMENTOS!$CE33*MACROMICROELEMENTOS!$D33*(1/MACROMICROELEMENTOS!$C33)*MACROMICROELEMENTOS!$E33))</f>
        <v/>
      </c>
      <c r="CG33" s="16" t="str">
        <f>IF(AND(MACROMICROELEMENTOS!$AW33="",MACROMICROELEMENTOS!$AX33="",MACROMICROELEMENTOS!$AY33="",MACROMICROELEMENTOS!$AZ33=""),"",AVERAGE(MACROMICROELEMENTOS!$AW33,MACROMICROELEMENTOS!$AX33,MACROMICROELEMENTOS!$AY33,MACROMICROELEMENTOS!$AZ33))</f>
        <v/>
      </c>
      <c r="CH33" s="18">
        <v>1</v>
      </c>
      <c r="CI33" s="53" t="str">
        <f>IF(OR(MACROMICROELEMENTOS!$A33="",MACROMICROELEMENTOS!$B33="",MACROMICROELEMENTOS!$C33="",MACROMICROELEMENTOS!$D33="",MACROMICROELEMENTOS!$E33="",MACROMICROELEMENTOS!$N33="",MACROMICROELEMENTOS!$CG33="",MACROMICROELEMENTOS!$CH33=""),"",((MACROMICROELEMENTOS!$N33-MACROMICROELEMENTOS!$CG33)*MACROMICROELEMENTOS!$CH33*MACROMICROELEMENTOS!$D33*(1/MACROMICROELEMENTOS!$C33)*MACROMICROELEMENTOS!$E33))</f>
        <v/>
      </c>
      <c r="CJ33" s="16" t="str">
        <f>IF(AND(MACROMICROELEMENTOS!$BA33="",MACROMICROELEMENTOS!$BB33="",MACROMICROELEMENTOS!$BC33="",MACROMICROELEMENTOS!$BD33=""),"",IF(O33&gt;5,0,AVERAGE(MACROMICROELEMENTOS!$BA33,MACROMICROELEMENTOS!$BB33,MACROMICROELEMENTOS!$BC33,MACROMICROELEMENTOS!$BD33)))</f>
        <v/>
      </c>
      <c r="CK33" s="18">
        <v>1</v>
      </c>
      <c r="CL33" s="53" t="str">
        <f>IF(OR(MACROMICROELEMENTOS!$A33="",MACROMICROELEMENTOS!$B33="",MACROMICROELEMENTOS!$C33="",MACROMICROELEMENTOS!$D33="",MACROMICROELEMENTOS!$E33="",MACROMICROELEMENTOS!$O33="",MACROMICROELEMENTOS!$CJ33="",MACROMICROELEMENTOS!$CK33=""),"",((MACROMICROELEMENTOS!$O33-MACROMICROELEMENTOS!$CJ33)*MACROMICROELEMENTOS!$CK33*MACROMICROELEMENTOS!$D33*(1/MACROMICROELEMENTOS!$C33)*MACROMICROELEMENTOS!$E33))</f>
        <v/>
      </c>
      <c r="CM33" s="16" t="str">
        <f>IF(AND(MACROMICROELEMENTOS!$BE33="",MACROMICROELEMENTOS!$BF33="",MACROMICROELEMENTOS!$BG33="",MACROMICROELEMENTOS!$BH33=""),"",AVERAGE(MACROMICROELEMENTOS!$BE33,MACROMICROELEMENTOS!$BF33,MACROMICROELEMENTOS!$BG33,MACROMICROELEMENTOS!$BH33))</f>
        <v/>
      </c>
      <c r="CN33" s="18">
        <v>1</v>
      </c>
      <c r="CO33" s="53" t="str">
        <f>IF(OR(MACROMICROELEMENTOS!$A33="",MACROMICROELEMENTOS!$B33="",MACROMICROELEMENTOS!$C33="",MACROMICROELEMENTOS!$D33="",MACROMICROELEMENTOS!$E33="",MACROMICROELEMENTOS!$P33="",MACROMICROELEMENTOS!$CM33="",MACROMICROELEMENTOS!$CN33=""),"",((MACROMICROELEMENTOS!$P33-MACROMICROELEMENTOS!$CM33)*MACROMICROELEMENTOS!$CN33*MACROMICROELEMENTOS!$D33*(1/MACROMICROELEMENTOS!$C33)*MACROMICROELEMENTOS!$E33))</f>
        <v/>
      </c>
    </row>
    <row r="34" spans="1:93" x14ac:dyDescent="0.25">
      <c r="A34" s="50"/>
      <c r="B34" s="51"/>
      <c r="C34" s="50"/>
      <c r="D34" s="18">
        <v>50</v>
      </c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6" t="str">
        <f>IF(AND(MACROMICROELEMENTOS!$U34="",MACROMICROELEMENTOS!$V34="",MACROMICROELEMENTOS!$W34="",MACROMICROELEMENTOS!$X34=""),"",AVERAGE(MACROMICROELEMENTOS!$U34,MACROMICROELEMENTOS!$V34,MACROMICROELEMENTOS!$W34,MACROMICROELEMENTOS!$X34))</f>
        <v/>
      </c>
      <c r="BJ34" s="18">
        <v>1</v>
      </c>
      <c r="BK34" s="53" t="str">
        <f>IF(OR(MACROMICROELEMENTOS!$A34="",MACROMICROELEMENTOS!$B34="",MACROMICROELEMENTOS!$C34="",MACROMICROELEMENTOS!$D34="",MACROMICROELEMENTOS!$E34="",MACROMICROELEMENTOS!$F34="",MACROMICROELEMENTOS!$BI34="",MACROMICROELEMENTOS!$BJ34=""),"",((MACROMICROELEMENTOS!$F34-MACROMICROELEMENTOS!$BI34)*MACROMICROELEMENTOS!$BJ34*MACROMICROELEMENTOS!$D34*(1/MACROMICROELEMENTOS!$C34)*MACROMICROELEMENTOS!$E34/1000))</f>
        <v/>
      </c>
      <c r="BL34" s="16" t="str">
        <f>IF(AND(MACROMICROELEMENTOS!$Y34="",MACROMICROELEMENTOS!$Z34="",MACROMICROELEMENTOS!$AA34="",MACROMICROELEMENTOS!$AB34=""),"",AVERAGE(MACROMICROELEMENTOS!$Y34,MACROMICROELEMENTOS!$Z34,MACROMICROELEMENTOS!$AA34,MACROMICROELEMENTOS!$AB34))</f>
        <v/>
      </c>
      <c r="BM34" s="18">
        <v>1</v>
      </c>
      <c r="BN34" s="53" t="str">
        <f>IF(OR(MACROMICROELEMENTOS!$A34="",MACROMICROELEMENTOS!$B34="",MACROMICROELEMENTOS!$C34="",MACROMICROELEMENTOS!$D34="",MACROMICROELEMENTOS!$E34="",MACROMICROELEMENTOS!$G34="",MACROMICROELEMENTOS!$BL34="",MACROMICROELEMENTOS!$BM34=""),"",((MACROMICROELEMENTOS!$G34-MACROMICROELEMENTOS!$BL34)*MACROMICROELEMENTOS!$BM34*MACROMICROELEMENTOS!$D34*(1/MACROMICROELEMENTOS!$C34)*MACROMICROELEMENTOS!$E34/1000))</f>
        <v/>
      </c>
      <c r="BO34" s="16" t="str">
        <f>IF(AND(MACROMICROELEMENTOS!$AC34="",MACROMICROELEMENTOS!$AD34="",MACROMICROELEMENTOS!$AE34="",MACROMICROELEMENTOS!$AF34=""),"",AVERAGE(MACROMICROELEMENTOS!$AC34,MACROMICROELEMENTOS!$AD34,MACROMICROELEMENTOS!$AE34,MACROMICROELEMENTOS!$AF34))</f>
        <v/>
      </c>
      <c r="BP34" s="18">
        <v>1</v>
      </c>
      <c r="BQ34" s="53" t="str">
        <f>IF(OR(MACROMICROELEMENTOS!$A34="",MACROMICROELEMENTOS!$B34="",MACROMICROELEMENTOS!$C34="",MACROMICROELEMENTOS!$D34="",MACROMICROELEMENTOS!$E34="",MACROMICROELEMENTOS!$H34="",MACROMICROELEMENTOS!$BO34="",MACROMICROELEMENTOS!$BP34=""),"",((MACROMICROELEMENTOS!$H34-MACROMICROELEMENTOS!$BO34)*MACROMICROELEMENTOS!$BP34*MACROMICROELEMENTOS!$D34*(1/MACROMICROELEMENTOS!$C34)*MACROMICROELEMENTOS!$E34/1000))</f>
        <v/>
      </c>
      <c r="BR34" s="16" t="str">
        <f>IF(AND(MACROMICROELEMENTOS!$Q34="",MACROMICROELEMENTOS!$R34="",MACROMICROELEMENTOS!$S34="",MACROMICROELEMENTOS!$T34=""),"",AVERAGE(MACROMICROELEMENTOS!$Q34,MACROMICROELEMENTOS!$R34,MACROMICROELEMENTOS!$S34,MACROMICROELEMENTOS!$T34))</f>
        <v/>
      </c>
      <c r="BS34" s="18">
        <v>1</v>
      </c>
      <c r="BT34" s="53" t="str">
        <f>IF(OR(MACROMICROELEMENTOS!$A34="",MACROMICROELEMENTOS!$B34="",MACROMICROELEMENTOS!$C34="",MACROMICROELEMENTOS!$D34="",MACROMICROELEMENTOS!$E34="",MACROMICROELEMENTOS!$I34="",MACROMICROELEMENTOS!$BR34="",MACROMICROELEMENTOS!$BS34=""),"",((MACROMICROELEMENTOS!$I34-MACROMICROELEMENTOS!$BR34)*MACROMICROELEMENTOS!$BS34*MACROMICROELEMENTOS!$D34*(1/MACROMICROELEMENTOS!$C34)*MACROMICROELEMENTOS!$E34))</f>
        <v/>
      </c>
      <c r="BU34" s="16" t="str">
        <f>IF(AND(MACROMICROELEMENTOS!$AG34="",MACROMICROELEMENTOS!$AH34="",MACROMICROELEMENTOS!$AI34="",MACROMICROELEMENTOS!$AJ34=""),"",AVERAGE(MACROMICROELEMENTOS!$AG34,MACROMICROELEMENTOS!$AH34,MACROMICROELEMENTOS!$AI34,MACROMICROELEMENTOS!$AJ34))</f>
        <v/>
      </c>
      <c r="BV34" s="18">
        <v>1</v>
      </c>
      <c r="BW34" s="53" t="str">
        <f>IF(OR(MACROMICROELEMENTOS!$A34="",MACROMICROELEMENTOS!$B34="",MACROMICROELEMENTOS!$C34="",MACROMICROELEMENTOS!$D34="",MACROMICROELEMENTOS!$E34="",MACROMICROELEMENTOS!$J34="",MACROMICROELEMENTOS!$BU34="",MACROMICROELEMENTOS!$BV34=""),"",((MACROMICROELEMENTOS!$J34-MACROMICROELEMENTOS!$BU34)*MACROMICROELEMENTOS!$BV34*MACROMICROELEMENTOS!$D34*(1/MACROMICROELEMENTOS!$C34)*MACROMICROELEMENTOS!$E34/1000))</f>
        <v/>
      </c>
      <c r="BX34" s="16" t="str">
        <f>IF(AND(MACROMICROELEMENTOS!$AK34="",MACROMICROELEMENTOS!$AL34="",MACROMICROELEMENTOS!$AM34="",MACROMICROELEMENTOS!$AN34=""),"",AVERAGE(MACROMICROELEMENTOS!$AK34,MACROMICROELEMENTOS!$AL34,MACROMICROELEMENTOS!$AM34,MACROMICROELEMENTOS!$AN34))</f>
        <v/>
      </c>
      <c r="BY34" s="18">
        <v>1</v>
      </c>
      <c r="BZ34" s="53" t="str">
        <f>IF(OR(MACROMICROELEMENTOS!$A34="",MACROMICROELEMENTOS!$B34="",MACROMICROELEMENTOS!$C34="",MACROMICROELEMENTOS!$D34="",MACROMICROELEMENTOS!$E34="",MACROMICROELEMENTOS!$K34="",MACROMICROELEMENTOS!$BX34="",MACROMICROELEMENTOS!$BY34=""),"",((MACROMICROELEMENTOS!$K34-MACROMICROELEMENTOS!$BX34)*MACROMICROELEMENTOS!$BY34*MACROMICROELEMENTOS!$D34*(1/MACROMICROELEMENTOS!$C34)*MACROMICROELEMENTOS!$E34/1000))</f>
        <v/>
      </c>
      <c r="CA34" s="16" t="str">
        <f>IF(AND(MACROMICROELEMENTOS!$AO34="",MACROMICROELEMENTOS!$AP34="",MACROMICROELEMENTOS!$AQ34="",MACROMICROELEMENTOS!$AR34=""),"",AVERAGE(MACROMICROELEMENTOS!$AO34,MACROMICROELEMENTOS!$AP34,MACROMICROELEMENTOS!$AQ34,MACROMICROELEMENTOS!$AR34))</f>
        <v/>
      </c>
      <c r="CB34" s="18">
        <v>1</v>
      </c>
      <c r="CC34" s="53" t="str">
        <f>IF(OR(MACROMICROELEMENTOS!$A34="",MACROMICROELEMENTOS!$B34="",MACROMICROELEMENTOS!$C34="",MACROMICROELEMENTOS!$D34="",MACROMICROELEMENTOS!$E34="",MACROMICROELEMENTOS!$L34="",MACROMICROELEMENTOS!$CA34="",MACROMICROELEMENTOS!$CB34=""),"",((MACROMICROELEMENTOS!$L34-MACROMICROELEMENTOS!$CA34)*MACROMICROELEMENTOS!$CB34*MACROMICROELEMENTOS!$D34*(1/MACROMICROELEMENTOS!$C34)*MACROMICROELEMENTOS!$E34))</f>
        <v/>
      </c>
      <c r="CD34" s="16" t="str">
        <f>IF(AND(MACROMICROELEMENTOS!$AS34="",MACROMICROELEMENTOS!$AT34="",MACROMICROELEMENTOS!$AU34="",MACROMICROELEMENTOS!$AV34=""),"",AVERAGE(MACROMICROELEMENTOS!$AS34,MACROMICROELEMENTOS!$AT34,MACROMICROELEMENTOS!$AU34,MACROMICROELEMENTOS!$AV34))</f>
        <v/>
      </c>
      <c r="CE34" s="18">
        <v>1</v>
      </c>
      <c r="CF34" s="53" t="str">
        <f>IF(OR(MACROMICROELEMENTOS!$A34="",MACROMICROELEMENTOS!$B34="",MACROMICROELEMENTOS!$C34="",MACROMICROELEMENTOS!$D34="",MACROMICROELEMENTOS!$E34="",MACROMICROELEMENTOS!$M34="",MACROMICROELEMENTOS!$CD34="",MACROMICROELEMENTOS!$CE34=""),"",((MACROMICROELEMENTOS!$M34-MACROMICROELEMENTOS!$CD34)*MACROMICROELEMENTOS!$CE34*MACROMICROELEMENTOS!$D34*(1/MACROMICROELEMENTOS!$C34)*MACROMICROELEMENTOS!$E34))</f>
        <v/>
      </c>
      <c r="CG34" s="16" t="str">
        <f>IF(AND(MACROMICROELEMENTOS!$AW34="",MACROMICROELEMENTOS!$AX34="",MACROMICROELEMENTOS!$AY34="",MACROMICROELEMENTOS!$AZ34=""),"",AVERAGE(MACROMICROELEMENTOS!$AW34,MACROMICROELEMENTOS!$AX34,MACROMICROELEMENTOS!$AY34,MACROMICROELEMENTOS!$AZ34))</f>
        <v/>
      </c>
      <c r="CH34" s="18">
        <v>1</v>
      </c>
      <c r="CI34" s="53" t="str">
        <f>IF(OR(MACROMICROELEMENTOS!$A34="",MACROMICROELEMENTOS!$B34="",MACROMICROELEMENTOS!$C34="",MACROMICROELEMENTOS!$D34="",MACROMICROELEMENTOS!$E34="",MACROMICROELEMENTOS!$N34="",MACROMICROELEMENTOS!$CG34="",MACROMICROELEMENTOS!$CH34=""),"",((MACROMICROELEMENTOS!$N34-MACROMICROELEMENTOS!$CG34)*MACROMICROELEMENTOS!$CH34*MACROMICROELEMENTOS!$D34*(1/MACROMICROELEMENTOS!$C34)*MACROMICROELEMENTOS!$E34))</f>
        <v/>
      </c>
      <c r="CJ34" s="16" t="str">
        <f>IF(AND(MACROMICROELEMENTOS!$BA34="",MACROMICROELEMENTOS!$BB34="",MACROMICROELEMENTOS!$BC34="",MACROMICROELEMENTOS!$BD34=""),"",IF(O34&gt;5,0,AVERAGE(MACROMICROELEMENTOS!$BA34,MACROMICROELEMENTOS!$BB34,MACROMICROELEMENTOS!$BC34,MACROMICROELEMENTOS!$BD34)))</f>
        <v/>
      </c>
      <c r="CK34" s="18">
        <v>1</v>
      </c>
      <c r="CL34" s="53" t="str">
        <f>IF(OR(MACROMICROELEMENTOS!$A34="",MACROMICROELEMENTOS!$B34="",MACROMICROELEMENTOS!$C34="",MACROMICROELEMENTOS!$D34="",MACROMICROELEMENTOS!$E34="",MACROMICROELEMENTOS!$O34="",MACROMICROELEMENTOS!$CJ34="",MACROMICROELEMENTOS!$CK34=""),"",((MACROMICROELEMENTOS!$O34-MACROMICROELEMENTOS!$CJ34)*MACROMICROELEMENTOS!$CK34*MACROMICROELEMENTOS!$D34*(1/MACROMICROELEMENTOS!$C34)*MACROMICROELEMENTOS!$E34))</f>
        <v/>
      </c>
      <c r="CM34" s="16" t="str">
        <f>IF(AND(MACROMICROELEMENTOS!$BE34="",MACROMICROELEMENTOS!$BF34="",MACROMICROELEMENTOS!$BG34="",MACROMICROELEMENTOS!$BH34=""),"",AVERAGE(MACROMICROELEMENTOS!$BE34,MACROMICROELEMENTOS!$BF34,MACROMICROELEMENTOS!$BG34,MACROMICROELEMENTOS!$BH34))</f>
        <v/>
      </c>
      <c r="CN34" s="18">
        <v>1</v>
      </c>
      <c r="CO34" s="53" t="str">
        <f>IF(OR(MACROMICROELEMENTOS!$A34="",MACROMICROELEMENTOS!$B34="",MACROMICROELEMENTOS!$C34="",MACROMICROELEMENTOS!$D34="",MACROMICROELEMENTOS!$E34="",MACROMICROELEMENTOS!$P34="",MACROMICROELEMENTOS!$CM34="",MACROMICROELEMENTOS!$CN34=""),"",((MACROMICROELEMENTOS!$P34-MACROMICROELEMENTOS!$CM34)*MACROMICROELEMENTOS!$CN34*MACROMICROELEMENTOS!$D34*(1/MACROMICROELEMENTOS!$C34)*MACROMICROELEMENTOS!$E34))</f>
        <v/>
      </c>
    </row>
    <row r="35" spans="1:93" x14ac:dyDescent="0.25">
      <c r="A35" s="50"/>
      <c r="B35" s="51"/>
      <c r="C35" s="50"/>
      <c r="D35" s="18">
        <v>50</v>
      </c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6" t="str">
        <f>IF(AND(MACROMICROELEMENTOS!$U35="",MACROMICROELEMENTOS!$V35="",MACROMICROELEMENTOS!$W35="",MACROMICROELEMENTOS!$X35=""),"",AVERAGE(MACROMICROELEMENTOS!$U35,MACROMICROELEMENTOS!$V35,MACROMICROELEMENTOS!$W35,MACROMICROELEMENTOS!$X35))</f>
        <v/>
      </c>
      <c r="BJ35" s="18">
        <v>1</v>
      </c>
      <c r="BK35" s="53" t="str">
        <f>IF(OR(MACROMICROELEMENTOS!$A35="",MACROMICROELEMENTOS!$B35="",MACROMICROELEMENTOS!$C35="",MACROMICROELEMENTOS!$D35="",MACROMICROELEMENTOS!$E35="",MACROMICROELEMENTOS!$F35="",MACROMICROELEMENTOS!$BI35="",MACROMICROELEMENTOS!$BJ35=""),"",((MACROMICROELEMENTOS!$F35-MACROMICROELEMENTOS!$BI35)*MACROMICROELEMENTOS!$BJ35*MACROMICROELEMENTOS!$D35*(1/MACROMICROELEMENTOS!$C35)*MACROMICROELEMENTOS!$E35/1000))</f>
        <v/>
      </c>
      <c r="BL35" s="16" t="str">
        <f>IF(AND(MACROMICROELEMENTOS!$Y35="",MACROMICROELEMENTOS!$Z35="",MACROMICROELEMENTOS!$AA35="",MACROMICROELEMENTOS!$AB35=""),"",AVERAGE(MACROMICROELEMENTOS!$Y35,MACROMICROELEMENTOS!$Z35,MACROMICROELEMENTOS!$AA35,MACROMICROELEMENTOS!$AB35))</f>
        <v/>
      </c>
      <c r="BM35" s="18">
        <v>1</v>
      </c>
      <c r="BN35" s="53" t="str">
        <f>IF(OR(MACROMICROELEMENTOS!$A35="",MACROMICROELEMENTOS!$B35="",MACROMICROELEMENTOS!$C35="",MACROMICROELEMENTOS!$D35="",MACROMICROELEMENTOS!$E35="",MACROMICROELEMENTOS!$G35="",MACROMICROELEMENTOS!$BL35="",MACROMICROELEMENTOS!$BM35=""),"",((MACROMICROELEMENTOS!$G35-MACROMICROELEMENTOS!$BL35)*MACROMICROELEMENTOS!$BM35*MACROMICROELEMENTOS!$D35*(1/MACROMICROELEMENTOS!$C35)*MACROMICROELEMENTOS!$E35/1000))</f>
        <v/>
      </c>
      <c r="BO35" s="16" t="str">
        <f>IF(AND(MACROMICROELEMENTOS!$AC35="",MACROMICROELEMENTOS!$AD35="",MACROMICROELEMENTOS!$AE35="",MACROMICROELEMENTOS!$AF35=""),"",AVERAGE(MACROMICROELEMENTOS!$AC35,MACROMICROELEMENTOS!$AD35,MACROMICROELEMENTOS!$AE35,MACROMICROELEMENTOS!$AF35))</f>
        <v/>
      </c>
      <c r="BP35" s="18">
        <v>1</v>
      </c>
      <c r="BQ35" s="53" t="str">
        <f>IF(OR(MACROMICROELEMENTOS!$A35="",MACROMICROELEMENTOS!$B35="",MACROMICROELEMENTOS!$C35="",MACROMICROELEMENTOS!$D35="",MACROMICROELEMENTOS!$E35="",MACROMICROELEMENTOS!$H35="",MACROMICROELEMENTOS!$BO35="",MACROMICROELEMENTOS!$BP35=""),"",((MACROMICROELEMENTOS!$H35-MACROMICROELEMENTOS!$BO35)*MACROMICROELEMENTOS!$BP35*MACROMICROELEMENTOS!$D35*(1/MACROMICROELEMENTOS!$C35)*MACROMICROELEMENTOS!$E35/1000))</f>
        <v/>
      </c>
      <c r="BR35" s="16" t="str">
        <f>IF(AND(MACROMICROELEMENTOS!$Q35="",MACROMICROELEMENTOS!$R35="",MACROMICROELEMENTOS!$S35="",MACROMICROELEMENTOS!$T35=""),"",AVERAGE(MACROMICROELEMENTOS!$Q35,MACROMICROELEMENTOS!$R35,MACROMICROELEMENTOS!$S35,MACROMICROELEMENTOS!$T35))</f>
        <v/>
      </c>
      <c r="BS35" s="18">
        <v>1</v>
      </c>
      <c r="BT35" s="53" t="str">
        <f>IF(OR(MACROMICROELEMENTOS!$A35="",MACROMICROELEMENTOS!$B35="",MACROMICROELEMENTOS!$C35="",MACROMICROELEMENTOS!$D35="",MACROMICROELEMENTOS!$E35="",MACROMICROELEMENTOS!$I35="",MACROMICROELEMENTOS!$BR35="",MACROMICROELEMENTOS!$BS35=""),"",((MACROMICROELEMENTOS!$I35-MACROMICROELEMENTOS!$BR35)*MACROMICROELEMENTOS!$BS35*MACROMICROELEMENTOS!$D35*(1/MACROMICROELEMENTOS!$C35)*MACROMICROELEMENTOS!$E35))</f>
        <v/>
      </c>
      <c r="BU35" s="16" t="str">
        <f>IF(AND(MACROMICROELEMENTOS!$AG35="",MACROMICROELEMENTOS!$AH35="",MACROMICROELEMENTOS!$AI35="",MACROMICROELEMENTOS!$AJ35=""),"",AVERAGE(MACROMICROELEMENTOS!$AG35,MACROMICROELEMENTOS!$AH35,MACROMICROELEMENTOS!$AI35,MACROMICROELEMENTOS!$AJ35))</f>
        <v/>
      </c>
      <c r="BV35" s="18">
        <v>1</v>
      </c>
      <c r="BW35" s="53" t="str">
        <f>IF(OR(MACROMICROELEMENTOS!$A35="",MACROMICROELEMENTOS!$B35="",MACROMICROELEMENTOS!$C35="",MACROMICROELEMENTOS!$D35="",MACROMICROELEMENTOS!$E35="",MACROMICROELEMENTOS!$J35="",MACROMICROELEMENTOS!$BU35="",MACROMICROELEMENTOS!$BV35=""),"",((MACROMICROELEMENTOS!$J35-MACROMICROELEMENTOS!$BU35)*MACROMICROELEMENTOS!$BV35*MACROMICROELEMENTOS!$D35*(1/MACROMICROELEMENTOS!$C35)*MACROMICROELEMENTOS!$E35/1000))</f>
        <v/>
      </c>
      <c r="BX35" s="16" t="str">
        <f>IF(AND(MACROMICROELEMENTOS!$AK35="",MACROMICROELEMENTOS!$AL35="",MACROMICROELEMENTOS!$AM35="",MACROMICROELEMENTOS!$AN35=""),"",AVERAGE(MACROMICROELEMENTOS!$AK35,MACROMICROELEMENTOS!$AL35,MACROMICROELEMENTOS!$AM35,MACROMICROELEMENTOS!$AN35))</f>
        <v/>
      </c>
      <c r="BY35" s="18">
        <v>1</v>
      </c>
      <c r="BZ35" s="53" t="str">
        <f>IF(OR(MACROMICROELEMENTOS!$A35="",MACROMICROELEMENTOS!$B35="",MACROMICROELEMENTOS!$C35="",MACROMICROELEMENTOS!$D35="",MACROMICROELEMENTOS!$E35="",MACROMICROELEMENTOS!$K35="",MACROMICROELEMENTOS!$BX35="",MACROMICROELEMENTOS!$BY35=""),"",((MACROMICROELEMENTOS!$K35-MACROMICROELEMENTOS!$BX35)*MACROMICROELEMENTOS!$BY35*MACROMICROELEMENTOS!$D35*(1/MACROMICROELEMENTOS!$C35)*MACROMICROELEMENTOS!$E35/1000))</f>
        <v/>
      </c>
      <c r="CA35" s="16" t="str">
        <f>IF(AND(MACROMICROELEMENTOS!$AO35="",MACROMICROELEMENTOS!$AP35="",MACROMICROELEMENTOS!$AQ35="",MACROMICROELEMENTOS!$AR35=""),"",AVERAGE(MACROMICROELEMENTOS!$AO35,MACROMICROELEMENTOS!$AP35,MACROMICROELEMENTOS!$AQ35,MACROMICROELEMENTOS!$AR35))</f>
        <v/>
      </c>
      <c r="CB35" s="18">
        <v>1</v>
      </c>
      <c r="CC35" s="53" t="str">
        <f>IF(OR(MACROMICROELEMENTOS!$A35="",MACROMICROELEMENTOS!$B35="",MACROMICROELEMENTOS!$C35="",MACROMICROELEMENTOS!$D35="",MACROMICROELEMENTOS!$E35="",MACROMICROELEMENTOS!$L35="",MACROMICROELEMENTOS!$CA35="",MACROMICROELEMENTOS!$CB35=""),"",((MACROMICROELEMENTOS!$L35-MACROMICROELEMENTOS!$CA35)*MACROMICROELEMENTOS!$CB35*MACROMICROELEMENTOS!$D35*(1/MACROMICROELEMENTOS!$C35)*MACROMICROELEMENTOS!$E35))</f>
        <v/>
      </c>
      <c r="CD35" s="16" t="str">
        <f>IF(AND(MACROMICROELEMENTOS!$AS35="",MACROMICROELEMENTOS!$AT35="",MACROMICROELEMENTOS!$AU35="",MACROMICROELEMENTOS!$AV35=""),"",AVERAGE(MACROMICROELEMENTOS!$AS35,MACROMICROELEMENTOS!$AT35,MACROMICROELEMENTOS!$AU35,MACROMICROELEMENTOS!$AV35))</f>
        <v/>
      </c>
      <c r="CE35" s="18">
        <v>1</v>
      </c>
      <c r="CF35" s="53" t="str">
        <f>IF(OR(MACROMICROELEMENTOS!$A35="",MACROMICROELEMENTOS!$B35="",MACROMICROELEMENTOS!$C35="",MACROMICROELEMENTOS!$D35="",MACROMICROELEMENTOS!$E35="",MACROMICROELEMENTOS!$M35="",MACROMICROELEMENTOS!$CD35="",MACROMICROELEMENTOS!$CE35=""),"",((MACROMICROELEMENTOS!$M35-MACROMICROELEMENTOS!$CD35)*MACROMICROELEMENTOS!$CE35*MACROMICROELEMENTOS!$D35*(1/MACROMICROELEMENTOS!$C35)*MACROMICROELEMENTOS!$E35))</f>
        <v/>
      </c>
      <c r="CG35" s="16" t="str">
        <f>IF(AND(MACROMICROELEMENTOS!$AW35="",MACROMICROELEMENTOS!$AX35="",MACROMICROELEMENTOS!$AY35="",MACROMICROELEMENTOS!$AZ35=""),"",AVERAGE(MACROMICROELEMENTOS!$AW35,MACROMICROELEMENTOS!$AX35,MACROMICROELEMENTOS!$AY35,MACROMICROELEMENTOS!$AZ35))</f>
        <v/>
      </c>
      <c r="CH35" s="18">
        <v>1</v>
      </c>
      <c r="CI35" s="53" t="str">
        <f>IF(OR(MACROMICROELEMENTOS!$A35="",MACROMICROELEMENTOS!$B35="",MACROMICROELEMENTOS!$C35="",MACROMICROELEMENTOS!$D35="",MACROMICROELEMENTOS!$E35="",MACROMICROELEMENTOS!$N35="",MACROMICROELEMENTOS!$CG35="",MACROMICROELEMENTOS!$CH35=""),"",((MACROMICROELEMENTOS!$N35-MACROMICROELEMENTOS!$CG35)*MACROMICROELEMENTOS!$CH35*MACROMICROELEMENTOS!$D35*(1/MACROMICROELEMENTOS!$C35)*MACROMICROELEMENTOS!$E35))</f>
        <v/>
      </c>
      <c r="CJ35" s="16" t="str">
        <f>IF(AND(MACROMICROELEMENTOS!$BA35="",MACROMICROELEMENTOS!$BB35="",MACROMICROELEMENTOS!$BC35="",MACROMICROELEMENTOS!$BD35=""),"",IF(O35&gt;5,0,AVERAGE(MACROMICROELEMENTOS!$BA35,MACROMICROELEMENTOS!$BB35,MACROMICROELEMENTOS!$BC35,MACROMICROELEMENTOS!$BD35)))</f>
        <v/>
      </c>
      <c r="CK35" s="18">
        <v>1</v>
      </c>
      <c r="CL35" s="53" t="str">
        <f>IF(OR(MACROMICROELEMENTOS!$A35="",MACROMICROELEMENTOS!$B35="",MACROMICROELEMENTOS!$C35="",MACROMICROELEMENTOS!$D35="",MACROMICROELEMENTOS!$E35="",MACROMICROELEMENTOS!$O35="",MACROMICROELEMENTOS!$CJ35="",MACROMICROELEMENTOS!$CK35=""),"",((MACROMICROELEMENTOS!$O35-MACROMICROELEMENTOS!$CJ35)*MACROMICROELEMENTOS!$CK35*MACROMICROELEMENTOS!$D35*(1/MACROMICROELEMENTOS!$C35)*MACROMICROELEMENTOS!$E35))</f>
        <v/>
      </c>
      <c r="CM35" s="16" t="str">
        <f>IF(AND(MACROMICROELEMENTOS!$BE35="",MACROMICROELEMENTOS!$BF35="",MACROMICROELEMENTOS!$BG35="",MACROMICROELEMENTOS!$BH35=""),"",AVERAGE(MACROMICROELEMENTOS!$BE35,MACROMICROELEMENTOS!$BF35,MACROMICROELEMENTOS!$BG35,MACROMICROELEMENTOS!$BH35))</f>
        <v/>
      </c>
      <c r="CN35" s="18">
        <v>1</v>
      </c>
      <c r="CO35" s="53" t="str">
        <f>IF(OR(MACROMICROELEMENTOS!$A35="",MACROMICROELEMENTOS!$B35="",MACROMICROELEMENTOS!$C35="",MACROMICROELEMENTOS!$D35="",MACROMICROELEMENTOS!$E35="",MACROMICROELEMENTOS!$P35="",MACROMICROELEMENTOS!$CM35="",MACROMICROELEMENTOS!$CN35=""),"",((MACROMICROELEMENTOS!$P35-MACROMICROELEMENTOS!$CM35)*MACROMICROELEMENTOS!$CN35*MACROMICROELEMENTOS!$D35*(1/MACROMICROELEMENTOS!$C35)*MACROMICROELEMENTOS!$E35))</f>
        <v/>
      </c>
    </row>
    <row r="36" spans="1:93" x14ac:dyDescent="0.25">
      <c r="A36" s="50"/>
      <c r="B36" s="51"/>
      <c r="C36" s="50"/>
      <c r="D36" s="18">
        <v>50</v>
      </c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6" t="str">
        <f>IF(AND(MACROMICROELEMENTOS!$U36="",MACROMICROELEMENTOS!$V36="",MACROMICROELEMENTOS!$W36="",MACROMICROELEMENTOS!$X36=""),"",AVERAGE(MACROMICROELEMENTOS!$U36,MACROMICROELEMENTOS!$V36,MACROMICROELEMENTOS!$W36,MACROMICROELEMENTOS!$X36))</f>
        <v/>
      </c>
      <c r="BJ36" s="18">
        <v>1</v>
      </c>
      <c r="BK36" s="53" t="str">
        <f>IF(OR(MACROMICROELEMENTOS!$A36="",MACROMICROELEMENTOS!$B36="",MACROMICROELEMENTOS!$C36="",MACROMICROELEMENTOS!$D36="",MACROMICROELEMENTOS!$E36="",MACROMICROELEMENTOS!$F36="",MACROMICROELEMENTOS!$BI36="",MACROMICROELEMENTOS!$BJ36=""),"",((MACROMICROELEMENTOS!$F36-MACROMICROELEMENTOS!$BI36)*MACROMICROELEMENTOS!$BJ36*MACROMICROELEMENTOS!$D36*(1/MACROMICROELEMENTOS!$C36)*MACROMICROELEMENTOS!$E36/1000))</f>
        <v/>
      </c>
      <c r="BL36" s="16" t="str">
        <f>IF(AND(MACROMICROELEMENTOS!$Y36="",MACROMICROELEMENTOS!$Z36="",MACROMICROELEMENTOS!$AA36="",MACROMICROELEMENTOS!$AB36=""),"",AVERAGE(MACROMICROELEMENTOS!$Y36,MACROMICROELEMENTOS!$Z36,MACROMICROELEMENTOS!$AA36,MACROMICROELEMENTOS!$AB36))</f>
        <v/>
      </c>
      <c r="BM36" s="18">
        <v>1</v>
      </c>
      <c r="BN36" s="53" t="str">
        <f>IF(OR(MACROMICROELEMENTOS!$A36="",MACROMICROELEMENTOS!$B36="",MACROMICROELEMENTOS!$C36="",MACROMICROELEMENTOS!$D36="",MACROMICROELEMENTOS!$E36="",MACROMICROELEMENTOS!$G36="",MACROMICROELEMENTOS!$BL36="",MACROMICROELEMENTOS!$BM36=""),"",((MACROMICROELEMENTOS!$G36-MACROMICROELEMENTOS!$BL36)*MACROMICROELEMENTOS!$BM36*MACROMICROELEMENTOS!$D36*(1/MACROMICROELEMENTOS!$C36)*MACROMICROELEMENTOS!$E36/1000))</f>
        <v/>
      </c>
      <c r="BO36" s="16" t="str">
        <f>IF(AND(MACROMICROELEMENTOS!$AC36="",MACROMICROELEMENTOS!$AD36="",MACROMICROELEMENTOS!$AE36="",MACROMICROELEMENTOS!$AF36=""),"",AVERAGE(MACROMICROELEMENTOS!$AC36,MACROMICROELEMENTOS!$AD36,MACROMICROELEMENTOS!$AE36,MACROMICROELEMENTOS!$AF36))</f>
        <v/>
      </c>
      <c r="BP36" s="18">
        <v>1</v>
      </c>
      <c r="BQ36" s="53" t="str">
        <f>IF(OR(MACROMICROELEMENTOS!$A36="",MACROMICROELEMENTOS!$B36="",MACROMICROELEMENTOS!$C36="",MACROMICROELEMENTOS!$D36="",MACROMICROELEMENTOS!$E36="",MACROMICROELEMENTOS!$H36="",MACROMICROELEMENTOS!$BO36="",MACROMICROELEMENTOS!$BP36=""),"",((MACROMICROELEMENTOS!$H36-MACROMICROELEMENTOS!$BO36)*MACROMICROELEMENTOS!$BP36*MACROMICROELEMENTOS!$D36*(1/MACROMICROELEMENTOS!$C36)*MACROMICROELEMENTOS!$E36/1000))</f>
        <v/>
      </c>
      <c r="BR36" s="16" t="str">
        <f>IF(AND(MACROMICROELEMENTOS!$Q36="",MACROMICROELEMENTOS!$R36="",MACROMICROELEMENTOS!$S36="",MACROMICROELEMENTOS!$T36=""),"",AVERAGE(MACROMICROELEMENTOS!$Q36,MACROMICROELEMENTOS!$R36,MACROMICROELEMENTOS!$S36,MACROMICROELEMENTOS!$T36))</f>
        <v/>
      </c>
      <c r="BS36" s="18">
        <v>1</v>
      </c>
      <c r="BT36" s="53" t="str">
        <f>IF(OR(MACROMICROELEMENTOS!$A36="",MACROMICROELEMENTOS!$B36="",MACROMICROELEMENTOS!$C36="",MACROMICROELEMENTOS!$D36="",MACROMICROELEMENTOS!$E36="",MACROMICROELEMENTOS!$I36="",MACROMICROELEMENTOS!$BR36="",MACROMICROELEMENTOS!$BS36=""),"",((MACROMICROELEMENTOS!$I36-MACROMICROELEMENTOS!$BR36)*MACROMICROELEMENTOS!$BS36*MACROMICROELEMENTOS!$D36*(1/MACROMICROELEMENTOS!$C36)*MACROMICROELEMENTOS!$E36))</f>
        <v/>
      </c>
      <c r="BU36" s="16" t="str">
        <f>IF(AND(MACROMICROELEMENTOS!$AG36="",MACROMICROELEMENTOS!$AH36="",MACROMICROELEMENTOS!$AI36="",MACROMICROELEMENTOS!$AJ36=""),"",AVERAGE(MACROMICROELEMENTOS!$AG36,MACROMICROELEMENTOS!$AH36,MACROMICROELEMENTOS!$AI36,MACROMICROELEMENTOS!$AJ36))</f>
        <v/>
      </c>
      <c r="BV36" s="18">
        <v>1</v>
      </c>
      <c r="BW36" s="53" t="str">
        <f>IF(OR(MACROMICROELEMENTOS!$A36="",MACROMICROELEMENTOS!$B36="",MACROMICROELEMENTOS!$C36="",MACROMICROELEMENTOS!$D36="",MACROMICROELEMENTOS!$E36="",MACROMICROELEMENTOS!$J36="",MACROMICROELEMENTOS!$BU36="",MACROMICROELEMENTOS!$BV36=""),"",((MACROMICROELEMENTOS!$J36-MACROMICROELEMENTOS!$BU36)*MACROMICROELEMENTOS!$BV36*MACROMICROELEMENTOS!$D36*(1/MACROMICROELEMENTOS!$C36)*MACROMICROELEMENTOS!$E36/1000))</f>
        <v/>
      </c>
      <c r="BX36" s="16" t="str">
        <f>IF(AND(MACROMICROELEMENTOS!$AK36="",MACROMICROELEMENTOS!$AL36="",MACROMICROELEMENTOS!$AM36="",MACROMICROELEMENTOS!$AN36=""),"",AVERAGE(MACROMICROELEMENTOS!$AK36,MACROMICROELEMENTOS!$AL36,MACROMICROELEMENTOS!$AM36,MACROMICROELEMENTOS!$AN36))</f>
        <v/>
      </c>
      <c r="BY36" s="18">
        <v>1</v>
      </c>
      <c r="BZ36" s="53" t="str">
        <f>IF(OR(MACROMICROELEMENTOS!$A36="",MACROMICROELEMENTOS!$B36="",MACROMICROELEMENTOS!$C36="",MACROMICROELEMENTOS!$D36="",MACROMICROELEMENTOS!$E36="",MACROMICROELEMENTOS!$K36="",MACROMICROELEMENTOS!$BX36="",MACROMICROELEMENTOS!$BY36=""),"",((MACROMICROELEMENTOS!$K36-MACROMICROELEMENTOS!$BX36)*MACROMICROELEMENTOS!$BY36*MACROMICROELEMENTOS!$D36*(1/MACROMICROELEMENTOS!$C36)*MACROMICROELEMENTOS!$E36/1000))</f>
        <v/>
      </c>
      <c r="CA36" s="16" t="str">
        <f>IF(AND(MACROMICROELEMENTOS!$AO36="",MACROMICROELEMENTOS!$AP36="",MACROMICROELEMENTOS!$AQ36="",MACROMICROELEMENTOS!$AR36=""),"",AVERAGE(MACROMICROELEMENTOS!$AO36,MACROMICROELEMENTOS!$AP36,MACROMICROELEMENTOS!$AQ36,MACROMICROELEMENTOS!$AR36))</f>
        <v/>
      </c>
      <c r="CB36" s="18">
        <v>1</v>
      </c>
      <c r="CC36" s="53" t="str">
        <f>IF(OR(MACROMICROELEMENTOS!$A36="",MACROMICROELEMENTOS!$B36="",MACROMICROELEMENTOS!$C36="",MACROMICROELEMENTOS!$D36="",MACROMICROELEMENTOS!$E36="",MACROMICROELEMENTOS!$L36="",MACROMICROELEMENTOS!$CA36="",MACROMICROELEMENTOS!$CB36=""),"",((MACROMICROELEMENTOS!$L36-MACROMICROELEMENTOS!$CA36)*MACROMICROELEMENTOS!$CB36*MACROMICROELEMENTOS!$D36*(1/MACROMICROELEMENTOS!$C36)*MACROMICROELEMENTOS!$E36))</f>
        <v/>
      </c>
      <c r="CD36" s="16" t="str">
        <f>IF(AND(MACROMICROELEMENTOS!$AS36="",MACROMICROELEMENTOS!$AT36="",MACROMICROELEMENTOS!$AU36="",MACROMICROELEMENTOS!$AV36=""),"",AVERAGE(MACROMICROELEMENTOS!$AS36,MACROMICROELEMENTOS!$AT36,MACROMICROELEMENTOS!$AU36,MACROMICROELEMENTOS!$AV36))</f>
        <v/>
      </c>
      <c r="CE36" s="18">
        <v>1</v>
      </c>
      <c r="CF36" s="53" t="str">
        <f>IF(OR(MACROMICROELEMENTOS!$A36="",MACROMICROELEMENTOS!$B36="",MACROMICROELEMENTOS!$C36="",MACROMICROELEMENTOS!$D36="",MACROMICROELEMENTOS!$E36="",MACROMICROELEMENTOS!$M36="",MACROMICROELEMENTOS!$CD36="",MACROMICROELEMENTOS!$CE36=""),"",((MACROMICROELEMENTOS!$M36-MACROMICROELEMENTOS!$CD36)*MACROMICROELEMENTOS!$CE36*MACROMICROELEMENTOS!$D36*(1/MACROMICROELEMENTOS!$C36)*MACROMICROELEMENTOS!$E36))</f>
        <v/>
      </c>
      <c r="CG36" s="16" t="str">
        <f>IF(AND(MACROMICROELEMENTOS!$AW36="",MACROMICROELEMENTOS!$AX36="",MACROMICROELEMENTOS!$AY36="",MACROMICROELEMENTOS!$AZ36=""),"",AVERAGE(MACROMICROELEMENTOS!$AW36,MACROMICROELEMENTOS!$AX36,MACROMICROELEMENTOS!$AY36,MACROMICROELEMENTOS!$AZ36))</f>
        <v/>
      </c>
      <c r="CH36" s="18">
        <v>1</v>
      </c>
      <c r="CI36" s="53" t="str">
        <f>IF(OR(MACROMICROELEMENTOS!$A36="",MACROMICROELEMENTOS!$B36="",MACROMICROELEMENTOS!$C36="",MACROMICROELEMENTOS!$D36="",MACROMICROELEMENTOS!$E36="",MACROMICROELEMENTOS!$N36="",MACROMICROELEMENTOS!$CG36="",MACROMICROELEMENTOS!$CH36=""),"",((MACROMICROELEMENTOS!$N36-MACROMICROELEMENTOS!$CG36)*MACROMICROELEMENTOS!$CH36*MACROMICROELEMENTOS!$D36*(1/MACROMICROELEMENTOS!$C36)*MACROMICROELEMENTOS!$E36))</f>
        <v/>
      </c>
      <c r="CJ36" s="16" t="str">
        <f>IF(AND(MACROMICROELEMENTOS!$BA36="",MACROMICROELEMENTOS!$BB36="",MACROMICROELEMENTOS!$BC36="",MACROMICROELEMENTOS!$BD36=""),"",IF(O36&gt;5,0,AVERAGE(MACROMICROELEMENTOS!$BA36,MACROMICROELEMENTOS!$BB36,MACROMICROELEMENTOS!$BC36,MACROMICROELEMENTOS!$BD36)))</f>
        <v/>
      </c>
      <c r="CK36" s="18">
        <v>1</v>
      </c>
      <c r="CL36" s="53" t="str">
        <f>IF(OR(MACROMICROELEMENTOS!$A36="",MACROMICROELEMENTOS!$B36="",MACROMICROELEMENTOS!$C36="",MACROMICROELEMENTOS!$D36="",MACROMICROELEMENTOS!$E36="",MACROMICROELEMENTOS!$O36="",MACROMICROELEMENTOS!$CJ36="",MACROMICROELEMENTOS!$CK36=""),"",((MACROMICROELEMENTOS!$O36-MACROMICROELEMENTOS!$CJ36)*MACROMICROELEMENTOS!$CK36*MACROMICROELEMENTOS!$D36*(1/MACROMICROELEMENTOS!$C36)*MACROMICROELEMENTOS!$E36))</f>
        <v/>
      </c>
      <c r="CM36" s="16" t="str">
        <f>IF(AND(MACROMICROELEMENTOS!$BE36="",MACROMICROELEMENTOS!$BF36="",MACROMICROELEMENTOS!$BG36="",MACROMICROELEMENTOS!$BH36=""),"",AVERAGE(MACROMICROELEMENTOS!$BE36,MACROMICROELEMENTOS!$BF36,MACROMICROELEMENTOS!$BG36,MACROMICROELEMENTOS!$BH36))</f>
        <v/>
      </c>
      <c r="CN36" s="18">
        <v>1</v>
      </c>
      <c r="CO36" s="53" t="str">
        <f>IF(OR(MACROMICROELEMENTOS!$A36="",MACROMICROELEMENTOS!$B36="",MACROMICROELEMENTOS!$C36="",MACROMICROELEMENTOS!$D36="",MACROMICROELEMENTOS!$E36="",MACROMICROELEMENTOS!$P36="",MACROMICROELEMENTOS!$CM36="",MACROMICROELEMENTOS!$CN36=""),"",((MACROMICROELEMENTOS!$P36-MACROMICROELEMENTOS!$CM36)*MACROMICROELEMENTOS!$CN36*MACROMICROELEMENTOS!$D36*(1/MACROMICROELEMENTOS!$C36)*MACROMICROELEMENTOS!$E36))</f>
        <v/>
      </c>
    </row>
    <row r="37" spans="1:93" x14ac:dyDescent="0.25">
      <c r="A37" s="50"/>
      <c r="B37" s="51"/>
      <c r="C37" s="50"/>
      <c r="D37" s="18">
        <v>50</v>
      </c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6" t="str">
        <f>IF(AND(MACROMICROELEMENTOS!$U37="",MACROMICROELEMENTOS!$V37="",MACROMICROELEMENTOS!$W37="",MACROMICROELEMENTOS!$X37=""),"",AVERAGE(MACROMICROELEMENTOS!$U37,MACROMICROELEMENTOS!$V37,MACROMICROELEMENTOS!$W37,MACROMICROELEMENTOS!$X37))</f>
        <v/>
      </c>
      <c r="BJ37" s="18">
        <v>1</v>
      </c>
      <c r="BK37" s="53" t="str">
        <f>IF(OR(MACROMICROELEMENTOS!$A37="",MACROMICROELEMENTOS!$B37="",MACROMICROELEMENTOS!$C37="",MACROMICROELEMENTOS!$D37="",MACROMICROELEMENTOS!$E37="",MACROMICROELEMENTOS!$F37="",MACROMICROELEMENTOS!$BI37="",MACROMICROELEMENTOS!$BJ37=""),"",((MACROMICROELEMENTOS!$F37-MACROMICROELEMENTOS!$BI37)*MACROMICROELEMENTOS!$BJ37*MACROMICROELEMENTOS!$D37*(1/MACROMICROELEMENTOS!$C37)*MACROMICROELEMENTOS!$E37/1000))</f>
        <v/>
      </c>
      <c r="BL37" s="16" t="str">
        <f>IF(AND(MACROMICROELEMENTOS!$Y37="",MACROMICROELEMENTOS!$Z37="",MACROMICROELEMENTOS!$AA37="",MACROMICROELEMENTOS!$AB37=""),"",AVERAGE(MACROMICROELEMENTOS!$Y37,MACROMICROELEMENTOS!$Z37,MACROMICROELEMENTOS!$AA37,MACROMICROELEMENTOS!$AB37))</f>
        <v/>
      </c>
      <c r="BM37" s="18">
        <v>1</v>
      </c>
      <c r="BN37" s="53" t="str">
        <f>IF(OR(MACROMICROELEMENTOS!$A37="",MACROMICROELEMENTOS!$B37="",MACROMICROELEMENTOS!$C37="",MACROMICROELEMENTOS!$D37="",MACROMICROELEMENTOS!$E37="",MACROMICROELEMENTOS!$G37="",MACROMICROELEMENTOS!$BL37="",MACROMICROELEMENTOS!$BM37=""),"",((MACROMICROELEMENTOS!$G37-MACROMICROELEMENTOS!$BL37)*MACROMICROELEMENTOS!$BM37*MACROMICROELEMENTOS!$D37*(1/MACROMICROELEMENTOS!$C37)*MACROMICROELEMENTOS!$E37/1000))</f>
        <v/>
      </c>
      <c r="BO37" s="16" t="str">
        <f>IF(AND(MACROMICROELEMENTOS!$AC37="",MACROMICROELEMENTOS!$AD37="",MACROMICROELEMENTOS!$AE37="",MACROMICROELEMENTOS!$AF37=""),"",AVERAGE(MACROMICROELEMENTOS!$AC37,MACROMICROELEMENTOS!$AD37,MACROMICROELEMENTOS!$AE37,MACROMICROELEMENTOS!$AF37))</f>
        <v/>
      </c>
      <c r="BP37" s="18">
        <v>1</v>
      </c>
      <c r="BQ37" s="53" t="str">
        <f>IF(OR(MACROMICROELEMENTOS!$A37="",MACROMICROELEMENTOS!$B37="",MACROMICROELEMENTOS!$C37="",MACROMICROELEMENTOS!$D37="",MACROMICROELEMENTOS!$E37="",MACROMICROELEMENTOS!$H37="",MACROMICROELEMENTOS!$BO37="",MACROMICROELEMENTOS!$BP37=""),"",((MACROMICROELEMENTOS!$H37-MACROMICROELEMENTOS!$BO37)*MACROMICROELEMENTOS!$BP37*MACROMICROELEMENTOS!$D37*(1/MACROMICROELEMENTOS!$C37)*MACROMICROELEMENTOS!$E37/1000))</f>
        <v/>
      </c>
      <c r="BR37" s="16" t="str">
        <f>IF(AND(MACROMICROELEMENTOS!$Q37="",MACROMICROELEMENTOS!$R37="",MACROMICROELEMENTOS!$S37="",MACROMICROELEMENTOS!$T37=""),"",AVERAGE(MACROMICROELEMENTOS!$Q37,MACROMICROELEMENTOS!$R37,MACROMICROELEMENTOS!$S37,MACROMICROELEMENTOS!$T37))</f>
        <v/>
      </c>
      <c r="BS37" s="18">
        <v>1</v>
      </c>
      <c r="BT37" s="53" t="str">
        <f>IF(OR(MACROMICROELEMENTOS!$A37="",MACROMICROELEMENTOS!$B37="",MACROMICROELEMENTOS!$C37="",MACROMICROELEMENTOS!$D37="",MACROMICROELEMENTOS!$E37="",MACROMICROELEMENTOS!$I37="",MACROMICROELEMENTOS!$BR37="",MACROMICROELEMENTOS!$BS37=""),"",((MACROMICROELEMENTOS!$I37-MACROMICROELEMENTOS!$BR37)*MACROMICROELEMENTOS!$BS37*MACROMICROELEMENTOS!$D37*(1/MACROMICROELEMENTOS!$C37)*MACROMICROELEMENTOS!$E37))</f>
        <v/>
      </c>
      <c r="BU37" s="16" t="str">
        <f>IF(AND(MACROMICROELEMENTOS!$AG37="",MACROMICROELEMENTOS!$AH37="",MACROMICROELEMENTOS!$AI37="",MACROMICROELEMENTOS!$AJ37=""),"",AVERAGE(MACROMICROELEMENTOS!$AG37,MACROMICROELEMENTOS!$AH37,MACROMICROELEMENTOS!$AI37,MACROMICROELEMENTOS!$AJ37))</f>
        <v/>
      </c>
      <c r="BV37" s="18">
        <v>1</v>
      </c>
      <c r="BW37" s="53" t="str">
        <f>IF(OR(MACROMICROELEMENTOS!$A37="",MACROMICROELEMENTOS!$B37="",MACROMICROELEMENTOS!$C37="",MACROMICROELEMENTOS!$D37="",MACROMICROELEMENTOS!$E37="",MACROMICROELEMENTOS!$J37="",MACROMICROELEMENTOS!$BU37="",MACROMICROELEMENTOS!$BV37=""),"",((MACROMICROELEMENTOS!$J37-MACROMICROELEMENTOS!$BU37)*MACROMICROELEMENTOS!$BV37*MACROMICROELEMENTOS!$D37*(1/MACROMICROELEMENTOS!$C37)*MACROMICROELEMENTOS!$E37/1000))</f>
        <v/>
      </c>
      <c r="BX37" s="16" t="str">
        <f>IF(AND(MACROMICROELEMENTOS!$AK37="",MACROMICROELEMENTOS!$AL37="",MACROMICROELEMENTOS!$AM37="",MACROMICROELEMENTOS!$AN37=""),"",AVERAGE(MACROMICROELEMENTOS!$AK37,MACROMICROELEMENTOS!$AL37,MACROMICROELEMENTOS!$AM37,MACROMICROELEMENTOS!$AN37))</f>
        <v/>
      </c>
      <c r="BY37" s="18">
        <v>1</v>
      </c>
      <c r="BZ37" s="53" t="str">
        <f>IF(OR(MACROMICROELEMENTOS!$A37="",MACROMICROELEMENTOS!$B37="",MACROMICROELEMENTOS!$C37="",MACROMICROELEMENTOS!$D37="",MACROMICROELEMENTOS!$E37="",MACROMICROELEMENTOS!$K37="",MACROMICROELEMENTOS!$BX37="",MACROMICROELEMENTOS!$BY37=""),"",((MACROMICROELEMENTOS!$K37-MACROMICROELEMENTOS!$BX37)*MACROMICROELEMENTOS!$BY37*MACROMICROELEMENTOS!$D37*(1/MACROMICROELEMENTOS!$C37)*MACROMICROELEMENTOS!$E37/1000))</f>
        <v/>
      </c>
      <c r="CA37" s="16" t="str">
        <f>IF(AND(MACROMICROELEMENTOS!$AO37="",MACROMICROELEMENTOS!$AP37="",MACROMICROELEMENTOS!$AQ37="",MACROMICROELEMENTOS!$AR37=""),"",AVERAGE(MACROMICROELEMENTOS!$AO37,MACROMICROELEMENTOS!$AP37,MACROMICROELEMENTOS!$AQ37,MACROMICROELEMENTOS!$AR37))</f>
        <v/>
      </c>
      <c r="CB37" s="18">
        <v>1</v>
      </c>
      <c r="CC37" s="53" t="str">
        <f>IF(OR(MACROMICROELEMENTOS!$A37="",MACROMICROELEMENTOS!$B37="",MACROMICROELEMENTOS!$C37="",MACROMICROELEMENTOS!$D37="",MACROMICROELEMENTOS!$E37="",MACROMICROELEMENTOS!$L37="",MACROMICROELEMENTOS!$CA37="",MACROMICROELEMENTOS!$CB37=""),"",((MACROMICROELEMENTOS!$L37-MACROMICROELEMENTOS!$CA37)*MACROMICROELEMENTOS!$CB37*MACROMICROELEMENTOS!$D37*(1/MACROMICROELEMENTOS!$C37)*MACROMICROELEMENTOS!$E37))</f>
        <v/>
      </c>
      <c r="CD37" s="16" t="str">
        <f>IF(AND(MACROMICROELEMENTOS!$AS37="",MACROMICROELEMENTOS!$AT37="",MACROMICROELEMENTOS!$AU37="",MACROMICROELEMENTOS!$AV37=""),"",AVERAGE(MACROMICROELEMENTOS!$AS37,MACROMICROELEMENTOS!$AT37,MACROMICROELEMENTOS!$AU37,MACROMICROELEMENTOS!$AV37))</f>
        <v/>
      </c>
      <c r="CE37" s="18">
        <v>1</v>
      </c>
      <c r="CF37" s="53" t="str">
        <f>IF(OR(MACROMICROELEMENTOS!$A37="",MACROMICROELEMENTOS!$B37="",MACROMICROELEMENTOS!$C37="",MACROMICROELEMENTOS!$D37="",MACROMICROELEMENTOS!$E37="",MACROMICROELEMENTOS!$M37="",MACROMICROELEMENTOS!$CD37="",MACROMICROELEMENTOS!$CE37=""),"",((MACROMICROELEMENTOS!$M37-MACROMICROELEMENTOS!$CD37)*MACROMICROELEMENTOS!$CE37*MACROMICROELEMENTOS!$D37*(1/MACROMICROELEMENTOS!$C37)*MACROMICROELEMENTOS!$E37))</f>
        <v/>
      </c>
      <c r="CG37" s="16" t="str">
        <f>IF(AND(MACROMICROELEMENTOS!$AW37="",MACROMICROELEMENTOS!$AX37="",MACROMICROELEMENTOS!$AY37="",MACROMICROELEMENTOS!$AZ37=""),"",AVERAGE(MACROMICROELEMENTOS!$AW37,MACROMICROELEMENTOS!$AX37,MACROMICROELEMENTOS!$AY37,MACROMICROELEMENTOS!$AZ37))</f>
        <v/>
      </c>
      <c r="CH37" s="18">
        <v>1</v>
      </c>
      <c r="CI37" s="53" t="str">
        <f>IF(OR(MACROMICROELEMENTOS!$A37="",MACROMICROELEMENTOS!$B37="",MACROMICROELEMENTOS!$C37="",MACROMICROELEMENTOS!$D37="",MACROMICROELEMENTOS!$E37="",MACROMICROELEMENTOS!$N37="",MACROMICROELEMENTOS!$CG37="",MACROMICROELEMENTOS!$CH37=""),"",((MACROMICROELEMENTOS!$N37-MACROMICROELEMENTOS!$CG37)*MACROMICROELEMENTOS!$CH37*MACROMICROELEMENTOS!$D37*(1/MACROMICROELEMENTOS!$C37)*MACROMICROELEMENTOS!$E37))</f>
        <v/>
      </c>
      <c r="CJ37" s="16" t="str">
        <f>IF(AND(MACROMICROELEMENTOS!$BA37="",MACROMICROELEMENTOS!$BB37="",MACROMICROELEMENTOS!$BC37="",MACROMICROELEMENTOS!$BD37=""),"",IF(O37&gt;5,0,AVERAGE(MACROMICROELEMENTOS!$BA37,MACROMICROELEMENTOS!$BB37,MACROMICROELEMENTOS!$BC37,MACROMICROELEMENTOS!$BD37)))</f>
        <v/>
      </c>
      <c r="CK37" s="18">
        <v>1</v>
      </c>
      <c r="CL37" s="53" t="str">
        <f>IF(OR(MACROMICROELEMENTOS!$A37="",MACROMICROELEMENTOS!$B37="",MACROMICROELEMENTOS!$C37="",MACROMICROELEMENTOS!$D37="",MACROMICROELEMENTOS!$E37="",MACROMICROELEMENTOS!$O37="",MACROMICROELEMENTOS!$CJ37="",MACROMICROELEMENTOS!$CK37=""),"",((MACROMICROELEMENTOS!$O37-MACROMICROELEMENTOS!$CJ37)*MACROMICROELEMENTOS!$CK37*MACROMICROELEMENTOS!$D37*(1/MACROMICROELEMENTOS!$C37)*MACROMICROELEMENTOS!$E37))</f>
        <v/>
      </c>
      <c r="CM37" s="16" t="str">
        <f>IF(AND(MACROMICROELEMENTOS!$BE37="",MACROMICROELEMENTOS!$BF37="",MACROMICROELEMENTOS!$BG37="",MACROMICROELEMENTOS!$BH37=""),"",AVERAGE(MACROMICROELEMENTOS!$BE37,MACROMICROELEMENTOS!$BF37,MACROMICROELEMENTOS!$BG37,MACROMICROELEMENTOS!$BH37))</f>
        <v/>
      </c>
      <c r="CN37" s="18">
        <v>1</v>
      </c>
      <c r="CO37" s="53" t="str">
        <f>IF(OR(MACROMICROELEMENTOS!$A37="",MACROMICROELEMENTOS!$B37="",MACROMICROELEMENTOS!$C37="",MACROMICROELEMENTOS!$D37="",MACROMICROELEMENTOS!$E37="",MACROMICROELEMENTOS!$P37="",MACROMICROELEMENTOS!$CM37="",MACROMICROELEMENTOS!$CN37=""),"",((MACROMICROELEMENTOS!$P37-MACROMICROELEMENTOS!$CM37)*MACROMICROELEMENTOS!$CN37*MACROMICROELEMENTOS!$D37*(1/MACROMICROELEMENTOS!$C37)*MACROMICROELEMENTOS!$E37))</f>
        <v/>
      </c>
    </row>
    <row r="38" spans="1:93" x14ac:dyDescent="0.25">
      <c r="A38" s="50"/>
      <c r="B38" s="51"/>
      <c r="C38" s="50"/>
      <c r="D38" s="18">
        <v>50</v>
      </c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6" t="str">
        <f>IF(AND(MACROMICROELEMENTOS!$U38="",MACROMICROELEMENTOS!$V38="",MACROMICROELEMENTOS!$W38="",MACROMICROELEMENTOS!$X38=""),"",AVERAGE(MACROMICROELEMENTOS!$U38,MACROMICROELEMENTOS!$V38,MACROMICROELEMENTOS!$W38,MACROMICROELEMENTOS!$X38))</f>
        <v/>
      </c>
      <c r="BJ38" s="18">
        <v>1</v>
      </c>
      <c r="BK38" s="53" t="str">
        <f>IF(OR(MACROMICROELEMENTOS!$A38="",MACROMICROELEMENTOS!$B38="",MACROMICROELEMENTOS!$C38="",MACROMICROELEMENTOS!$D38="",MACROMICROELEMENTOS!$E38="",MACROMICROELEMENTOS!$F38="",MACROMICROELEMENTOS!$BI38="",MACROMICROELEMENTOS!$BJ38=""),"",((MACROMICROELEMENTOS!$F38-MACROMICROELEMENTOS!$BI38)*MACROMICROELEMENTOS!$BJ38*MACROMICROELEMENTOS!$D38*(1/MACROMICROELEMENTOS!$C38)*MACROMICROELEMENTOS!$E38/1000))</f>
        <v/>
      </c>
      <c r="BL38" s="16" t="str">
        <f>IF(AND(MACROMICROELEMENTOS!$Y38="",MACROMICROELEMENTOS!$Z38="",MACROMICROELEMENTOS!$AA38="",MACROMICROELEMENTOS!$AB38=""),"",AVERAGE(MACROMICROELEMENTOS!$Y38,MACROMICROELEMENTOS!$Z38,MACROMICROELEMENTOS!$AA38,MACROMICROELEMENTOS!$AB38))</f>
        <v/>
      </c>
      <c r="BM38" s="18">
        <v>1</v>
      </c>
      <c r="BN38" s="53" t="str">
        <f>IF(OR(MACROMICROELEMENTOS!$A38="",MACROMICROELEMENTOS!$B38="",MACROMICROELEMENTOS!$C38="",MACROMICROELEMENTOS!$D38="",MACROMICROELEMENTOS!$E38="",MACROMICROELEMENTOS!$G38="",MACROMICROELEMENTOS!$BL38="",MACROMICROELEMENTOS!$BM38=""),"",((MACROMICROELEMENTOS!$G38-MACROMICROELEMENTOS!$BL38)*MACROMICROELEMENTOS!$BM38*MACROMICROELEMENTOS!$D38*(1/MACROMICROELEMENTOS!$C38)*MACROMICROELEMENTOS!$E38/1000))</f>
        <v/>
      </c>
      <c r="BO38" s="16" t="str">
        <f>IF(AND(MACROMICROELEMENTOS!$AC38="",MACROMICROELEMENTOS!$AD38="",MACROMICROELEMENTOS!$AE38="",MACROMICROELEMENTOS!$AF38=""),"",AVERAGE(MACROMICROELEMENTOS!$AC38,MACROMICROELEMENTOS!$AD38,MACROMICROELEMENTOS!$AE38,MACROMICROELEMENTOS!$AF38))</f>
        <v/>
      </c>
      <c r="BP38" s="18">
        <v>1</v>
      </c>
      <c r="BQ38" s="53" t="str">
        <f>IF(OR(MACROMICROELEMENTOS!$A38="",MACROMICROELEMENTOS!$B38="",MACROMICROELEMENTOS!$C38="",MACROMICROELEMENTOS!$D38="",MACROMICROELEMENTOS!$E38="",MACROMICROELEMENTOS!$H38="",MACROMICROELEMENTOS!$BO38="",MACROMICROELEMENTOS!$BP38=""),"",((MACROMICROELEMENTOS!$H38-MACROMICROELEMENTOS!$BO38)*MACROMICROELEMENTOS!$BP38*MACROMICROELEMENTOS!$D38*(1/MACROMICROELEMENTOS!$C38)*MACROMICROELEMENTOS!$E38/1000))</f>
        <v/>
      </c>
      <c r="BR38" s="16" t="str">
        <f>IF(AND(MACROMICROELEMENTOS!$Q38="",MACROMICROELEMENTOS!$R38="",MACROMICROELEMENTOS!$S38="",MACROMICROELEMENTOS!$T38=""),"",AVERAGE(MACROMICROELEMENTOS!$Q38,MACROMICROELEMENTOS!$R38,MACROMICROELEMENTOS!$S38,MACROMICROELEMENTOS!$T38))</f>
        <v/>
      </c>
      <c r="BS38" s="18">
        <v>1</v>
      </c>
      <c r="BT38" s="53" t="str">
        <f>IF(OR(MACROMICROELEMENTOS!$A38="",MACROMICROELEMENTOS!$B38="",MACROMICROELEMENTOS!$C38="",MACROMICROELEMENTOS!$D38="",MACROMICROELEMENTOS!$E38="",MACROMICROELEMENTOS!$I38="",MACROMICROELEMENTOS!$BR38="",MACROMICROELEMENTOS!$BS38=""),"",((MACROMICROELEMENTOS!$I38-MACROMICROELEMENTOS!$BR38)*MACROMICROELEMENTOS!$BS38*MACROMICROELEMENTOS!$D38*(1/MACROMICROELEMENTOS!$C38)*MACROMICROELEMENTOS!$E38))</f>
        <v/>
      </c>
      <c r="BU38" s="16" t="str">
        <f>IF(AND(MACROMICROELEMENTOS!$AG38="",MACROMICROELEMENTOS!$AH38="",MACROMICROELEMENTOS!$AI38="",MACROMICROELEMENTOS!$AJ38=""),"",AVERAGE(MACROMICROELEMENTOS!$AG38,MACROMICROELEMENTOS!$AH38,MACROMICROELEMENTOS!$AI38,MACROMICROELEMENTOS!$AJ38))</f>
        <v/>
      </c>
      <c r="BV38" s="18">
        <v>1</v>
      </c>
      <c r="BW38" s="53" t="str">
        <f>IF(OR(MACROMICROELEMENTOS!$A38="",MACROMICROELEMENTOS!$B38="",MACROMICROELEMENTOS!$C38="",MACROMICROELEMENTOS!$D38="",MACROMICROELEMENTOS!$E38="",MACROMICROELEMENTOS!$J38="",MACROMICROELEMENTOS!$BU38="",MACROMICROELEMENTOS!$BV38=""),"",((MACROMICROELEMENTOS!$J38-MACROMICROELEMENTOS!$BU38)*MACROMICROELEMENTOS!$BV38*MACROMICROELEMENTOS!$D38*(1/MACROMICROELEMENTOS!$C38)*MACROMICROELEMENTOS!$E38/1000))</f>
        <v/>
      </c>
      <c r="BX38" s="16" t="str">
        <f>IF(AND(MACROMICROELEMENTOS!$AK38="",MACROMICROELEMENTOS!$AL38="",MACROMICROELEMENTOS!$AM38="",MACROMICROELEMENTOS!$AN38=""),"",AVERAGE(MACROMICROELEMENTOS!$AK38,MACROMICROELEMENTOS!$AL38,MACROMICROELEMENTOS!$AM38,MACROMICROELEMENTOS!$AN38))</f>
        <v/>
      </c>
      <c r="BY38" s="18">
        <v>1</v>
      </c>
      <c r="BZ38" s="53" t="str">
        <f>IF(OR(MACROMICROELEMENTOS!$A38="",MACROMICROELEMENTOS!$B38="",MACROMICROELEMENTOS!$C38="",MACROMICROELEMENTOS!$D38="",MACROMICROELEMENTOS!$E38="",MACROMICROELEMENTOS!$K38="",MACROMICROELEMENTOS!$BX38="",MACROMICROELEMENTOS!$BY38=""),"",((MACROMICROELEMENTOS!$K38-MACROMICROELEMENTOS!$BX38)*MACROMICROELEMENTOS!$BY38*MACROMICROELEMENTOS!$D38*(1/MACROMICROELEMENTOS!$C38)*MACROMICROELEMENTOS!$E38/1000))</f>
        <v/>
      </c>
      <c r="CA38" s="16" t="str">
        <f>IF(AND(MACROMICROELEMENTOS!$AO38="",MACROMICROELEMENTOS!$AP38="",MACROMICROELEMENTOS!$AQ38="",MACROMICROELEMENTOS!$AR38=""),"",AVERAGE(MACROMICROELEMENTOS!$AO38,MACROMICROELEMENTOS!$AP38,MACROMICROELEMENTOS!$AQ38,MACROMICROELEMENTOS!$AR38))</f>
        <v/>
      </c>
      <c r="CB38" s="18">
        <v>1</v>
      </c>
      <c r="CC38" s="53" t="str">
        <f>IF(OR(MACROMICROELEMENTOS!$A38="",MACROMICROELEMENTOS!$B38="",MACROMICROELEMENTOS!$C38="",MACROMICROELEMENTOS!$D38="",MACROMICROELEMENTOS!$E38="",MACROMICROELEMENTOS!$L38="",MACROMICROELEMENTOS!$CA38="",MACROMICROELEMENTOS!$CB38=""),"",((MACROMICROELEMENTOS!$L38-MACROMICROELEMENTOS!$CA38)*MACROMICROELEMENTOS!$CB38*MACROMICROELEMENTOS!$D38*(1/MACROMICROELEMENTOS!$C38)*MACROMICROELEMENTOS!$E38))</f>
        <v/>
      </c>
      <c r="CD38" s="16" t="str">
        <f>IF(AND(MACROMICROELEMENTOS!$AS38="",MACROMICROELEMENTOS!$AT38="",MACROMICROELEMENTOS!$AU38="",MACROMICROELEMENTOS!$AV38=""),"",AVERAGE(MACROMICROELEMENTOS!$AS38,MACROMICROELEMENTOS!$AT38,MACROMICROELEMENTOS!$AU38,MACROMICROELEMENTOS!$AV38))</f>
        <v/>
      </c>
      <c r="CE38" s="18">
        <v>1</v>
      </c>
      <c r="CF38" s="53" t="str">
        <f>IF(OR(MACROMICROELEMENTOS!$A38="",MACROMICROELEMENTOS!$B38="",MACROMICROELEMENTOS!$C38="",MACROMICROELEMENTOS!$D38="",MACROMICROELEMENTOS!$E38="",MACROMICROELEMENTOS!$M38="",MACROMICROELEMENTOS!$CD38="",MACROMICROELEMENTOS!$CE38=""),"",((MACROMICROELEMENTOS!$M38-MACROMICROELEMENTOS!$CD38)*MACROMICROELEMENTOS!$CE38*MACROMICROELEMENTOS!$D38*(1/MACROMICROELEMENTOS!$C38)*MACROMICROELEMENTOS!$E38))</f>
        <v/>
      </c>
      <c r="CG38" s="16" t="str">
        <f>IF(AND(MACROMICROELEMENTOS!$AW38="",MACROMICROELEMENTOS!$AX38="",MACROMICROELEMENTOS!$AY38="",MACROMICROELEMENTOS!$AZ38=""),"",AVERAGE(MACROMICROELEMENTOS!$AW38,MACROMICROELEMENTOS!$AX38,MACROMICROELEMENTOS!$AY38,MACROMICROELEMENTOS!$AZ38))</f>
        <v/>
      </c>
      <c r="CH38" s="18">
        <v>1</v>
      </c>
      <c r="CI38" s="53" t="str">
        <f>IF(OR(MACROMICROELEMENTOS!$A38="",MACROMICROELEMENTOS!$B38="",MACROMICROELEMENTOS!$C38="",MACROMICROELEMENTOS!$D38="",MACROMICROELEMENTOS!$E38="",MACROMICROELEMENTOS!$N38="",MACROMICROELEMENTOS!$CG38="",MACROMICROELEMENTOS!$CH38=""),"",((MACROMICROELEMENTOS!$N38-MACROMICROELEMENTOS!$CG38)*MACROMICROELEMENTOS!$CH38*MACROMICROELEMENTOS!$D38*(1/MACROMICROELEMENTOS!$C38)*MACROMICROELEMENTOS!$E38))</f>
        <v/>
      </c>
      <c r="CJ38" s="16" t="str">
        <f>IF(AND(MACROMICROELEMENTOS!$BA38="",MACROMICROELEMENTOS!$BB38="",MACROMICROELEMENTOS!$BC38="",MACROMICROELEMENTOS!$BD38=""),"",IF(O38&gt;5,0,AVERAGE(MACROMICROELEMENTOS!$BA38,MACROMICROELEMENTOS!$BB38,MACROMICROELEMENTOS!$BC38,MACROMICROELEMENTOS!$BD38)))</f>
        <v/>
      </c>
      <c r="CK38" s="18">
        <v>1</v>
      </c>
      <c r="CL38" s="53" t="str">
        <f>IF(OR(MACROMICROELEMENTOS!$A38="",MACROMICROELEMENTOS!$B38="",MACROMICROELEMENTOS!$C38="",MACROMICROELEMENTOS!$D38="",MACROMICROELEMENTOS!$E38="",MACROMICROELEMENTOS!$O38="",MACROMICROELEMENTOS!$CJ38="",MACROMICROELEMENTOS!$CK38=""),"",((MACROMICROELEMENTOS!$O38-MACROMICROELEMENTOS!$CJ38)*MACROMICROELEMENTOS!$CK38*MACROMICROELEMENTOS!$D38*(1/MACROMICROELEMENTOS!$C38)*MACROMICROELEMENTOS!$E38))</f>
        <v/>
      </c>
      <c r="CM38" s="16" t="str">
        <f>IF(AND(MACROMICROELEMENTOS!$BE38="",MACROMICROELEMENTOS!$BF38="",MACROMICROELEMENTOS!$BG38="",MACROMICROELEMENTOS!$BH38=""),"",AVERAGE(MACROMICROELEMENTOS!$BE38,MACROMICROELEMENTOS!$BF38,MACROMICROELEMENTOS!$BG38,MACROMICROELEMENTOS!$BH38))</f>
        <v/>
      </c>
      <c r="CN38" s="18">
        <v>1</v>
      </c>
      <c r="CO38" s="53" t="str">
        <f>IF(OR(MACROMICROELEMENTOS!$A38="",MACROMICROELEMENTOS!$B38="",MACROMICROELEMENTOS!$C38="",MACROMICROELEMENTOS!$D38="",MACROMICROELEMENTOS!$E38="",MACROMICROELEMENTOS!$P38="",MACROMICROELEMENTOS!$CM38="",MACROMICROELEMENTOS!$CN38=""),"",((MACROMICROELEMENTOS!$P38-MACROMICROELEMENTOS!$CM38)*MACROMICROELEMENTOS!$CN38*MACROMICROELEMENTOS!$D38*(1/MACROMICROELEMENTOS!$C38)*MACROMICROELEMENTOS!$E38))</f>
        <v/>
      </c>
    </row>
    <row r="39" spans="1:93" x14ac:dyDescent="0.25">
      <c r="A39" s="50"/>
      <c r="B39" s="51"/>
      <c r="C39" s="50"/>
      <c r="D39" s="18">
        <v>50</v>
      </c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6" t="str">
        <f>IF(AND(MACROMICROELEMENTOS!$U39="",MACROMICROELEMENTOS!$V39="",MACROMICROELEMENTOS!$W39="",MACROMICROELEMENTOS!$X39=""),"",AVERAGE(MACROMICROELEMENTOS!$U39,MACROMICROELEMENTOS!$V39,MACROMICROELEMENTOS!$W39,MACROMICROELEMENTOS!$X39))</f>
        <v/>
      </c>
      <c r="BJ39" s="18">
        <v>1</v>
      </c>
      <c r="BK39" s="53" t="str">
        <f>IF(OR(MACROMICROELEMENTOS!$A39="",MACROMICROELEMENTOS!$B39="",MACROMICROELEMENTOS!$C39="",MACROMICROELEMENTOS!$D39="",MACROMICROELEMENTOS!$E39="",MACROMICROELEMENTOS!$F39="",MACROMICROELEMENTOS!$BI39="",MACROMICROELEMENTOS!$BJ39=""),"",((MACROMICROELEMENTOS!$F39-MACROMICROELEMENTOS!$BI39)*MACROMICROELEMENTOS!$BJ39*MACROMICROELEMENTOS!$D39*(1/MACROMICROELEMENTOS!$C39)*MACROMICROELEMENTOS!$E39/1000))</f>
        <v/>
      </c>
      <c r="BL39" s="16" t="str">
        <f>IF(AND(MACROMICROELEMENTOS!$Y39="",MACROMICROELEMENTOS!$Z39="",MACROMICROELEMENTOS!$AA39="",MACROMICROELEMENTOS!$AB39=""),"",AVERAGE(MACROMICROELEMENTOS!$Y39,MACROMICROELEMENTOS!$Z39,MACROMICROELEMENTOS!$AA39,MACROMICROELEMENTOS!$AB39))</f>
        <v/>
      </c>
      <c r="BM39" s="18">
        <v>1</v>
      </c>
      <c r="BN39" s="53" t="str">
        <f>IF(OR(MACROMICROELEMENTOS!$A39="",MACROMICROELEMENTOS!$B39="",MACROMICROELEMENTOS!$C39="",MACROMICROELEMENTOS!$D39="",MACROMICROELEMENTOS!$E39="",MACROMICROELEMENTOS!$G39="",MACROMICROELEMENTOS!$BL39="",MACROMICROELEMENTOS!$BM39=""),"",((MACROMICROELEMENTOS!$G39-MACROMICROELEMENTOS!$BL39)*MACROMICROELEMENTOS!$BM39*MACROMICROELEMENTOS!$D39*(1/MACROMICROELEMENTOS!$C39)*MACROMICROELEMENTOS!$E39/1000))</f>
        <v/>
      </c>
      <c r="BO39" s="16" t="str">
        <f>IF(AND(MACROMICROELEMENTOS!$AC39="",MACROMICROELEMENTOS!$AD39="",MACROMICROELEMENTOS!$AE39="",MACROMICROELEMENTOS!$AF39=""),"",AVERAGE(MACROMICROELEMENTOS!$AC39,MACROMICROELEMENTOS!$AD39,MACROMICROELEMENTOS!$AE39,MACROMICROELEMENTOS!$AF39))</f>
        <v/>
      </c>
      <c r="BP39" s="18">
        <v>1</v>
      </c>
      <c r="BQ39" s="53" t="str">
        <f>IF(OR(MACROMICROELEMENTOS!$A39="",MACROMICROELEMENTOS!$B39="",MACROMICROELEMENTOS!$C39="",MACROMICROELEMENTOS!$D39="",MACROMICROELEMENTOS!$E39="",MACROMICROELEMENTOS!$H39="",MACROMICROELEMENTOS!$BO39="",MACROMICROELEMENTOS!$BP39=""),"",((MACROMICROELEMENTOS!$H39-MACROMICROELEMENTOS!$BO39)*MACROMICROELEMENTOS!$BP39*MACROMICROELEMENTOS!$D39*(1/MACROMICROELEMENTOS!$C39)*MACROMICROELEMENTOS!$E39/1000))</f>
        <v/>
      </c>
      <c r="BR39" s="16" t="str">
        <f>IF(AND(MACROMICROELEMENTOS!$Q39="",MACROMICROELEMENTOS!$R39="",MACROMICROELEMENTOS!$S39="",MACROMICROELEMENTOS!$T39=""),"",AVERAGE(MACROMICROELEMENTOS!$Q39,MACROMICROELEMENTOS!$R39,MACROMICROELEMENTOS!$S39,MACROMICROELEMENTOS!$T39))</f>
        <v/>
      </c>
      <c r="BS39" s="18">
        <v>1</v>
      </c>
      <c r="BT39" s="53" t="str">
        <f>IF(OR(MACROMICROELEMENTOS!$A39="",MACROMICROELEMENTOS!$B39="",MACROMICROELEMENTOS!$C39="",MACROMICROELEMENTOS!$D39="",MACROMICROELEMENTOS!$E39="",MACROMICROELEMENTOS!$I39="",MACROMICROELEMENTOS!$BR39="",MACROMICROELEMENTOS!$BS39=""),"",((MACROMICROELEMENTOS!$I39-MACROMICROELEMENTOS!$BR39)*MACROMICROELEMENTOS!$BS39*MACROMICROELEMENTOS!$D39*(1/MACROMICROELEMENTOS!$C39)*MACROMICROELEMENTOS!$E39))</f>
        <v/>
      </c>
      <c r="BU39" s="16" t="str">
        <f>IF(AND(MACROMICROELEMENTOS!$AG39="",MACROMICROELEMENTOS!$AH39="",MACROMICROELEMENTOS!$AI39="",MACROMICROELEMENTOS!$AJ39=""),"",AVERAGE(MACROMICROELEMENTOS!$AG39,MACROMICROELEMENTOS!$AH39,MACROMICROELEMENTOS!$AI39,MACROMICROELEMENTOS!$AJ39))</f>
        <v/>
      </c>
      <c r="BV39" s="18">
        <v>1</v>
      </c>
      <c r="BW39" s="53" t="str">
        <f>IF(OR(MACROMICROELEMENTOS!$A39="",MACROMICROELEMENTOS!$B39="",MACROMICROELEMENTOS!$C39="",MACROMICROELEMENTOS!$D39="",MACROMICROELEMENTOS!$E39="",MACROMICROELEMENTOS!$J39="",MACROMICROELEMENTOS!$BU39="",MACROMICROELEMENTOS!$BV39=""),"",((MACROMICROELEMENTOS!$J39-MACROMICROELEMENTOS!$BU39)*MACROMICROELEMENTOS!$BV39*MACROMICROELEMENTOS!$D39*(1/MACROMICROELEMENTOS!$C39)*MACROMICROELEMENTOS!$E39/1000))</f>
        <v/>
      </c>
      <c r="BX39" s="16" t="str">
        <f>IF(AND(MACROMICROELEMENTOS!$AK39="",MACROMICROELEMENTOS!$AL39="",MACROMICROELEMENTOS!$AM39="",MACROMICROELEMENTOS!$AN39=""),"",AVERAGE(MACROMICROELEMENTOS!$AK39,MACROMICROELEMENTOS!$AL39,MACROMICROELEMENTOS!$AM39,MACROMICROELEMENTOS!$AN39))</f>
        <v/>
      </c>
      <c r="BY39" s="18">
        <v>1</v>
      </c>
      <c r="BZ39" s="53" t="str">
        <f>IF(OR(MACROMICROELEMENTOS!$A39="",MACROMICROELEMENTOS!$B39="",MACROMICROELEMENTOS!$C39="",MACROMICROELEMENTOS!$D39="",MACROMICROELEMENTOS!$E39="",MACROMICROELEMENTOS!$K39="",MACROMICROELEMENTOS!$BX39="",MACROMICROELEMENTOS!$BY39=""),"",((MACROMICROELEMENTOS!$K39-MACROMICROELEMENTOS!$BX39)*MACROMICROELEMENTOS!$BY39*MACROMICROELEMENTOS!$D39*(1/MACROMICROELEMENTOS!$C39)*MACROMICROELEMENTOS!$E39/1000))</f>
        <v/>
      </c>
      <c r="CA39" s="16" t="str">
        <f>IF(AND(MACROMICROELEMENTOS!$AO39="",MACROMICROELEMENTOS!$AP39="",MACROMICROELEMENTOS!$AQ39="",MACROMICROELEMENTOS!$AR39=""),"",AVERAGE(MACROMICROELEMENTOS!$AO39,MACROMICROELEMENTOS!$AP39,MACROMICROELEMENTOS!$AQ39,MACROMICROELEMENTOS!$AR39))</f>
        <v/>
      </c>
      <c r="CB39" s="18">
        <v>1</v>
      </c>
      <c r="CC39" s="53" t="str">
        <f>IF(OR(MACROMICROELEMENTOS!$A39="",MACROMICROELEMENTOS!$B39="",MACROMICROELEMENTOS!$C39="",MACROMICROELEMENTOS!$D39="",MACROMICROELEMENTOS!$E39="",MACROMICROELEMENTOS!$L39="",MACROMICROELEMENTOS!$CA39="",MACROMICROELEMENTOS!$CB39=""),"",((MACROMICROELEMENTOS!$L39-MACROMICROELEMENTOS!$CA39)*MACROMICROELEMENTOS!$CB39*MACROMICROELEMENTOS!$D39*(1/MACROMICROELEMENTOS!$C39)*MACROMICROELEMENTOS!$E39))</f>
        <v/>
      </c>
      <c r="CD39" s="16" t="str">
        <f>IF(AND(MACROMICROELEMENTOS!$AS39="",MACROMICROELEMENTOS!$AT39="",MACROMICROELEMENTOS!$AU39="",MACROMICROELEMENTOS!$AV39=""),"",AVERAGE(MACROMICROELEMENTOS!$AS39,MACROMICROELEMENTOS!$AT39,MACROMICROELEMENTOS!$AU39,MACROMICROELEMENTOS!$AV39))</f>
        <v/>
      </c>
      <c r="CE39" s="18">
        <v>1</v>
      </c>
      <c r="CF39" s="53" t="str">
        <f>IF(OR(MACROMICROELEMENTOS!$A39="",MACROMICROELEMENTOS!$B39="",MACROMICROELEMENTOS!$C39="",MACROMICROELEMENTOS!$D39="",MACROMICROELEMENTOS!$E39="",MACROMICROELEMENTOS!$M39="",MACROMICROELEMENTOS!$CD39="",MACROMICROELEMENTOS!$CE39=""),"",((MACROMICROELEMENTOS!$M39-MACROMICROELEMENTOS!$CD39)*MACROMICROELEMENTOS!$CE39*MACROMICROELEMENTOS!$D39*(1/MACROMICROELEMENTOS!$C39)*MACROMICROELEMENTOS!$E39))</f>
        <v/>
      </c>
      <c r="CG39" s="16" t="str">
        <f>IF(AND(MACROMICROELEMENTOS!$AW39="",MACROMICROELEMENTOS!$AX39="",MACROMICROELEMENTOS!$AY39="",MACROMICROELEMENTOS!$AZ39=""),"",AVERAGE(MACROMICROELEMENTOS!$AW39,MACROMICROELEMENTOS!$AX39,MACROMICROELEMENTOS!$AY39,MACROMICROELEMENTOS!$AZ39))</f>
        <v/>
      </c>
      <c r="CH39" s="18">
        <v>1</v>
      </c>
      <c r="CI39" s="53" t="str">
        <f>IF(OR(MACROMICROELEMENTOS!$A39="",MACROMICROELEMENTOS!$B39="",MACROMICROELEMENTOS!$C39="",MACROMICROELEMENTOS!$D39="",MACROMICROELEMENTOS!$E39="",MACROMICROELEMENTOS!$N39="",MACROMICROELEMENTOS!$CG39="",MACROMICROELEMENTOS!$CH39=""),"",((MACROMICROELEMENTOS!$N39-MACROMICROELEMENTOS!$CG39)*MACROMICROELEMENTOS!$CH39*MACROMICROELEMENTOS!$D39*(1/MACROMICROELEMENTOS!$C39)*MACROMICROELEMENTOS!$E39))</f>
        <v/>
      </c>
      <c r="CJ39" s="16" t="str">
        <f>IF(AND(MACROMICROELEMENTOS!$BA39="",MACROMICROELEMENTOS!$BB39="",MACROMICROELEMENTOS!$BC39="",MACROMICROELEMENTOS!$BD39=""),"",IF(O39&gt;5,0,AVERAGE(MACROMICROELEMENTOS!$BA39,MACROMICROELEMENTOS!$BB39,MACROMICROELEMENTOS!$BC39,MACROMICROELEMENTOS!$BD39)))</f>
        <v/>
      </c>
      <c r="CK39" s="18">
        <v>1</v>
      </c>
      <c r="CL39" s="53" t="str">
        <f>IF(OR(MACROMICROELEMENTOS!$A39="",MACROMICROELEMENTOS!$B39="",MACROMICROELEMENTOS!$C39="",MACROMICROELEMENTOS!$D39="",MACROMICROELEMENTOS!$E39="",MACROMICROELEMENTOS!$O39="",MACROMICROELEMENTOS!$CJ39="",MACROMICROELEMENTOS!$CK39=""),"",((MACROMICROELEMENTOS!$O39-MACROMICROELEMENTOS!$CJ39)*MACROMICROELEMENTOS!$CK39*MACROMICROELEMENTOS!$D39*(1/MACROMICROELEMENTOS!$C39)*MACROMICROELEMENTOS!$E39))</f>
        <v/>
      </c>
      <c r="CM39" s="16" t="str">
        <f>IF(AND(MACROMICROELEMENTOS!$BE39="",MACROMICROELEMENTOS!$BF39="",MACROMICROELEMENTOS!$BG39="",MACROMICROELEMENTOS!$BH39=""),"",AVERAGE(MACROMICROELEMENTOS!$BE39,MACROMICROELEMENTOS!$BF39,MACROMICROELEMENTOS!$BG39,MACROMICROELEMENTOS!$BH39))</f>
        <v/>
      </c>
      <c r="CN39" s="18">
        <v>1</v>
      </c>
      <c r="CO39" s="53" t="str">
        <f>IF(OR(MACROMICROELEMENTOS!$A39="",MACROMICROELEMENTOS!$B39="",MACROMICROELEMENTOS!$C39="",MACROMICROELEMENTOS!$D39="",MACROMICROELEMENTOS!$E39="",MACROMICROELEMENTOS!$P39="",MACROMICROELEMENTOS!$CM39="",MACROMICROELEMENTOS!$CN39=""),"",((MACROMICROELEMENTOS!$P39-MACROMICROELEMENTOS!$CM39)*MACROMICROELEMENTOS!$CN39*MACROMICROELEMENTOS!$D39*(1/MACROMICROELEMENTOS!$C39)*MACROMICROELEMENTOS!$E39))</f>
        <v/>
      </c>
    </row>
    <row r="40" spans="1:93" x14ac:dyDescent="0.25">
      <c r="A40" s="50"/>
      <c r="B40" s="51"/>
      <c r="C40" s="50"/>
      <c r="D40" s="18">
        <v>50</v>
      </c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6" t="str">
        <f>IF(AND(MACROMICROELEMENTOS!$U40="",MACROMICROELEMENTOS!$V40="",MACROMICROELEMENTOS!$W40="",MACROMICROELEMENTOS!$X40=""),"",AVERAGE(MACROMICROELEMENTOS!$U40,MACROMICROELEMENTOS!$V40,MACROMICROELEMENTOS!$W40,MACROMICROELEMENTOS!$X40))</f>
        <v/>
      </c>
      <c r="BJ40" s="18">
        <v>1</v>
      </c>
      <c r="BK40" s="53" t="str">
        <f>IF(OR(MACROMICROELEMENTOS!$A40="",MACROMICROELEMENTOS!$B40="",MACROMICROELEMENTOS!$C40="",MACROMICROELEMENTOS!$D40="",MACROMICROELEMENTOS!$E40="",MACROMICROELEMENTOS!$F40="",MACROMICROELEMENTOS!$BI40="",MACROMICROELEMENTOS!$BJ40=""),"",((MACROMICROELEMENTOS!$F40-MACROMICROELEMENTOS!$BI40)*MACROMICROELEMENTOS!$BJ40*MACROMICROELEMENTOS!$D40*(1/MACROMICROELEMENTOS!$C40)*MACROMICROELEMENTOS!$E40/1000))</f>
        <v/>
      </c>
      <c r="BL40" s="16" t="str">
        <f>IF(AND(MACROMICROELEMENTOS!$Y40="",MACROMICROELEMENTOS!$Z40="",MACROMICROELEMENTOS!$AA40="",MACROMICROELEMENTOS!$AB40=""),"",AVERAGE(MACROMICROELEMENTOS!$Y40,MACROMICROELEMENTOS!$Z40,MACROMICROELEMENTOS!$AA40,MACROMICROELEMENTOS!$AB40))</f>
        <v/>
      </c>
      <c r="BM40" s="18">
        <v>1</v>
      </c>
      <c r="BN40" s="53" t="str">
        <f>IF(OR(MACROMICROELEMENTOS!$A40="",MACROMICROELEMENTOS!$B40="",MACROMICROELEMENTOS!$C40="",MACROMICROELEMENTOS!$D40="",MACROMICROELEMENTOS!$E40="",MACROMICROELEMENTOS!$G40="",MACROMICROELEMENTOS!$BL40="",MACROMICROELEMENTOS!$BM40=""),"",((MACROMICROELEMENTOS!$G40-MACROMICROELEMENTOS!$BL40)*MACROMICROELEMENTOS!$BM40*MACROMICROELEMENTOS!$D40*(1/MACROMICROELEMENTOS!$C40)*MACROMICROELEMENTOS!$E40/1000))</f>
        <v/>
      </c>
      <c r="BO40" s="16" t="str">
        <f>IF(AND(MACROMICROELEMENTOS!$AC40="",MACROMICROELEMENTOS!$AD40="",MACROMICROELEMENTOS!$AE40="",MACROMICROELEMENTOS!$AF40=""),"",AVERAGE(MACROMICROELEMENTOS!$AC40,MACROMICROELEMENTOS!$AD40,MACROMICROELEMENTOS!$AE40,MACROMICROELEMENTOS!$AF40))</f>
        <v/>
      </c>
      <c r="BP40" s="18">
        <v>1</v>
      </c>
      <c r="BQ40" s="53" t="str">
        <f>IF(OR(MACROMICROELEMENTOS!$A40="",MACROMICROELEMENTOS!$B40="",MACROMICROELEMENTOS!$C40="",MACROMICROELEMENTOS!$D40="",MACROMICROELEMENTOS!$E40="",MACROMICROELEMENTOS!$H40="",MACROMICROELEMENTOS!$BO40="",MACROMICROELEMENTOS!$BP40=""),"",((MACROMICROELEMENTOS!$H40-MACROMICROELEMENTOS!$BO40)*MACROMICROELEMENTOS!$BP40*MACROMICROELEMENTOS!$D40*(1/MACROMICROELEMENTOS!$C40)*MACROMICROELEMENTOS!$E40/1000))</f>
        <v/>
      </c>
      <c r="BR40" s="16" t="str">
        <f>IF(AND(MACROMICROELEMENTOS!$Q40="",MACROMICROELEMENTOS!$R40="",MACROMICROELEMENTOS!$S40="",MACROMICROELEMENTOS!$T40=""),"",AVERAGE(MACROMICROELEMENTOS!$Q40,MACROMICROELEMENTOS!$R40,MACROMICROELEMENTOS!$S40,MACROMICROELEMENTOS!$T40))</f>
        <v/>
      </c>
      <c r="BS40" s="18">
        <v>1</v>
      </c>
      <c r="BT40" s="53" t="str">
        <f>IF(OR(MACROMICROELEMENTOS!$A40="",MACROMICROELEMENTOS!$B40="",MACROMICROELEMENTOS!$C40="",MACROMICROELEMENTOS!$D40="",MACROMICROELEMENTOS!$E40="",MACROMICROELEMENTOS!$I40="",MACROMICROELEMENTOS!$BR40="",MACROMICROELEMENTOS!$BS40=""),"",((MACROMICROELEMENTOS!$I40-MACROMICROELEMENTOS!$BR40)*MACROMICROELEMENTOS!$BS40*MACROMICROELEMENTOS!$D40*(1/MACROMICROELEMENTOS!$C40)*MACROMICROELEMENTOS!$E40))</f>
        <v/>
      </c>
      <c r="BU40" s="16" t="str">
        <f>IF(AND(MACROMICROELEMENTOS!$AG40="",MACROMICROELEMENTOS!$AH40="",MACROMICROELEMENTOS!$AI40="",MACROMICROELEMENTOS!$AJ40=""),"",AVERAGE(MACROMICROELEMENTOS!$AG40,MACROMICROELEMENTOS!$AH40,MACROMICROELEMENTOS!$AI40,MACROMICROELEMENTOS!$AJ40))</f>
        <v/>
      </c>
      <c r="BV40" s="18">
        <v>1</v>
      </c>
      <c r="BW40" s="53" t="str">
        <f>IF(OR(MACROMICROELEMENTOS!$A40="",MACROMICROELEMENTOS!$B40="",MACROMICROELEMENTOS!$C40="",MACROMICROELEMENTOS!$D40="",MACROMICROELEMENTOS!$E40="",MACROMICROELEMENTOS!$J40="",MACROMICROELEMENTOS!$BU40="",MACROMICROELEMENTOS!$BV40=""),"",((MACROMICROELEMENTOS!$J40-MACROMICROELEMENTOS!$BU40)*MACROMICROELEMENTOS!$BV40*MACROMICROELEMENTOS!$D40*(1/MACROMICROELEMENTOS!$C40)*MACROMICROELEMENTOS!$E40/1000))</f>
        <v/>
      </c>
      <c r="BX40" s="16" t="str">
        <f>IF(AND(MACROMICROELEMENTOS!$AK40="",MACROMICROELEMENTOS!$AL40="",MACROMICROELEMENTOS!$AM40="",MACROMICROELEMENTOS!$AN40=""),"",AVERAGE(MACROMICROELEMENTOS!$AK40,MACROMICROELEMENTOS!$AL40,MACROMICROELEMENTOS!$AM40,MACROMICROELEMENTOS!$AN40))</f>
        <v/>
      </c>
      <c r="BY40" s="18">
        <v>1</v>
      </c>
      <c r="BZ40" s="53" t="str">
        <f>IF(OR(MACROMICROELEMENTOS!$A40="",MACROMICROELEMENTOS!$B40="",MACROMICROELEMENTOS!$C40="",MACROMICROELEMENTOS!$D40="",MACROMICROELEMENTOS!$E40="",MACROMICROELEMENTOS!$K40="",MACROMICROELEMENTOS!$BX40="",MACROMICROELEMENTOS!$BY40=""),"",((MACROMICROELEMENTOS!$K40-MACROMICROELEMENTOS!$BX40)*MACROMICROELEMENTOS!$BY40*MACROMICROELEMENTOS!$D40*(1/MACROMICROELEMENTOS!$C40)*MACROMICROELEMENTOS!$E40/1000))</f>
        <v/>
      </c>
      <c r="CA40" s="16" t="str">
        <f>IF(AND(MACROMICROELEMENTOS!$AO40="",MACROMICROELEMENTOS!$AP40="",MACROMICROELEMENTOS!$AQ40="",MACROMICROELEMENTOS!$AR40=""),"",AVERAGE(MACROMICROELEMENTOS!$AO40,MACROMICROELEMENTOS!$AP40,MACROMICROELEMENTOS!$AQ40,MACROMICROELEMENTOS!$AR40))</f>
        <v/>
      </c>
      <c r="CB40" s="18">
        <v>1</v>
      </c>
      <c r="CC40" s="53" t="str">
        <f>IF(OR(MACROMICROELEMENTOS!$A40="",MACROMICROELEMENTOS!$B40="",MACROMICROELEMENTOS!$C40="",MACROMICROELEMENTOS!$D40="",MACROMICROELEMENTOS!$E40="",MACROMICROELEMENTOS!$L40="",MACROMICROELEMENTOS!$CA40="",MACROMICROELEMENTOS!$CB40=""),"",((MACROMICROELEMENTOS!$L40-MACROMICROELEMENTOS!$CA40)*MACROMICROELEMENTOS!$CB40*MACROMICROELEMENTOS!$D40*(1/MACROMICROELEMENTOS!$C40)*MACROMICROELEMENTOS!$E40))</f>
        <v/>
      </c>
      <c r="CD40" s="16" t="str">
        <f>IF(AND(MACROMICROELEMENTOS!$AS40="",MACROMICROELEMENTOS!$AT40="",MACROMICROELEMENTOS!$AU40="",MACROMICROELEMENTOS!$AV40=""),"",AVERAGE(MACROMICROELEMENTOS!$AS40,MACROMICROELEMENTOS!$AT40,MACROMICROELEMENTOS!$AU40,MACROMICROELEMENTOS!$AV40))</f>
        <v/>
      </c>
      <c r="CE40" s="18">
        <v>1</v>
      </c>
      <c r="CF40" s="53" t="str">
        <f>IF(OR(MACROMICROELEMENTOS!$A40="",MACROMICROELEMENTOS!$B40="",MACROMICROELEMENTOS!$C40="",MACROMICROELEMENTOS!$D40="",MACROMICROELEMENTOS!$E40="",MACROMICROELEMENTOS!$M40="",MACROMICROELEMENTOS!$CD40="",MACROMICROELEMENTOS!$CE40=""),"",((MACROMICROELEMENTOS!$M40-MACROMICROELEMENTOS!$CD40)*MACROMICROELEMENTOS!$CE40*MACROMICROELEMENTOS!$D40*(1/MACROMICROELEMENTOS!$C40)*MACROMICROELEMENTOS!$E40))</f>
        <v/>
      </c>
      <c r="CG40" s="16" t="str">
        <f>IF(AND(MACROMICROELEMENTOS!$AW40="",MACROMICROELEMENTOS!$AX40="",MACROMICROELEMENTOS!$AY40="",MACROMICROELEMENTOS!$AZ40=""),"",AVERAGE(MACROMICROELEMENTOS!$AW40,MACROMICROELEMENTOS!$AX40,MACROMICROELEMENTOS!$AY40,MACROMICROELEMENTOS!$AZ40))</f>
        <v/>
      </c>
      <c r="CH40" s="18">
        <v>1</v>
      </c>
      <c r="CI40" s="53" t="str">
        <f>IF(OR(MACROMICROELEMENTOS!$A40="",MACROMICROELEMENTOS!$B40="",MACROMICROELEMENTOS!$C40="",MACROMICROELEMENTOS!$D40="",MACROMICROELEMENTOS!$E40="",MACROMICROELEMENTOS!$N40="",MACROMICROELEMENTOS!$CG40="",MACROMICROELEMENTOS!$CH40=""),"",((MACROMICROELEMENTOS!$N40-MACROMICROELEMENTOS!$CG40)*MACROMICROELEMENTOS!$CH40*MACROMICROELEMENTOS!$D40*(1/MACROMICROELEMENTOS!$C40)*MACROMICROELEMENTOS!$E40))</f>
        <v/>
      </c>
      <c r="CJ40" s="16" t="str">
        <f>IF(AND(MACROMICROELEMENTOS!$BA40="",MACROMICROELEMENTOS!$BB40="",MACROMICROELEMENTOS!$BC40="",MACROMICROELEMENTOS!$BD40=""),"",IF(O40&gt;5,0,AVERAGE(MACROMICROELEMENTOS!$BA40,MACROMICROELEMENTOS!$BB40,MACROMICROELEMENTOS!$BC40,MACROMICROELEMENTOS!$BD40)))</f>
        <v/>
      </c>
      <c r="CK40" s="18">
        <v>1</v>
      </c>
      <c r="CL40" s="53" t="str">
        <f>IF(OR(MACROMICROELEMENTOS!$A40="",MACROMICROELEMENTOS!$B40="",MACROMICROELEMENTOS!$C40="",MACROMICROELEMENTOS!$D40="",MACROMICROELEMENTOS!$E40="",MACROMICROELEMENTOS!$O40="",MACROMICROELEMENTOS!$CJ40="",MACROMICROELEMENTOS!$CK40=""),"",((MACROMICROELEMENTOS!$O40-MACROMICROELEMENTOS!$CJ40)*MACROMICROELEMENTOS!$CK40*MACROMICROELEMENTOS!$D40*(1/MACROMICROELEMENTOS!$C40)*MACROMICROELEMENTOS!$E40))</f>
        <v/>
      </c>
      <c r="CM40" s="16" t="str">
        <f>IF(AND(MACROMICROELEMENTOS!$BE40="",MACROMICROELEMENTOS!$BF40="",MACROMICROELEMENTOS!$BG40="",MACROMICROELEMENTOS!$BH40=""),"",AVERAGE(MACROMICROELEMENTOS!$BE40,MACROMICROELEMENTOS!$BF40,MACROMICROELEMENTOS!$BG40,MACROMICROELEMENTOS!$BH40))</f>
        <v/>
      </c>
      <c r="CN40" s="18">
        <v>1</v>
      </c>
      <c r="CO40" s="53" t="str">
        <f>IF(OR(MACROMICROELEMENTOS!$A40="",MACROMICROELEMENTOS!$B40="",MACROMICROELEMENTOS!$C40="",MACROMICROELEMENTOS!$D40="",MACROMICROELEMENTOS!$E40="",MACROMICROELEMENTOS!$P40="",MACROMICROELEMENTOS!$CM40="",MACROMICROELEMENTOS!$CN40=""),"",((MACROMICROELEMENTOS!$P40-MACROMICROELEMENTOS!$CM40)*MACROMICROELEMENTOS!$CN40*MACROMICROELEMENTOS!$D40*(1/MACROMICROELEMENTOS!$C40)*MACROMICROELEMENTOS!$E40))</f>
        <v/>
      </c>
    </row>
    <row r="41" spans="1:93" x14ac:dyDescent="0.25">
      <c r="A41" s="50"/>
      <c r="B41" s="51"/>
      <c r="C41" s="50"/>
      <c r="D41" s="18">
        <v>50</v>
      </c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6" t="str">
        <f>IF(AND(MACROMICROELEMENTOS!$U41="",MACROMICROELEMENTOS!$V41="",MACROMICROELEMENTOS!$W41="",MACROMICROELEMENTOS!$X41=""),"",AVERAGE(MACROMICROELEMENTOS!$U41,MACROMICROELEMENTOS!$V41,MACROMICROELEMENTOS!$W41,MACROMICROELEMENTOS!$X41))</f>
        <v/>
      </c>
      <c r="BJ41" s="18">
        <v>1</v>
      </c>
      <c r="BK41" s="53" t="str">
        <f>IF(OR(MACROMICROELEMENTOS!$A41="",MACROMICROELEMENTOS!$B41="",MACROMICROELEMENTOS!$C41="",MACROMICROELEMENTOS!$D41="",MACROMICROELEMENTOS!$E41="",MACROMICROELEMENTOS!$F41="",MACROMICROELEMENTOS!$BI41="",MACROMICROELEMENTOS!$BJ41=""),"",((MACROMICROELEMENTOS!$F41-MACROMICROELEMENTOS!$BI41)*MACROMICROELEMENTOS!$BJ41*MACROMICROELEMENTOS!$D41*(1/MACROMICROELEMENTOS!$C41)*MACROMICROELEMENTOS!$E41/1000))</f>
        <v/>
      </c>
      <c r="BL41" s="16" t="str">
        <f>IF(AND(MACROMICROELEMENTOS!$Y41="",MACROMICROELEMENTOS!$Z41="",MACROMICROELEMENTOS!$AA41="",MACROMICROELEMENTOS!$AB41=""),"",AVERAGE(MACROMICROELEMENTOS!$Y41,MACROMICROELEMENTOS!$Z41,MACROMICROELEMENTOS!$AA41,MACROMICROELEMENTOS!$AB41))</f>
        <v/>
      </c>
      <c r="BM41" s="18">
        <v>1</v>
      </c>
      <c r="BN41" s="53" t="str">
        <f>IF(OR(MACROMICROELEMENTOS!$A41="",MACROMICROELEMENTOS!$B41="",MACROMICROELEMENTOS!$C41="",MACROMICROELEMENTOS!$D41="",MACROMICROELEMENTOS!$E41="",MACROMICROELEMENTOS!$G41="",MACROMICROELEMENTOS!$BL41="",MACROMICROELEMENTOS!$BM41=""),"",((MACROMICROELEMENTOS!$G41-MACROMICROELEMENTOS!$BL41)*MACROMICROELEMENTOS!$BM41*MACROMICROELEMENTOS!$D41*(1/MACROMICROELEMENTOS!$C41)*MACROMICROELEMENTOS!$E41/1000))</f>
        <v/>
      </c>
      <c r="BO41" s="16" t="str">
        <f>IF(AND(MACROMICROELEMENTOS!$AC41="",MACROMICROELEMENTOS!$AD41="",MACROMICROELEMENTOS!$AE41="",MACROMICROELEMENTOS!$AF41=""),"",AVERAGE(MACROMICROELEMENTOS!$AC41,MACROMICROELEMENTOS!$AD41,MACROMICROELEMENTOS!$AE41,MACROMICROELEMENTOS!$AF41))</f>
        <v/>
      </c>
      <c r="BP41" s="18">
        <v>1</v>
      </c>
      <c r="BQ41" s="53" t="str">
        <f>IF(OR(MACROMICROELEMENTOS!$A41="",MACROMICROELEMENTOS!$B41="",MACROMICROELEMENTOS!$C41="",MACROMICROELEMENTOS!$D41="",MACROMICROELEMENTOS!$E41="",MACROMICROELEMENTOS!$H41="",MACROMICROELEMENTOS!$BO41="",MACROMICROELEMENTOS!$BP41=""),"",((MACROMICROELEMENTOS!$H41-MACROMICROELEMENTOS!$BO41)*MACROMICROELEMENTOS!$BP41*MACROMICROELEMENTOS!$D41*(1/MACROMICROELEMENTOS!$C41)*MACROMICROELEMENTOS!$E41/1000))</f>
        <v/>
      </c>
      <c r="BR41" s="16" t="str">
        <f>IF(AND(MACROMICROELEMENTOS!$Q41="",MACROMICROELEMENTOS!$R41="",MACROMICROELEMENTOS!$S41="",MACROMICROELEMENTOS!$T41=""),"",AVERAGE(MACROMICROELEMENTOS!$Q41,MACROMICROELEMENTOS!$R41,MACROMICROELEMENTOS!$S41,MACROMICROELEMENTOS!$T41))</f>
        <v/>
      </c>
      <c r="BS41" s="18">
        <v>1</v>
      </c>
      <c r="BT41" s="53" t="str">
        <f>IF(OR(MACROMICROELEMENTOS!$A41="",MACROMICROELEMENTOS!$B41="",MACROMICROELEMENTOS!$C41="",MACROMICROELEMENTOS!$D41="",MACROMICROELEMENTOS!$E41="",MACROMICROELEMENTOS!$I41="",MACROMICROELEMENTOS!$BR41="",MACROMICROELEMENTOS!$BS41=""),"",((MACROMICROELEMENTOS!$I41-MACROMICROELEMENTOS!$BR41)*MACROMICROELEMENTOS!$BS41*MACROMICROELEMENTOS!$D41*(1/MACROMICROELEMENTOS!$C41)*MACROMICROELEMENTOS!$E41))</f>
        <v/>
      </c>
      <c r="BU41" s="16" t="str">
        <f>IF(AND(MACROMICROELEMENTOS!$AG41="",MACROMICROELEMENTOS!$AH41="",MACROMICROELEMENTOS!$AI41="",MACROMICROELEMENTOS!$AJ41=""),"",AVERAGE(MACROMICROELEMENTOS!$AG41,MACROMICROELEMENTOS!$AH41,MACROMICROELEMENTOS!$AI41,MACROMICROELEMENTOS!$AJ41))</f>
        <v/>
      </c>
      <c r="BV41" s="18">
        <v>1</v>
      </c>
      <c r="BW41" s="53" t="str">
        <f>IF(OR(MACROMICROELEMENTOS!$A41="",MACROMICROELEMENTOS!$B41="",MACROMICROELEMENTOS!$C41="",MACROMICROELEMENTOS!$D41="",MACROMICROELEMENTOS!$E41="",MACROMICROELEMENTOS!$J41="",MACROMICROELEMENTOS!$BU41="",MACROMICROELEMENTOS!$BV41=""),"",((MACROMICROELEMENTOS!$J41-MACROMICROELEMENTOS!$BU41)*MACROMICROELEMENTOS!$BV41*MACROMICROELEMENTOS!$D41*(1/MACROMICROELEMENTOS!$C41)*MACROMICROELEMENTOS!$E41/1000))</f>
        <v/>
      </c>
      <c r="BX41" s="16" t="str">
        <f>IF(AND(MACROMICROELEMENTOS!$AK41="",MACROMICROELEMENTOS!$AL41="",MACROMICROELEMENTOS!$AM41="",MACROMICROELEMENTOS!$AN41=""),"",AVERAGE(MACROMICROELEMENTOS!$AK41,MACROMICROELEMENTOS!$AL41,MACROMICROELEMENTOS!$AM41,MACROMICROELEMENTOS!$AN41))</f>
        <v/>
      </c>
      <c r="BY41" s="18">
        <v>1</v>
      </c>
      <c r="BZ41" s="53" t="str">
        <f>IF(OR(MACROMICROELEMENTOS!$A41="",MACROMICROELEMENTOS!$B41="",MACROMICROELEMENTOS!$C41="",MACROMICROELEMENTOS!$D41="",MACROMICROELEMENTOS!$E41="",MACROMICROELEMENTOS!$K41="",MACROMICROELEMENTOS!$BX41="",MACROMICROELEMENTOS!$BY41=""),"",((MACROMICROELEMENTOS!$K41-MACROMICROELEMENTOS!$BX41)*MACROMICROELEMENTOS!$BY41*MACROMICROELEMENTOS!$D41*(1/MACROMICROELEMENTOS!$C41)*MACROMICROELEMENTOS!$E41/1000))</f>
        <v/>
      </c>
      <c r="CA41" s="16" t="str">
        <f>IF(AND(MACROMICROELEMENTOS!$AO41="",MACROMICROELEMENTOS!$AP41="",MACROMICROELEMENTOS!$AQ41="",MACROMICROELEMENTOS!$AR41=""),"",AVERAGE(MACROMICROELEMENTOS!$AO41,MACROMICROELEMENTOS!$AP41,MACROMICROELEMENTOS!$AQ41,MACROMICROELEMENTOS!$AR41))</f>
        <v/>
      </c>
      <c r="CB41" s="18">
        <v>1</v>
      </c>
      <c r="CC41" s="53" t="str">
        <f>IF(OR(MACROMICROELEMENTOS!$A41="",MACROMICROELEMENTOS!$B41="",MACROMICROELEMENTOS!$C41="",MACROMICROELEMENTOS!$D41="",MACROMICROELEMENTOS!$E41="",MACROMICROELEMENTOS!$L41="",MACROMICROELEMENTOS!$CA41="",MACROMICROELEMENTOS!$CB41=""),"",((MACROMICROELEMENTOS!$L41-MACROMICROELEMENTOS!$CA41)*MACROMICROELEMENTOS!$CB41*MACROMICROELEMENTOS!$D41*(1/MACROMICROELEMENTOS!$C41)*MACROMICROELEMENTOS!$E41))</f>
        <v/>
      </c>
      <c r="CD41" s="16" t="str">
        <f>IF(AND(MACROMICROELEMENTOS!$AS41="",MACROMICROELEMENTOS!$AT41="",MACROMICROELEMENTOS!$AU41="",MACROMICROELEMENTOS!$AV41=""),"",AVERAGE(MACROMICROELEMENTOS!$AS41,MACROMICROELEMENTOS!$AT41,MACROMICROELEMENTOS!$AU41,MACROMICROELEMENTOS!$AV41))</f>
        <v/>
      </c>
      <c r="CE41" s="18">
        <v>1</v>
      </c>
      <c r="CF41" s="53" t="str">
        <f>IF(OR(MACROMICROELEMENTOS!$A41="",MACROMICROELEMENTOS!$B41="",MACROMICROELEMENTOS!$C41="",MACROMICROELEMENTOS!$D41="",MACROMICROELEMENTOS!$E41="",MACROMICROELEMENTOS!$M41="",MACROMICROELEMENTOS!$CD41="",MACROMICROELEMENTOS!$CE41=""),"",((MACROMICROELEMENTOS!$M41-MACROMICROELEMENTOS!$CD41)*MACROMICROELEMENTOS!$CE41*MACROMICROELEMENTOS!$D41*(1/MACROMICROELEMENTOS!$C41)*MACROMICROELEMENTOS!$E41))</f>
        <v/>
      </c>
      <c r="CG41" s="16" t="str">
        <f>IF(AND(MACROMICROELEMENTOS!$AW41="",MACROMICROELEMENTOS!$AX41="",MACROMICROELEMENTOS!$AY41="",MACROMICROELEMENTOS!$AZ41=""),"",AVERAGE(MACROMICROELEMENTOS!$AW41,MACROMICROELEMENTOS!$AX41,MACROMICROELEMENTOS!$AY41,MACROMICROELEMENTOS!$AZ41))</f>
        <v/>
      </c>
      <c r="CH41" s="18">
        <v>1</v>
      </c>
      <c r="CI41" s="53" t="str">
        <f>IF(OR(MACROMICROELEMENTOS!$A41="",MACROMICROELEMENTOS!$B41="",MACROMICROELEMENTOS!$C41="",MACROMICROELEMENTOS!$D41="",MACROMICROELEMENTOS!$E41="",MACROMICROELEMENTOS!$N41="",MACROMICROELEMENTOS!$CG41="",MACROMICROELEMENTOS!$CH41=""),"",((MACROMICROELEMENTOS!$N41-MACROMICROELEMENTOS!$CG41)*MACROMICROELEMENTOS!$CH41*MACROMICROELEMENTOS!$D41*(1/MACROMICROELEMENTOS!$C41)*MACROMICROELEMENTOS!$E41))</f>
        <v/>
      </c>
      <c r="CJ41" s="16" t="str">
        <f>IF(AND(MACROMICROELEMENTOS!$BA41="",MACROMICROELEMENTOS!$BB41="",MACROMICROELEMENTOS!$BC41="",MACROMICROELEMENTOS!$BD41=""),"",IF(O41&gt;5,0,AVERAGE(MACROMICROELEMENTOS!$BA41,MACROMICROELEMENTOS!$BB41,MACROMICROELEMENTOS!$BC41,MACROMICROELEMENTOS!$BD41)))</f>
        <v/>
      </c>
      <c r="CK41" s="18">
        <v>1</v>
      </c>
      <c r="CL41" s="53" t="str">
        <f>IF(OR(MACROMICROELEMENTOS!$A41="",MACROMICROELEMENTOS!$B41="",MACROMICROELEMENTOS!$C41="",MACROMICROELEMENTOS!$D41="",MACROMICROELEMENTOS!$E41="",MACROMICROELEMENTOS!$O41="",MACROMICROELEMENTOS!$CJ41="",MACROMICROELEMENTOS!$CK41=""),"",((MACROMICROELEMENTOS!$O41-MACROMICROELEMENTOS!$CJ41)*MACROMICROELEMENTOS!$CK41*MACROMICROELEMENTOS!$D41*(1/MACROMICROELEMENTOS!$C41)*MACROMICROELEMENTOS!$E41))</f>
        <v/>
      </c>
      <c r="CM41" s="16" t="str">
        <f>IF(AND(MACROMICROELEMENTOS!$BE41="",MACROMICROELEMENTOS!$BF41="",MACROMICROELEMENTOS!$BG41="",MACROMICROELEMENTOS!$BH41=""),"",AVERAGE(MACROMICROELEMENTOS!$BE41,MACROMICROELEMENTOS!$BF41,MACROMICROELEMENTOS!$BG41,MACROMICROELEMENTOS!$BH41))</f>
        <v/>
      </c>
      <c r="CN41" s="18">
        <v>1</v>
      </c>
      <c r="CO41" s="53" t="str">
        <f>IF(OR(MACROMICROELEMENTOS!$A41="",MACROMICROELEMENTOS!$B41="",MACROMICROELEMENTOS!$C41="",MACROMICROELEMENTOS!$D41="",MACROMICROELEMENTOS!$E41="",MACROMICROELEMENTOS!$P41="",MACROMICROELEMENTOS!$CM41="",MACROMICROELEMENTOS!$CN41=""),"",((MACROMICROELEMENTOS!$P41-MACROMICROELEMENTOS!$CM41)*MACROMICROELEMENTOS!$CN41*MACROMICROELEMENTOS!$D41*(1/MACROMICROELEMENTOS!$C41)*MACROMICROELEMENTOS!$E41))</f>
        <v/>
      </c>
    </row>
    <row r="42" spans="1:93" x14ac:dyDescent="0.25">
      <c r="A42" s="50"/>
      <c r="B42" s="51"/>
      <c r="C42" s="50"/>
      <c r="D42" s="18">
        <v>50</v>
      </c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6" t="str">
        <f>IF(AND(MACROMICROELEMENTOS!$U42="",MACROMICROELEMENTOS!$V42="",MACROMICROELEMENTOS!$W42="",MACROMICROELEMENTOS!$X42=""),"",AVERAGE(MACROMICROELEMENTOS!$U42,MACROMICROELEMENTOS!$V42,MACROMICROELEMENTOS!$W42,MACROMICROELEMENTOS!$X42))</f>
        <v/>
      </c>
      <c r="BJ42" s="18">
        <v>1</v>
      </c>
      <c r="BK42" s="53" t="str">
        <f>IF(OR(MACROMICROELEMENTOS!$A42="",MACROMICROELEMENTOS!$B42="",MACROMICROELEMENTOS!$C42="",MACROMICROELEMENTOS!$D42="",MACROMICROELEMENTOS!$E42="",MACROMICROELEMENTOS!$F42="",MACROMICROELEMENTOS!$BI42="",MACROMICROELEMENTOS!$BJ42=""),"",((MACROMICROELEMENTOS!$F42-MACROMICROELEMENTOS!$BI42)*MACROMICROELEMENTOS!$BJ42*MACROMICROELEMENTOS!$D42*(1/MACROMICROELEMENTOS!$C42)*MACROMICROELEMENTOS!$E42/1000))</f>
        <v/>
      </c>
      <c r="BL42" s="16" t="str">
        <f>IF(AND(MACROMICROELEMENTOS!$Y42="",MACROMICROELEMENTOS!$Z42="",MACROMICROELEMENTOS!$AA42="",MACROMICROELEMENTOS!$AB42=""),"",AVERAGE(MACROMICROELEMENTOS!$Y42,MACROMICROELEMENTOS!$Z42,MACROMICROELEMENTOS!$AA42,MACROMICROELEMENTOS!$AB42))</f>
        <v/>
      </c>
      <c r="BM42" s="18">
        <v>1</v>
      </c>
      <c r="BN42" s="53" t="str">
        <f>IF(OR(MACROMICROELEMENTOS!$A42="",MACROMICROELEMENTOS!$B42="",MACROMICROELEMENTOS!$C42="",MACROMICROELEMENTOS!$D42="",MACROMICROELEMENTOS!$E42="",MACROMICROELEMENTOS!$G42="",MACROMICROELEMENTOS!$BL42="",MACROMICROELEMENTOS!$BM42=""),"",((MACROMICROELEMENTOS!$G42-MACROMICROELEMENTOS!$BL42)*MACROMICROELEMENTOS!$BM42*MACROMICROELEMENTOS!$D42*(1/MACROMICROELEMENTOS!$C42)*MACROMICROELEMENTOS!$E42/1000))</f>
        <v/>
      </c>
      <c r="BO42" s="16" t="str">
        <f>IF(AND(MACROMICROELEMENTOS!$AC42="",MACROMICROELEMENTOS!$AD42="",MACROMICROELEMENTOS!$AE42="",MACROMICROELEMENTOS!$AF42=""),"",AVERAGE(MACROMICROELEMENTOS!$AC42,MACROMICROELEMENTOS!$AD42,MACROMICROELEMENTOS!$AE42,MACROMICROELEMENTOS!$AF42))</f>
        <v/>
      </c>
      <c r="BP42" s="18">
        <v>1</v>
      </c>
      <c r="BQ42" s="53" t="str">
        <f>IF(OR(MACROMICROELEMENTOS!$A42="",MACROMICROELEMENTOS!$B42="",MACROMICROELEMENTOS!$C42="",MACROMICROELEMENTOS!$D42="",MACROMICROELEMENTOS!$E42="",MACROMICROELEMENTOS!$H42="",MACROMICROELEMENTOS!$BO42="",MACROMICROELEMENTOS!$BP42=""),"",((MACROMICROELEMENTOS!$H42-MACROMICROELEMENTOS!$BO42)*MACROMICROELEMENTOS!$BP42*MACROMICROELEMENTOS!$D42*(1/MACROMICROELEMENTOS!$C42)*MACROMICROELEMENTOS!$E42/1000))</f>
        <v/>
      </c>
      <c r="BR42" s="16" t="str">
        <f>IF(AND(MACROMICROELEMENTOS!$Q42="",MACROMICROELEMENTOS!$R42="",MACROMICROELEMENTOS!$S42="",MACROMICROELEMENTOS!$T42=""),"",AVERAGE(MACROMICROELEMENTOS!$Q42,MACROMICROELEMENTOS!$R42,MACROMICROELEMENTOS!$S42,MACROMICROELEMENTOS!$T42))</f>
        <v/>
      </c>
      <c r="BS42" s="18">
        <v>1</v>
      </c>
      <c r="BT42" s="53" t="str">
        <f>IF(OR(MACROMICROELEMENTOS!$A42="",MACROMICROELEMENTOS!$B42="",MACROMICROELEMENTOS!$C42="",MACROMICROELEMENTOS!$D42="",MACROMICROELEMENTOS!$E42="",MACROMICROELEMENTOS!$I42="",MACROMICROELEMENTOS!$BR42="",MACROMICROELEMENTOS!$BS42=""),"",((MACROMICROELEMENTOS!$I42-MACROMICROELEMENTOS!$BR42)*MACROMICROELEMENTOS!$BS42*MACROMICROELEMENTOS!$D42*(1/MACROMICROELEMENTOS!$C42)*MACROMICROELEMENTOS!$E42))</f>
        <v/>
      </c>
      <c r="BU42" s="16" t="str">
        <f>IF(AND(MACROMICROELEMENTOS!$AG42="",MACROMICROELEMENTOS!$AH42="",MACROMICROELEMENTOS!$AI42="",MACROMICROELEMENTOS!$AJ42=""),"",AVERAGE(MACROMICROELEMENTOS!$AG42,MACROMICROELEMENTOS!$AH42,MACROMICROELEMENTOS!$AI42,MACROMICROELEMENTOS!$AJ42))</f>
        <v/>
      </c>
      <c r="BV42" s="18">
        <v>1</v>
      </c>
      <c r="BW42" s="53" t="str">
        <f>IF(OR(MACROMICROELEMENTOS!$A42="",MACROMICROELEMENTOS!$B42="",MACROMICROELEMENTOS!$C42="",MACROMICROELEMENTOS!$D42="",MACROMICROELEMENTOS!$E42="",MACROMICROELEMENTOS!$J42="",MACROMICROELEMENTOS!$BU42="",MACROMICROELEMENTOS!$BV42=""),"",((MACROMICROELEMENTOS!$J42-MACROMICROELEMENTOS!$BU42)*MACROMICROELEMENTOS!$BV42*MACROMICROELEMENTOS!$D42*(1/MACROMICROELEMENTOS!$C42)*MACROMICROELEMENTOS!$E42/1000))</f>
        <v/>
      </c>
      <c r="BX42" s="16" t="str">
        <f>IF(AND(MACROMICROELEMENTOS!$AK42="",MACROMICROELEMENTOS!$AL42="",MACROMICROELEMENTOS!$AM42="",MACROMICROELEMENTOS!$AN42=""),"",AVERAGE(MACROMICROELEMENTOS!$AK42,MACROMICROELEMENTOS!$AL42,MACROMICROELEMENTOS!$AM42,MACROMICROELEMENTOS!$AN42))</f>
        <v/>
      </c>
      <c r="BY42" s="18">
        <v>1</v>
      </c>
      <c r="BZ42" s="53" t="str">
        <f>IF(OR(MACROMICROELEMENTOS!$A42="",MACROMICROELEMENTOS!$B42="",MACROMICROELEMENTOS!$C42="",MACROMICROELEMENTOS!$D42="",MACROMICROELEMENTOS!$E42="",MACROMICROELEMENTOS!$K42="",MACROMICROELEMENTOS!$BX42="",MACROMICROELEMENTOS!$BY42=""),"",((MACROMICROELEMENTOS!$K42-MACROMICROELEMENTOS!$BX42)*MACROMICROELEMENTOS!$BY42*MACROMICROELEMENTOS!$D42*(1/MACROMICROELEMENTOS!$C42)*MACROMICROELEMENTOS!$E42/1000))</f>
        <v/>
      </c>
      <c r="CA42" s="16" t="str">
        <f>IF(AND(MACROMICROELEMENTOS!$AO42="",MACROMICROELEMENTOS!$AP42="",MACROMICROELEMENTOS!$AQ42="",MACROMICROELEMENTOS!$AR42=""),"",AVERAGE(MACROMICROELEMENTOS!$AO42,MACROMICROELEMENTOS!$AP42,MACROMICROELEMENTOS!$AQ42,MACROMICROELEMENTOS!$AR42))</f>
        <v/>
      </c>
      <c r="CB42" s="18">
        <v>1</v>
      </c>
      <c r="CC42" s="53" t="str">
        <f>IF(OR(MACROMICROELEMENTOS!$A42="",MACROMICROELEMENTOS!$B42="",MACROMICROELEMENTOS!$C42="",MACROMICROELEMENTOS!$D42="",MACROMICROELEMENTOS!$E42="",MACROMICROELEMENTOS!$L42="",MACROMICROELEMENTOS!$CA42="",MACROMICROELEMENTOS!$CB42=""),"",((MACROMICROELEMENTOS!$L42-MACROMICROELEMENTOS!$CA42)*MACROMICROELEMENTOS!$CB42*MACROMICROELEMENTOS!$D42*(1/MACROMICROELEMENTOS!$C42)*MACROMICROELEMENTOS!$E42))</f>
        <v/>
      </c>
      <c r="CD42" s="16" t="str">
        <f>IF(AND(MACROMICROELEMENTOS!$AS42="",MACROMICROELEMENTOS!$AT42="",MACROMICROELEMENTOS!$AU42="",MACROMICROELEMENTOS!$AV42=""),"",AVERAGE(MACROMICROELEMENTOS!$AS42,MACROMICROELEMENTOS!$AT42,MACROMICROELEMENTOS!$AU42,MACROMICROELEMENTOS!$AV42))</f>
        <v/>
      </c>
      <c r="CE42" s="18">
        <v>1</v>
      </c>
      <c r="CF42" s="53" t="str">
        <f>IF(OR(MACROMICROELEMENTOS!$A42="",MACROMICROELEMENTOS!$B42="",MACROMICROELEMENTOS!$C42="",MACROMICROELEMENTOS!$D42="",MACROMICROELEMENTOS!$E42="",MACROMICROELEMENTOS!$M42="",MACROMICROELEMENTOS!$CD42="",MACROMICROELEMENTOS!$CE42=""),"",((MACROMICROELEMENTOS!$M42-MACROMICROELEMENTOS!$CD42)*MACROMICROELEMENTOS!$CE42*MACROMICROELEMENTOS!$D42*(1/MACROMICROELEMENTOS!$C42)*MACROMICROELEMENTOS!$E42))</f>
        <v/>
      </c>
      <c r="CG42" s="16" t="str">
        <f>IF(AND(MACROMICROELEMENTOS!$AW42="",MACROMICROELEMENTOS!$AX42="",MACROMICROELEMENTOS!$AY42="",MACROMICROELEMENTOS!$AZ42=""),"",AVERAGE(MACROMICROELEMENTOS!$AW42,MACROMICROELEMENTOS!$AX42,MACROMICROELEMENTOS!$AY42,MACROMICROELEMENTOS!$AZ42))</f>
        <v/>
      </c>
      <c r="CH42" s="18">
        <v>1</v>
      </c>
      <c r="CI42" s="53" t="str">
        <f>IF(OR(MACROMICROELEMENTOS!$A42="",MACROMICROELEMENTOS!$B42="",MACROMICROELEMENTOS!$C42="",MACROMICROELEMENTOS!$D42="",MACROMICROELEMENTOS!$E42="",MACROMICROELEMENTOS!$N42="",MACROMICROELEMENTOS!$CG42="",MACROMICROELEMENTOS!$CH42=""),"",((MACROMICROELEMENTOS!$N42-MACROMICROELEMENTOS!$CG42)*MACROMICROELEMENTOS!$CH42*MACROMICROELEMENTOS!$D42*(1/MACROMICROELEMENTOS!$C42)*MACROMICROELEMENTOS!$E42))</f>
        <v/>
      </c>
      <c r="CJ42" s="16" t="str">
        <f>IF(AND(MACROMICROELEMENTOS!$BA42="",MACROMICROELEMENTOS!$BB42="",MACROMICROELEMENTOS!$BC42="",MACROMICROELEMENTOS!$BD42=""),"",IF(O42&gt;5,0,AVERAGE(MACROMICROELEMENTOS!$BA42,MACROMICROELEMENTOS!$BB42,MACROMICROELEMENTOS!$BC42,MACROMICROELEMENTOS!$BD42)))</f>
        <v/>
      </c>
      <c r="CK42" s="18">
        <v>1</v>
      </c>
      <c r="CL42" s="53" t="str">
        <f>IF(OR(MACROMICROELEMENTOS!$A42="",MACROMICROELEMENTOS!$B42="",MACROMICROELEMENTOS!$C42="",MACROMICROELEMENTOS!$D42="",MACROMICROELEMENTOS!$E42="",MACROMICROELEMENTOS!$O42="",MACROMICROELEMENTOS!$CJ42="",MACROMICROELEMENTOS!$CK42=""),"",((MACROMICROELEMENTOS!$O42-MACROMICROELEMENTOS!$CJ42)*MACROMICROELEMENTOS!$CK42*MACROMICROELEMENTOS!$D42*(1/MACROMICROELEMENTOS!$C42)*MACROMICROELEMENTOS!$E42))</f>
        <v/>
      </c>
      <c r="CM42" s="16" t="str">
        <f>IF(AND(MACROMICROELEMENTOS!$BE42="",MACROMICROELEMENTOS!$BF42="",MACROMICROELEMENTOS!$BG42="",MACROMICROELEMENTOS!$BH42=""),"",AVERAGE(MACROMICROELEMENTOS!$BE42,MACROMICROELEMENTOS!$BF42,MACROMICROELEMENTOS!$BG42,MACROMICROELEMENTOS!$BH42))</f>
        <v/>
      </c>
      <c r="CN42" s="18">
        <v>1</v>
      </c>
      <c r="CO42" s="53" t="str">
        <f>IF(OR(MACROMICROELEMENTOS!$A42="",MACROMICROELEMENTOS!$B42="",MACROMICROELEMENTOS!$C42="",MACROMICROELEMENTOS!$D42="",MACROMICROELEMENTOS!$E42="",MACROMICROELEMENTOS!$P42="",MACROMICROELEMENTOS!$CM42="",MACROMICROELEMENTOS!$CN42=""),"",((MACROMICROELEMENTOS!$P42-MACROMICROELEMENTOS!$CM42)*MACROMICROELEMENTOS!$CN42*MACROMICROELEMENTOS!$D42*(1/MACROMICROELEMENTOS!$C42)*MACROMICROELEMENTOS!$E42))</f>
        <v/>
      </c>
    </row>
    <row r="43" spans="1:93" x14ac:dyDescent="0.25">
      <c r="A43" s="50"/>
      <c r="B43" s="51"/>
      <c r="C43" s="50"/>
      <c r="D43" s="18">
        <v>50</v>
      </c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6" t="str">
        <f>IF(AND(MACROMICROELEMENTOS!$U43="",MACROMICROELEMENTOS!$V43="",MACROMICROELEMENTOS!$W43="",MACROMICROELEMENTOS!$X43=""),"",AVERAGE(MACROMICROELEMENTOS!$U43,MACROMICROELEMENTOS!$V43,MACROMICROELEMENTOS!$W43,MACROMICROELEMENTOS!$X43))</f>
        <v/>
      </c>
      <c r="BJ43" s="18">
        <v>1</v>
      </c>
      <c r="BK43" s="53" t="str">
        <f>IF(OR(MACROMICROELEMENTOS!$A43="",MACROMICROELEMENTOS!$B43="",MACROMICROELEMENTOS!$C43="",MACROMICROELEMENTOS!$D43="",MACROMICROELEMENTOS!$E43="",MACROMICROELEMENTOS!$F43="",MACROMICROELEMENTOS!$BI43="",MACROMICROELEMENTOS!$BJ43=""),"",((MACROMICROELEMENTOS!$F43-MACROMICROELEMENTOS!$BI43)*MACROMICROELEMENTOS!$BJ43*MACROMICROELEMENTOS!$D43*(1/MACROMICROELEMENTOS!$C43)*MACROMICROELEMENTOS!$E43/1000))</f>
        <v/>
      </c>
      <c r="BL43" s="16" t="str">
        <f>IF(AND(MACROMICROELEMENTOS!$Y43="",MACROMICROELEMENTOS!$Z43="",MACROMICROELEMENTOS!$AA43="",MACROMICROELEMENTOS!$AB43=""),"",AVERAGE(MACROMICROELEMENTOS!$Y43,MACROMICROELEMENTOS!$Z43,MACROMICROELEMENTOS!$AA43,MACROMICROELEMENTOS!$AB43))</f>
        <v/>
      </c>
      <c r="BM43" s="18">
        <v>1</v>
      </c>
      <c r="BN43" s="53" t="str">
        <f>IF(OR(MACROMICROELEMENTOS!$A43="",MACROMICROELEMENTOS!$B43="",MACROMICROELEMENTOS!$C43="",MACROMICROELEMENTOS!$D43="",MACROMICROELEMENTOS!$E43="",MACROMICROELEMENTOS!$G43="",MACROMICROELEMENTOS!$BL43="",MACROMICROELEMENTOS!$BM43=""),"",((MACROMICROELEMENTOS!$G43-MACROMICROELEMENTOS!$BL43)*MACROMICROELEMENTOS!$BM43*MACROMICROELEMENTOS!$D43*(1/MACROMICROELEMENTOS!$C43)*MACROMICROELEMENTOS!$E43/1000))</f>
        <v/>
      </c>
      <c r="BO43" s="16" t="str">
        <f>IF(AND(MACROMICROELEMENTOS!$AC43="",MACROMICROELEMENTOS!$AD43="",MACROMICROELEMENTOS!$AE43="",MACROMICROELEMENTOS!$AF43=""),"",AVERAGE(MACROMICROELEMENTOS!$AC43,MACROMICROELEMENTOS!$AD43,MACROMICROELEMENTOS!$AE43,MACROMICROELEMENTOS!$AF43))</f>
        <v/>
      </c>
      <c r="BP43" s="18">
        <v>1</v>
      </c>
      <c r="BQ43" s="53" t="str">
        <f>IF(OR(MACROMICROELEMENTOS!$A43="",MACROMICROELEMENTOS!$B43="",MACROMICROELEMENTOS!$C43="",MACROMICROELEMENTOS!$D43="",MACROMICROELEMENTOS!$E43="",MACROMICROELEMENTOS!$H43="",MACROMICROELEMENTOS!$BO43="",MACROMICROELEMENTOS!$BP43=""),"",((MACROMICROELEMENTOS!$H43-MACROMICROELEMENTOS!$BO43)*MACROMICROELEMENTOS!$BP43*MACROMICROELEMENTOS!$D43*(1/MACROMICROELEMENTOS!$C43)*MACROMICROELEMENTOS!$E43/1000))</f>
        <v/>
      </c>
      <c r="BR43" s="16" t="str">
        <f>IF(AND(MACROMICROELEMENTOS!$Q43="",MACROMICROELEMENTOS!$R43="",MACROMICROELEMENTOS!$S43="",MACROMICROELEMENTOS!$T43=""),"",AVERAGE(MACROMICROELEMENTOS!$Q43,MACROMICROELEMENTOS!$R43,MACROMICROELEMENTOS!$S43,MACROMICROELEMENTOS!$T43))</f>
        <v/>
      </c>
      <c r="BS43" s="18">
        <v>1</v>
      </c>
      <c r="BT43" s="53" t="str">
        <f>IF(OR(MACROMICROELEMENTOS!$A43="",MACROMICROELEMENTOS!$B43="",MACROMICROELEMENTOS!$C43="",MACROMICROELEMENTOS!$D43="",MACROMICROELEMENTOS!$E43="",MACROMICROELEMENTOS!$I43="",MACROMICROELEMENTOS!$BR43="",MACROMICROELEMENTOS!$BS43=""),"",((MACROMICROELEMENTOS!$I43-MACROMICROELEMENTOS!$BR43)*MACROMICROELEMENTOS!$BS43*MACROMICROELEMENTOS!$D43*(1/MACROMICROELEMENTOS!$C43)*MACROMICROELEMENTOS!$E43))</f>
        <v/>
      </c>
      <c r="BU43" s="16" t="str">
        <f>IF(AND(MACROMICROELEMENTOS!$AG43="",MACROMICROELEMENTOS!$AH43="",MACROMICROELEMENTOS!$AI43="",MACROMICROELEMENTOS!$AJ43=""),"",AVERAGE(MACROMICROELEMENTOS!$AG43,MACROMICROELEMENTOS!$AH43,MACROMICROELEMENTOS!$AI43,MACROMICROELEMENTOS!$AJ43))</f>
        <v/>
      </c>
      <c r="BV43" s="18">
        <v>1</v>
      </c>
      <c r="BW43" s="53" t="str">
        <f>IF(OR(MACROMICROELEMENTOS!$A43="",MACROMICROELEMENTOS!$B43="",MACROMICROELEMENTOS!$C43="",MACROMICROELEMENTOS!$D43="",MACROMICROELEMENTOS!$E43="",MACROMICROELEMENTOS!$J43="",MACROMICROELEMENTOS!$BU43="",MACROMICROELEMENTOS!$BV43=""),"",((MACROMICROELEMENTOS!$J43-MACROMICROELEMENTOS!$BU43)*MACROMICROELEMENTOS!$BV43*MACROMICROELEMENTOS!$D43*(1/MACROMICROELEMENTOS!$C43)*MACROMICROELEMENTOS!$E43/1000))</f>
        <v/>
      </c>
      <c r="BX43" s="16" t="str">
        <f>IF(AND(MACROMICROELEMENTOS!$AK43="",MACROMICROELEMENTOS!$AL43="",MACROMICROELEMENTOS!$AM43="",MACROMICROELEMENTOS!$AN43=""),"",AVERAGE(MACROMICROELEMENTOS!$AK43,MACROMICROELEMENTOS!$AL43,MACROMICROELEMENTOS!$AM43,MACROMICROELEMENTOS!$AN43))</f>
        <v/>
      </c>
      <c r="BY43" s="18">
        <v>1</v>
      </c>
      <c r="BZ43" s="53" t="str">
        <f>IF(OR(MACROMICROELEMENTOS!$A43="",MACROMICROELEMENTOS!$B43="",MACROMICROELEMENTOS!$C43="",MACROMICROELEMENTOS!$D43="",MACROMICROELEMENTOS!$E43="",MACROMICROELEMENTOS!$K43="",MACROMICROELEMENTOS!$BX43="",MACROMICROELEMENTOS!$BY43=""),"",((MACROMICROELEMENTOS!$K43-MACROMICROELEMENTOS!$BX43)*MACROMICROELEMENTOS!$BY43*MACROMICROELEMENTOS!$D43*(1/MACROMICROELEMENTOS!$C43)*MACROMICROELEMENTOS!$E43/1000))</f>
        <v/>
      </c>
      <c r="CA43" s="16" t="str">
        <f>IF(AND(MACROMICROELEMENTOS!$AO43="",MACROMICROELEMENTOS!$AP43="",MACROMICROELEMENTOS!$AQ43="",MACROMICROELEMENTOS!$AR43=""),"",AVERAGE(MACROMICROELEMENTOS!$AO43,MACROMICROELEMENTOS!$AP43,MACROMICROELEMENTOS!$AQ43,MACROMICROELEMENTOS!$AR43))</f>
        <v/>
      </c>
      <c r="CB43" s="18">
        <v>1</v>
      </c>
      <c r="CC43" s="53" t="str">
        <f>IF(OR(MACROMICROELEMENTOS!$A43="",MACROMICROELEMENTOS!$B43="",MACROMICROELEMENTOS!$C43="",MACROMICROELEMENTOS!$D43="",MACROMICROELEMENTOS!$E43="",MACROMICROELEMENTOS!$L43="",MACROMICROELEMENTOS!$CA43="",MACROMICROELEMENTOS!$CB43=""),"",((MACROMICROELEMENTOS!$L43-MACROMICROELEMENTOS!$CA43)*MACROMICROELEMENTOS!$CB43*MACROMICROELEMENTOS!$D43*(1/MACROMICROELEMENTOS!$C43)*MACROMICROELEMENTOS!$E43))</f>
        <v/>
      </c>
      <c r="CD43" s="16" t="str">
        <f>IF(AND(MACROMICROELEMENTOS!$AS43="",MACROMICROELEMENTOS!$AT43="",MACROMICROELEMENTOS!$AU43="",MACROMICROELEMENTOS!$AV43=""),"",AVERAGE(MACROMICROELEMENTOS!$AS43,MACROMICROELEMENTOS!$AT43,MACROMICROELEMENTOS!$AU43,MACROMICROELEMENTOS!$AV43))</f>
        <v/>
      </c>
      <c r="CE43" s="18">
        <v>1</v>
      </c>
      <c r="CF43" s="53" t="str">
        <f>IF(OR(MACROMICROELEMENTOS!$A43="",MACROMICROELEMENTOS!$B43="",MACROMICROELEMENTOS!$C43="",MACROMICROELEMENTOS!$D43="",MACROMICROELEMENTOS!$E43="",MACROMICROELEMENTOS!$M43="",MACROMICROELEMENTOS!$CD43="",MACROMICROELEMENTOS!$CE43=""),"",((MACROMICROELEMENTOS!$M43-MACROMICROELEMENTOS!$CD43)*MACROMICROELEMENTOS!$CE43*MACROMICROELEMENTOS!$D43*(1/MACROMICROELEMENTOS!$C43)*MACROMICROELEMENTOS!$E43))</f>
        <v/>
      </c>
      <c r="CG43" s="16" t="str">
        <f>IF(AND(MACROMICROELEMENTOS!$AW43="",MACROMICROELEMENTOS!$AX43="",MACROMICROELEMENTOS!$AY43="",MACROMICROELEMENTOS!$AZ43=""),"",AVERAGE(MACROMICROELEMENTOS!$AW43,MACROMICROELEMENTOS!$AX43,MACROMICROELEMENTOS!$AY43,MACROMICROELEMENTOS!$AZ43))</f>
        <v/>
      </c>
      <c r="CH43" s="18">
        <v>1</v>
      </c>
      <c r="CI43" s="53" t="str">
        <f>IF(OR(MACROMICROELEMENTOS!$A43="",MACROMICROELEMENTOS!$B43="",MACROMICROELEMENTOS!$C43="",MACROMICROELEMENTOS!$D43="",MACROMICROELEMENTOS!$E43="",MACROMICROELEMENTOS!$N43="",MACROMICROELEMENTOS!$CG43="",MACROMICROELEMENTOS!$CH43=""),"",((MACROMICROELEMENTOS!$N43-MACROMICROELEMENTOS!$CG43)*MACROMICROELEMENTOS!$CH43*MACROMICROELEMENTOS!$D43*(1/MACROMICROELEMENTOS!$C43)*MACROMICROELEMENTOS!$E43))</f>
        <v/>
      </c>
      <c r="CJ43" s="16" t="str">
        <f>IF(AND(MACROMICROELEMENTOS!$BA43="",MACROMICROELEMENTOS!$BB43="",MACROMICROELEMENTOS!$BC43="",MACROMICROELEMENTOS!$BD43=""),"",IF(O43&gt;5,0,AVERAGE(MACROMICROELEMENTOS!$BA43,MACROMICROELEMENTOS!$BB43,MACROMICROELEMENTOS!$BC43,MACROMICROELEMENTOS!$BD43)))</f>
        <v/>
      </c>
      <c r="CK43" s="18">
        <v>1</v>
      </c>
      <c r="CL43" s="53" t="str">
        <f>IF(OR(MACROMICROELEMENTOS!$A43="",MACROMICROELEMENTOS!$B43="",MACROMICROELEMENTOS!$C43="",MACROMICROELEMENTOS!$D43="",MACROMICROELEMENTOS!$E43="",MACROMICROELEMENTOS!$O43="",MACROMICROELEMENTOS!$CJ43="",MACROMICROELEMENTOS!$CK43=""),"",((MACROMICROELEMENTOS!$O43-MACROMICROELEMENTOS!$CJ43)*MACROMICROELEMENTOS!$CK43*MACROMICROELEMENTOS!$D43*(1/MACROMICROELEMENTOS!$C43)*MACROMICROELEMENTOS!$E43))</f>
        <v/>
      </c>
      <c r="CM43" s="16" t="str">
        <f>IF(AND(MACROMICROELEMENTOS!$BE43="",MACROMICROELEMENTOS!$BF43="",MACROMICROELEMENTOS!$BG43="",MACROMICROELEMENTOS!$BH43=""),"",AVERAGE(MACROMICROELEMENTOS!$BE43,MACROMICROELEMENTOS!$BF43,MACROMICROELEMENTOS!$BG43,MACROMICROELEMENTOS!$BH43))</f>
        <v/>
      </c>
      <c r="CN43" s="18">
        <v>1</v>
      </c>
      <c r="CO43" s="53" t="str">
        <f>IF(OR(MACROMICROELEMENTOS!$A43="",MACROMICROELEMENTOS!$B43="",MACROMICROELEMENTOS!$C43="",MACROMICROELEMENTOS!$D43="",MACROMICROELEMENTOS!$E43="",MACROMICROELEMENTOS!$P43="",MACROMICROELEMENTOS!$CM43="",MACROMICROELEMENTOS!$CN43=""),"",((MACROMICROELEMENTOS!$P43-MACROMICROELEMENTOS!$CM43)*MACROMICROELEMENTOS!$CN43*MACROMICROELEMENTOS!$D43*(1/MACROMICROELEMENTOS!$C43)*MACROMICROELEMENTOS!$E43))</f>
        <v/>
      </c>
    </row>
  </sheetData>
  <sheetProtection password="D1D1" sheet="1" objects="1" scenarios="1" formatCells="0" formatColumns="0" formatRows="0"/>
  <pageMargins left="0.70866141732283472" right="0.70866141732283472" top="0.74803149606299213" bottom="0.74803149606299213" header="0.31496062992125984" footer="0.31496062992125984"/>
  <pageSetup paperSize="9" scale="66" orientation="landscape" horizontalDpi="300" verticalDpi="300" r:id="rId1"/>
  <headerFooter>
    <oddHeader>&amp;LLAFIGA&amp;CAGUA REGIA
MACRO Y MICROELEMENTOS&amp;RPágina &amp;P de &amp;N
&amp;D</oddHeader>
  </headerFooter>
  <colBreaks count="4" manualBreakCount="4">
    <brk id="16" max="42" man="1"/>
    <brk id="36" max="42" man="1"/>
    <brk id="60" max="42" man="1"/>
    <brk id="75" max="42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I6"/>
  <sheetViews>
    <sheetView workbookViewId="0">
      <selection activeCell="I7" sqref="I7"/>
    </sheetView>
  </sheetViews>
  <sheetFormatPr baseColWidth="10" defaultRowHeight="15" x14ac:dyDescent="0.25"/>
  <sheetData>
    <row r="1" spans="1:9" x14ac:dyDescent="0.25">
      <c r="A1" s="62" t="s">
        <v>33</v>
      </c>
      <c r="B1" s="62"/>
      <c r="E1" s="34" t="s">
        <v>104</v>
      </c>
      <c r="F1" s="34"/>
      <c r="I1" s="54" t="s">
        <v>132</v>
      </c>
    </row>
    <row r="2" spans="1:9" x14ac:dyDescent="0.25">
      <c r="A2" s="17" t="s">
        <v>34</v>
      </c>
      <c r="B2" s="20">
        <v>3</v>
      </c>
      <c r="E2" s="34" t="s">
        <v>105</v>
      </c>
      <c r="F2" s="34">
        <v>0</v>
      </c>
      <c r="I2" s="34" t="s">
        <v>133</v>
      </c>
    </row>
    <row r="3" spans="1:9" x14ac:dyDescent="0.25">
      <c r="A3" s="17" t="s">
        <v>35</v>
      </c>
      <c r="B3" s="20">
        <v>9600</v>
      </c>
      <c r="E3" s="34" t="s">
        <v>106</v>
      </c>
      <c r="F3" s="34">
        <v>0</v>
      </c>
      <c r="I3" s="34" t="s">
        <v>134</v>
      </c>
    </row>
    <row r="4" spans="1:9" x14ac:dyDescent="0.25">
      <c r="A4" s="17" t="s">
        <v>36</v>
      </c>
      <c r="B4" s="20" t="s">
        <v>37</v>
      </c>
    </row>
    <row r="5" spans="1:9" x14ac:dyDescent="0.25">
      <c r="A5" s="17" t="s">
        <v>38</v>
      </c>
      <c r="B5" s="20">
        <v>8</v>
      </c>
    </row>
    <row r="6" spans="1:9" x14ac:dyDescent="0.25">
      <c r="A6" s="17" t="s">
        <v>39</v>
      </c>
      <c r="B6" s="20">
        <v>1</v>
      </c>
    </row>
  </sheetData>
  <sheetProtection formatCells="0" formatColumns="0" formatRows="0"/>
  <mergeCells count="1">
    <mergeCell ref="A1:B1"/>
  </mergeCells>
  <dataValidations count="3">
    <dataValidation type="list" allowBlank="1" showInputMessage="1" showErrorMessage="1" sqref="B4" xr:uid="{00000000-0002-0000-0300-000000000000}">
      <formula1>"N,O,E"</formula1>
    </dataValidation>
    <dataValidation type="list" allowBlank="1" showInputMessage="1" showErrorMessage="1" sqref="B2" xr:uid="{00000000-0002-0000-0300-000001000000}">
      <formula1>"1,2,3,4,5"</formula1>
    </dataValidation>
    <dataValidation type="list" allowBlank="1" showInputMessage="1" showErrorMessage="1" sqref="B3" xr:uid="{00000000-0002-0000-0300-000002000000}">
      <formula1>"1200,2400,4800,9600,19200,38400"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R172"/>
  <sheetViews>
    <sheetView zoomScaleNormal="100" workbookViewId="0">
      <selection activeCell="A2" sqref="A2"/>
    </sheetView>
  </sheetViews>
  <sheetFormatPr baseColWidth="10" defaultRowHeight="15" x14ac:dyDescent="0.25"/>
  <cols>
    <col min="1" max="1" width="11.7109375" bestFit="1" customWidth="1"/>
    <col min="2" max="2" width="9.28515625" bestFit="1" customWidth="1"/>
    <col min="4" max="4" width="15.5703125" hidden="1" customWidth="1"/>
    <col min="5" max="6" width="11.5703125" hidden="1" customWidth="1"/>
    <col min="7" max="7" width="19.7109375" customWidth="1"/>
    <col min="9" max="9" width="18.7109375" customWidth="1"/>
    <col min="10" max="10" width="11.5703125" customWidth="1"/>
    <col min="11" max="13" width="11.5703125" hidden="1" customWidth="1"/>
    <col min="14" max="14" width="16.140625" customWidth="1"/>
    <col min="16" max="16" width="16.85546875" customWidth="1"/>
    <col min="17" max="17" width="12.42578125" bestFit="1" customWidth="1"/>
  </cols>
  <sheetData>
    <row r="1" spans="1:18" ht="45" x14ac:dyDescent="0.25">
      <c r="A1" s="35" t="s">
        <v>0</v>
      </c>
      <c r="B1" s="36" t="s">
        <v>107</v>
      </c>
      <c r="C1" s="36" t="s">
        <v>108</v>
      </c>
      <c r="D1" s="36" t="s">
        <v>109</v>
      </c>
      <c r="E1" s="36" t="s">
        <v>110</v>
      </c>
      <c r="F1" s="36" t="s">
        <v>111</v>
      </c>
      <c r="G1" s="36" t="s">
        <v>135</v>
      </c>
      <c r="H1" s="36" t="s">
        <v>112</v>
      </c>
      <c r="I1" s="36" t="s">
        <v>113</v>
      </c>
      <c r="J1" s="36" t="s">
        <v>114</v>
      </c>
      <c r="K1" s="36" t="s">
        <v>115</v>
      </c>
      <c r="L1" s="36" t="s">
        <v>116</v>
      </c>
      <c r="M1" s="36" t="s">
        <v>117</v>
      </c>
      <c r="N1" s="36" t="s">
        <v>136</v>
      </c>
      <c r="O1" s="36" t="s">
        <v>118</v>
      </c>
      <c r="P1" s="36" t="s">
        <v>119</v>
      </c>
      <c r="Q1" s="37" t="s">
        <v>120</v>
      </c>
      <c r="R1" s="38" t="s">
        <v>121</v>
      </c>
    </row>
    <row r="2" spans="1:18" x14ac:dyDescent="0.25">
      <c r="A2" s="57" t="str">
        <f>IF(LECON!A2="","",LECON!A2)</f>
        <v/>
      </c>
      <c r="B2" s="57" t="str">
        <f>IF(LECON!B2="","",LECON!B2)</f>
        <v/>
      </c>
      <c r="C2" s="57" t="str">
        <f>IF(LECON!C2="","",LECON!C2)</f>
        <v/>
      </c>
      <c r="D2" s="44">
        <v>44162.440335648149</v>
      </c>
      <c r="E2" s="57"/>
      <c r="F2" s="57"/>
      <c r="G2" s="48" t="str">
        <f>IF(LECON!G2="","",LECON!G2)</f>
        <v/>
      </c>
      <c r="H2" s="44" t="str">
        <f>IF(LECON!H2="","",LECON!H2)</f>
        <v/>
      </c>
      <c r="I2" s="48" t="str">
        <f>IF(LECON!I2="","",LECON!I2)</f>
        <v/>
      </c>
      <c r="J2" s="48" t="str">
        <f>IF(LECON!J2="","",LECON!J2)</f>
        <v/>
      </c>
      <c r="K2" s="48" t="str">
        <f>IF(LECON!K2="","",LECON!K2)</f>
        <v/>
      </c>
      <c r="L2" s="48" t="str">
        <f>IF(LECON!L2="","",LECON!L2)</f>
        <v/>
      </c>
      <c r="M2" s="48" t="str">
        <f>IF(LECON!M2="","",LECON!M2)</f>
        <v/>
      </c>
      <c r="N2" s="46" t="str">
        <f>IF(LECON!N2="","",LECON!N2)</f>
        <v/>
      </c>
      <c r="O2" s="44" t="str">
        <f>IF(LECON!O2="","",LECON!O2)</f>
        <v/>
      </c>
      <c r="P2" s="44" t="str">
        <f>IF(LECON!P2="","",LECON!P2)</f>
        <v/>
      </c>
      <c r="Q2" s="46" t="str">
        <f>IF(LECON!Q2="","",LECON!Q2)</f>
        <v/>
      </c>
      <c r="R2" s="44" t="str">
        <f>IF(LECON!R2="","",LECON!R2)</f>
        <v/>
      </c>
    </row>
    <row r="3" spans="1:18" x14ac:dyDescent="0.25">
      <c r="A3" s="57" t="str">
        <f>IF(LECON!A3="","",LECON!A3)</f>
        <v/>
      </c>
      <c r="B3" s="57" t="str">
        <f>IF(LECON!B3="","",LECON!B3)</f>
        <v/>
      </c>
      <c r="C3" s="57" t="str">
        <f>IF(LECON!C3="","",LECON!C3)</f>
        <v/>
      </c>
      <c r="D3" s="45">
        <v>44162.446689814817</v>
      </c>
      <c r="E3" s="58"/>
      <c r="F3" s="58"/>
      <c r="G3" s="48" t="str">
        <f>IF(LECON!G3="","",LECON!G3)</f>
        <v/>
      </c>
      <c r="H3" s="44" t="str">
        <f>IF(LECON!H3="","",LECON!H3)</f>
        <v/>
      </c>
      <c r="I3" s="48" t="str">
        <f>IF(LECON!I3="","",LECON!I3)</f>
        <v/>
      </c>
      <c r="J3" s="48" t="str">
        <f>IF(LECON!J3="","",LECON!J3)</f>
        <v/>
      </c>
      <c r="K3" s="45">
        <v>44162.446689814817</v>
      </c>
      <c r="L3" s="58"/>
      <c r="M3" s="58"/>
      <c r="N3" s="46" t="str">
        <f>IF(LECON!N3="","",LECON!N3)</f>
        <v/>
      </c>
      <c r="O3" s="44" t="str">
        <f>IF(LECON!O3="","",LECON!O3)</f>
        <v/>
      </c>
      <c r="P3" s="44" t="str">
        <f>IF(LECON!P3="","",LECON!P3)</f>
        <v/>
      </c>
      <c r="Q3" s="46" t="str">
        <f>IF(LECON!Q3="","",LECON!Q3)</f>
        <v/>
      </c>
      <c r="R3" s="44" t="str">
        <f>IF(LECON!R3="","",LECON!R3)</f>
        <v/>
      </c>
    </row>
    <row r="4" spans="1:18" x14ac:dyDescent="0.25">
      <c r="A4" s="57" t="str">
        <f>IF(LECON!A4="","",LECON!A4)</f>
        <v/>
      </c>
      <c r="B4" s="57" t="str">
        <f>IF(LECON!B4="","",LECON!B4)</f>
        <v/>
      </c>
      <c r="C4" s="57" t="str">
        <f>IF(LECON!C4="","",LECON!C4)</f>
        <v/>
      </c>
      <c r="D4" s="44">
        <v>44162.450671296298</v>
      </c>
      <c r="E4" s="57"/>
      <c r="F4" s="57"/>
      <c r="G4" s="48" t="str">
        <f>IF(LECON!G4="","",LECON!G4)</f>
        <v/>
      </c>
      <c r="H4" s="44" t="str">
        <f>IF(LECON!H4="","",LECON!H4)</f>
        <v/>
      </c>
      <c r="I4" s="48" t="str">
        <f>IF(LECON!I4="","",LECON!I4)</f>
        <v/>
      </c>
      <c r="J4" s="48" t="str">
        <f>IF(LECON!J4="","",LECON!J4)</f>
        <v/>
      </c>
      <c r="K4" s="44">
        <v>44162.450671296298</v>
      </c>
      <c r="L4" s="57"/>
      <c r="M4" s="57"/>
      <c r="N4" s="46" t="str">
        <f>IF(LECON!N4="","",LECON!N4)</f>
        <v/>
      </c>
      <c r="O4" s="44" t="str">
        <f>IF(LECON!O4="","",LECON!O4)</f>
        <v/>
      </c>
      <c r="P4" s="44" t="str">
        <f>IF(LECON!P4="","",LECON!P4)</f>
        <v/>
      </c>
      <c r="Q4" s="46" t="str">
        <f>IF(LECON!Q4="","",LECON!Q4)</f>
        <v/>
      </c>
      <c r="R4" s="44" t="str">
        <f>IF(LECON!R4="","",LECON!R4)</f>
        <v/>
      </c>
    </row>
    <row r="5" spans="1:18" x14ac:dyDescent="0.25">
      <c r="A5" s="57" t="str">
        <f>IF(LECON!A5="","",LECON!A5)</f>
        <v/>
      </c>
      <c r="B5" s="57" t="str">
        <f>IF(LECON!B5="","",LECON!B5)</f>
        <v/>
      </c>
      <c r="C5" s="57" t="str">
        <f>IF(LECON!C5="","",LECON!C5)</f>
        <v/>
      </c>
      <c r="D5" s="45">
        <v>44162.454733796294</v>
      </c>
      <c r="E5" s="58"/>
      <c r="F5" s="58"/>
      <c r="G5" s="48" t="str">
        <f>IF(LECON!G5="","",LECON!G5)</f>
        <v/>
      </c>
      <c r="H5" s="44" t="str">
        <f>IF(LECON!H5="","",LECON!H5)</f>
        <v/>
      </c>
      <c r="I5" s="48" t="str">
        <f>IF(LECON!I5="","",LECON!I5)</f>
        <v/>
      </c>
      <c r="J5" s="48" t="str">
        <f>IF(LECON!J5="","",LECON!J5)</f>
        <v/>
      </c>
      <c r="K5" s="45">
        <v>44162.454733796294</v>
      </c>
      <c r="L5" s="58"/>
      <c r="M5" s="58"/>
      <c r="N5" s="46" t="str">
        <f>IF(LECON!N5="","",LECON!N5)</f>
        <v/>
      </c>
      <c r="O5" s="44" t="str">
        <f>IF(LECON!O5="","",LECON!O5)</f>
        <v/>
      </c>
      <c r="P5" s="44" t="str">
        <f>IF(LECON!P5="","",LECON!P5)</f>
        <v/>
      </c>
      <c r="Q5" s="46" t="str">
        <f>IF(LECON!Q5="","",LECON!Q5)</f>
        <v/>
      </c>
      <c r="R5" s="44" t="str">
        <f>IF(LECON!R5="","",LECON!R5)</f>
        <v/>
      </c>
    </row>
    <row r="6" spans="1:18" x14ac:dyDescent="0.25">
      <c r="A6" s="57" t="str">
        <f>IF(LECON!A6="","",LECON!A6)</f>
        <v/>
      </c>
      <c r="B6" s="57" t="str">
        <f>IF(LECON!B6="","",LECON!B6)</f>
        <v/>
      </c>
      <c r="C6" s="57" t="str">
        <f>IF(LECON!C6="","",LECON!C6)</f>
        <v/>
      </c>
      <c r="D6" s="44">
        <v>44162.458796296298</v>
      </c>
      <c r="E6" s="57"/>
      <c r="F6" s="57"/>
      <c r="G6" s="48" t="str">
        <f>IF(LECON!G6="","",LECON!G6)</f>
        <v/>
      </c>
      <c r="H6" s="44" t="str">
        <f>IF(LECON!H6="","",LECON!H6)</f>
        <v/>
      </c>
      <c r="I6" s="48" t="str">
        <f>IF(LECON!I6="","",LECON!I6)</f>
        <v/>
      </c>
      <c r="J6" s="48" t="str">
        <f>IF(LECON!J6="","",LECON!J6)</f>
        <v/>
      </c>
      <c r="K6" s="44">
        <v>44162.458796296298</v>
      </c>
      <c r="L6" s="57"/>
      <c r="M6" s="57"/>
      <c r="N6" s="46" t="str">
        <f>IF(LECON!N6="","",LECON!N6)</f>
        <v/>
      </c>
      <c r="O6" s="44" t="str">
        <f>IF(LECON!O6="","",LECON!O6)</f>
        <v/>
      </c>
      <c r="P6" s="44" t="str">
        <f>IF(LECON!P6="","",LECON!P6)</f>
        <v/>
      </c>
      <c r="Q6" s="46" t="str">
        <f>IF(LECON!Q6="","",LECON!Q6)</f>
        <v/>
      </c>
      <c r="R6" s="44" t="str">
        <f>IF(LECON!R6="","",LECON!R6)</f>
        <v/>
      </c>
    </row>
    <row r="7" spans="1:18" x14ac:dyDescent="0.25">
      <c r="A7" s="57" t="str">
        <f>IF(LECON!A7="","",LECON!A7)</f>
        <v/>
      </c>
      <c r="B7" s="57" t="str">
        <f>IF(LECON!B7="","",LECON!B7)</f>
        <v/>
      </c>
      <c r="C7" s="57" t="str">
        <f>IF(LECON!C7="","",LECON!C7)</f>
        <v/>
      </c>
      <c r="D7" s="45">
        <v>44162.462870370371</v>
      </c>
      <c r="E7" s="58"/>
      <c r="F7" s="58"/>
      <c r="G7" s="48" t="str">
        <f>IF(LECON!G7="","",LECON!G7)</f>
        <v/>
      </c>
      <c r="H7" s="44" t="str">
        <f>IF(LECON!H7="","",LECON!H7)</f>
        <v/>
      </c>
      <c r="I7" s="48" t="str">
        <f>IF(LECON!I7="","",LECON!I7)</f>
        <v/>
      </c>
      <c r="J7" s="48" t="str">
        <f>IF(LECON!J7="","",LECON!J7)</f>
        <v/>
      </c>
      <c r="K7" s="45">
        <v>44162.462870370371</v>
      </c>
      <c r="L7" s="58"/>
      <c r="M7" s="58"/>
      <c r="N7" s="46" t="str">
        <f>IF(LECON!N7="","",LECON!N7)</f>
        <v/>
      </c>
      <c r="O7" s="44" t="str">
        <f>IF(LECON!O7="","",LECON!O7)</f>
        <v/>
      </c>
      <c r="P7" s="44" t="str">
        <f>IF(LECON!P7="","",LECON!P7)</f>
        <v/>
      </c>
      <c r="Q7" s="46" t="str">
        <f>IF(LECON!Q7="","",LECON!Q7)</f>
        <v/>
      </c>
      <c r="R7" s="44" t="str">
        <f>IF(LECON!R7="","",LECON!R7)</f>
        <v/>
      </c>
    </row>
    <row r="8" spans="1:18" x14ac:dyDescent="0.25">
      <c r="A8" s="57" t="str">
        <f>IF(LECON!A8="","",LECON!A8)</f>
        <v/>
      </c>
      <c r="B8" s="57" t="str">
        <f>IF(LECON!B8="","",LECON!B8)</f>
        <v/>
      </c>
      <c r="C8" s="57" t="str">
        <f>IF(LECON!C8="","",LECON!C8)</f>
        <v/>
      </c>
      <c r="D8" s="44">
        <v>44162.466944444444</v>
      </c>
      <c r="E8" s="57"/>
      <c r="F8" s="57"/>
      <c r="G8" s="48" t="str">
        <f>IF(LECON!G8="","",LECON!G8)</f>
        <v/>
      </c>
      <c r="H8" s="44" t="str">
        <f>IF(LECON!H8="","",LECON!H8)</f>
        <v/>
      </c>
      <c r="I8" s="48" t="str">
        <f>IF(LECON!I8="","",LECON!I8)</f>
        <v/>
      </c>
      <c r="J8" s="48" t="str">
        <f>IF(LECON!J8="","",LECON!J8)</f>
        <v/>
      </c>
      <c r="K8" s="44">
        <v>44162.466944444444</v>
      </c>
      <c r="L8" s="57"/>
      <c r="M8" s="57"/>
      <c r="N8" s="46" t="str">
        <f>IF(LECON!N8="","",LECON!N8)</f>
        <v/>
      </c>
      <c r="O8" s="44" t="str">
        <f>IF(LECON!O8="","",LECON!O8)</f>
        <v/>
      </c>
      <c r="P8" s="44" t="str">
        <f>IF(LECON!P8="","",LECON!P8)</f>
        <v/>
      </c>
      <c r="Q8" s="46" t="str">
        <f>IF(LECON!Q8="","",LECON!Q8)</f>
        <v/>
      </c>
      <c r="R8" s="44" t="str">
        <f>IF(LECON!R8="","",LECON!R8)</f>
        <v/>
      </c>
    </row>
    <row r="9" spans="1:18" x14ac:dyDescent="0.25">
      <c r="A9" s="57" t="str">
        <f>IF(LECON!A9="","",LECON!A9)</f>
        <v/>
      </c>
      <c r="B9" s="57" t="str">
        <f>IF(LECON!B9="","",LECON!B9)</f>
        <v/>
      </c>
      <c r="C9" s="57" t="str">
        <f>IF(LECON!C9="","",LECON!C9)</f>
        <v/>
      </c>
      <c r="D9" s="45">
        <v>44162.471018518518</v>
      </c>
      <c r="E9" s="58"/>
      <c r="F9" s="58"/>
      <c r="G9" s="48" t="str">
        <f>IF(LECON!G9="","",LECON!G9)</f>
        <v/>
      </c>
      <c r="H9" s="44" t="str">
        <f>IF(LECON!H9="","",LECON!H9)</f>
        <v/>
      </c>
      <c r="I9" s="48" t="str">
        <f>IF(LECON!I9="","",LECON!I9)</f>
        <v/>
      </c>
      <c r="J9" s="48" t="str">
        <f>IF(LECON!J9="","",LECON!J9)</f>
        <v/>
      </c>
      <c r="K9" s="45">
        <v>44162.471018518518</v>
      </c>
      <c r="L9" s="58"/>
      <c r="M9" s="58"/>
      <c r="N9" s="46" t="str">
        <f>IF(LECON!N9="","",LECON!N9)</f>
        <v/>
      </c>
      <c r="O9" s="44" t="str">
        <f>IF(LECON!O9="","",LECON!O9)</f>
        <v/>
      </c>
      <c r="P9" s="44" t="str">
        <f>IF(LECON!P9="","",LECON!P9)</f>
        <v/>
      </c>
      <c r="Q9" s="46" t="str">
        <f>IF(LECON!Q9="","",LECON!Q9)</f>
        <v/>
      </c>
      <c r="R9" s="44" t="str">
        <f>IF(LECON!R9="","",LECON!R9)</f>
        <v/>
      </c>
    </row>
    <row r="10" spans="1:18" x14ac:dyDescent="0.25">
      <c r="A10" s="57" t="str">
        <f>IF(LECON!A10="","",LECON!A10)</f>
        <v/>
      </c>
      <c r="B10" s="57" t="str">
        <f>IF(LECON!B10="","",LECON!B10)</f>
        <v/>
      </c>
      <c r="C10" s="57" t="str">
        <f>IF(LECON!C10="","",LECON!C10)</f>
        <v/>
      </c>
      <c r="D10" s="44">
        <v>44162.475104166668</v>
      </c>
      <c r="E10" s="57"/>
      <c r="F10" s="57"/>
      <c r="G10" s="48" t="str">
        <f>IF(LECON!G10="","",LECON!G10)</f>
        <v/>
      </c>
      <c r="H10" s="44" t="str">
        <f>IF(LECON!H10="","",LECON!H10)</f>
        <v/>
      </c>
      <c r="I10" s="48" t="str">
        <f>IF(LECON!I10="","",LECON!I10)</f>
        <v/>
      </c>
      <c r="J10" s="48" t="str">
        <f>IF(LECON!J10="","",LECON!J10)</f>
        <v/>
      </c>
      <c r="K10" s="44">
        <v>44162.475104166668</v>
      </c>
      <c r="L10" s="57"/>
      <c r="M10" s="57"/>
      <c r="N10" s="46" t="str">
        <f>IF(LECON!N10="","",LECON!N10)</f>
        <v/>
      </c>
      <c r="O10" s="44" t="str">
        <f>IF(LECON!O10="","",LECON!O10)</f>
        <v/>
      </c>
      <c r="P10" s="44" t="str">
        <f>IF(LECON!P10="","",LECON!P10)</f>
        <v/>
      </c>
      <c r="Q10" s="46" t="str">
        <f>IF(LECON!Q10="","",LECON!Q10)</f>
        <v/>
      </c>
      <c r="R10" s="44" t="str">
        <f>IF(LECON!R10="","",LECON!R10)</f>
        <v/>
      </c>
    </row>
    <row r="11" spans="1:18" x14ac:dyDescent="0.25">
      <c r="A11" s="57" t="str">
        <f>IF(LECON!A11="","",LECON!A11)</f>
        <v/>
      </c>
      <c r="B11" s="57" t="str">
        <f>IF(LECON!B11="","",LECON!B11)</f>
        <v/>
      </c>
      <c r="C11" s="57" t="str">
        <f>IF(LECON!C11="","",LECON!C11)</f>
        <v/>
      </c>
      <c r="D11" s="45">
        <v>44162.479166666664</v>
      </c>
      <c r="E11" s="58"/>
      <c r="F11" s="58"/>
      <c r="G11" s="48" t="str">
        <f>IF(LECON!G11="","",LECON!G11)</f>
        <v/>
      </c>
      <c r="H11" s="44" t="str">
        <f>IF(LECON!H11="","",LECON!H11)</f>
        <v/>
      </c>
      <c r="I11" s="48" t="str">
        <f>IF(LECON!I11="","",LECON!I11)</f>
        <v/>
      </c>
      <c r="J11" s="48" t="str">
        <f>IF(LECON!J11="","",LECON!J11)</f>
        <v/>
      </c>
      <c r="K11" s="45">
        <v>44162.479166666664</v>
      </c>
      <c r="L11" s="58"/>
      <c r="M11" s="58"/>
      <c r="N11" s="46" t="str">
        <f>IF(LECON!N11="","",LECON!N11)</f>
        <v/>
      </c>
      <c r="O11" s="44" t="str">
        <f>IF(LECON!O11="","",LECON!O11)</f>
        <v/>
      </c>
      <c r="P11" s="44" t="str">
        <f>IF(LECON!P11="","",LECON!P11)</f>
        <v/>
      </c>
      <c r="Q11" s="46" t="str">
        <f>IF(LECON!Q11="","",LECON!Q11)</f>
        <v/>
      </c>
      <c r="R11" s="44" t="str">
        <f>IF(LECON!R11="","",LECON!R11)</f>
        <v/>
      </c>
    </row>
    <row r="12" spans="1:18" x14ac:dyDescent="0.25">
      <c r="A12" s="57" t="str">
        <f>IF(LECON!A12="","",LECON!A12)</f>
        <v/>
      </c>
      <c r="B12" s="57" t="str">
        <f>IF(LECON!B12="","",LECON!B12)</f>
        <v/>
      </c>
      <c r="C12" s="57" t="str">
        <f>IF(LECON!C12="","",LECON!C12)</f>
        <v/>
      </c>
      <c r="D12" s="44">
        <v>44162.483240740738</v>
      </c>
      <c r="E12" s="57"/>
      <c r="F12" s="57"/>
      <c r="G12" s="48" t="str">
        <f>IF(LECON!G12="","",LECON!G12)</f>
        <v/>
      </c>
      <c r="H12" s="44" t="str">
        <f>IF(LECON!H12="","",LECON!H12)</f>
        <v/>
      </c>
      <c r="I12" s="48" t="str">
        <f>IF(LECON!I12="","",LECON!I12)</f>
        <v/>
      </c>
      <c r="J12" s="48" t="str">
        <f>IF(LECON!J12="","",LECON!J12)</f>
        <v/>
      </c>
      <c r="K12" s="44">
        <v>44162.483240740738</v>
      </c>
      <c r="L12" s="57"/>
      <c r="M12" s="57"/>
      <c r="N12" s="46" t="str">
        <f>IF(LECON!N12="","",LECON!N12)</f>
        <v/>
      </c>
      <c r="O12" s="44" t="str">
        <f>IF(LECON!O12="","",LECON!O12)</f>
        <v/>
      </c>
      <c r="P12" s="44" t="str">
        <f>IF(LECON!P12="","",LECON!P12)</f>
        <v/>
      </c>
      <c r="Q12" s="46" t="str">
        <f>IF(LECON!Q12="","",LECON!Q12)</f>
        <v/>
      </c>
      <c r="R12" s="44" t="str">
        <f>IF(LECON!R12="","",LECON!R12)</f>
        <v/>
      </c>
    </row>
    <row r="13" spans="1:18" x14ac:dyDescent="0.25">
      <c r="A13" s="57" t="str">
        <f>IF(LECON!A13="","",LECON!A13)</f>
        <v/>
      </c>
      <c r="B13" s="57" t="str">
        <f>IF(LECON!B13="","",LECON!B13)</f>
        <v/>
      </c>
      <c r="C13" s="57" t="str">
        <f>IF(LECON!C13="","",LECON!C13)</f>
        <v/>
      </c>
      <c r="D13" s="45">
        <v>44162.487314814818</v>
      </c>
      <c r="E13" s="58"/>
      <c r="F13" s="58"/>
      <c r="G13" s="48" t="str">
        <f>IF(LECON!G13="","",LECON!G13)</f>
        <v/>
      </c>
      <c r="H13" s="44" t="str">
        <f>IF(LECON!H13="","",LECON!H13)</f>
        <v/>
      </c>
      <c r="I13" s="48" t="str">
        <f>IF(LECON!I13="","",LECON!I13)</f>
        <v/>
      </c>
      <c r="J13" s="48" t="str">
        <f>IF(LECON!J13="","",LECON!J13)</f>
        <v/>
      </c>
      <c r="K13" s="45">
        <v>44162.487314814818</v>
      </c>
      <c r="L13" s="58"/>
      <c r="M13" s="58"/>
      <c r="N13" s="46" t="str">
        <f>IF(LECON!N13="","",LECON!N13)</f>
        <v/>
      </c>
      <c r="O13" s="44" t="str">
        <f>IF(LECON!O13="","",LECON!O13)</f>
        <v/>
      </c>
      <c r="P13" s="44" t="str">
        <f>IF(LECON!P13="","",LECON!P13)</f>
        <v/>
      </c>
      <c r="Q13" s="46" t="str">
        <f>IF(LECON!Q13="","",LECON!Q13)</f>
        <v/>
      </c>
      <c r="R13" s="44" t="str">
        <f>IF(LECON!R13="","",LECON!R13)</f>
        <v/>
      </c>
    </row>
    <row r="14" spans="1:18" x14ac:dyDescent="0.25">
      <c r="A14" s="57" t="str">
        <f>IF(LECON!A14="","",LECON!A14)</f>
        <v/>
      </c>
      <c r="B14" s="57" t="str">
        <f>IF(LECON!B14="","",LECON!B14)</f>
        <v/>
      </c>
      <c r="C14" s="57" t="str">
        <f>IF(LECON!C14="","",LECON!C14)</f>
        <v/>
      </c>
      <c r="D14" s="44">
        <v>44162.517650462964</v>
      </c>
      <c r="E14" s="57"/>
      <c r="F14" s="57"/>
      <c r="G14" s="48" t="str">
        <f>IF(LECON!G14="","",LECON!G14)</f>
        <v/>
      </c>
      <c r="H14" s="44" t="str">
        <f>IF(LECON!H14="","",LECON!H14)</f>
        <v/>
      </c>
      <c r="I14" s="48" t="str">
        <f>IF(LECON!I14="","",LECON!I14)</f>
        <v/>
      </c>
      <c r="J14" s="48" t="str">
        <f>IF(LECON!J14="","",LECON!J14)</f>
        <v/>
      </c>
      <c r="K14" s="44">
        <v>44162.517650462964</v>
      </c>
      <c r="L14" s="57"/>
      <c r="M14" s="57"/>
      <c r="N14" s="46" t="str">
        <f>IF(LECON!N14="","",LECON!N14)</f>
        <v/>
      </c>
      <c r="O14" s="44" t="str">
        <f>IF(LECON!O14="","",LECON!O14)</f>
        <v/>
      </c>
      <c r="P14" s="44" t="str">
        <f>IF(LECON!P14="","",LECON!P14)</f>
        <v/>
      </c>
      <c r="Q14" s="46" t="str">
        <f>IF(LECON!Q14="","",LECON!Q14)</f>
        <v/>
      </c>
      <c r="R14" s="44" t="str">
        <f>IF(LECON!R14="","",LECON!R14)</f>
        <v/>
      </c>
    </row>
    <row r="15" spans="1:18" x14ac:dyDescent="0.25">
      <c r="A15" s="57" t="str">
        <f>IF(LECON!A15="","",LECON!A15)</f>
        <v/>
      </c>
      <c r="B15" s="57" t="str">
        <f>IF(LECON!B15="","",LECON!B15)</f>
        <v/>
      </c>
      <c r="C15" s="57" t="str">
        <f>IF(LECON!C15="","",LECON!C15)</f>
        <v/>
      </c>
      <c r="D15" s="45">
        <v>44162.521597222221</v>
      </c>
      <c r="E15" s="58"/>
      <c r="F15" s="58"/>
      <c r="G15" s="48" t="str">
        <f>IF(LECON!G15="","",LECON!G15)</f>
        <v/>
      </c>
      <c r="H15" s="44" t="str">
        <f>IF(LECON!H15="","",LECON!H15)</f>
        <v/>
      </c>
      <c r="I15" s="48" t="str">
        <f>IF(LECON!I15="","",LECON!I15)</f>
        <v/>
      </c>
      <c r="J15" s="48" t="str">
        <f>IF(LECON!J15="","",LECON!J15)</f>
        <v/>
      </c>
      <c r="K15" s="45">
        <v>44162.521597222221</v>
      </c>
      <c r="L15" s="58"/>
      <c r="M15" s="58"/>
      <c r="N15" s="46" t="str">
        <f>IF(LECON!N15="","",LECON!N15)</f>
        <v/>
      </c>
      <c r="O15" s="44" t="str">
        <f>IF(LECON!O15="","",LECON!O15)</f>
        <v/>
      </c>
      <c r="P15" s="44" t="str">
        <f>IF(LECON!P15="","",LECON!P15)</f>
        <v/>
      </c>
      <c r="Q15" s="46" t="str">
        <f>IF(LECON!Q15="","",LECON!Q15)</f>
        <v/>
      </c>
      <c r="R15" s="44" t="str">
        <f>IF(LECON!R15="","",LECON!R15)</f>
        <v/>
      </c>
    </row>
    <row r="16" spans="1:18" x14ac:dyDescent="0.25">
      <c r="A16" s="57" t="str">
        <f>IF(LECON!A16="","",LECON!A16)</f>
        <v/>
      </c>
      <c r="B16" s="57" t="str">
        <f>IF(LECON!B16="","",LECON!B16)</f>
        <v/>
      </c>
      <c r="C16" s="57" t="str">
        <f>IF(LECON!C16="","",LECON!C16)</f>
        <v/>
      </c>
      <c r="D16" s="44">
        <v>44162.525659722225</v>
      </c>
      <c r="E16" s="57"/>
      <c r="F16" s="57"/>
      <c r="G16" s="48" t="str">
        <f>IF(LECON!G16="","",LECON!G16)</f>
        <v/>
      </c>
      <c r="H16" s="44" t="str">
        <f>IF(LECON!H16="","",LECON!H16)</f>
        <v/>
      </c>
      <c r="I16" s="48" t="str">
        <f>IF(LECON!I16="","",LECON!I16)</f>
        <v/>
      </c>
      <c r="J16" s="48" t="str">
        <f>IF(LECON!J16="","",LECON!J16)</f>
        <v/>
      </c>
      <c r="K16" s="44">
        <v>44162.525659722225</v>
      </c>
      <c r="L16" s="57"/>
      <c r="M16" s="57"/>
      <c r="N16" s="46" t="str">
        <f>IF(LECON!N16="","",LECON!N16)</f>
        <v/>
      </c>
      <c r="O16" s="44" t="str">
        <f>IF(LECON!O16="","",LECON!O16)</f>
        <v/>
      </c>
      <c r="P16" s="44" t="str">
        <f>IF(LECON!P16="","",LECON!P16)</f>
        <v/>
      </c>
      <c r="Q16" s="46" t="str">
        <f>IF(LECON!Q16="","",LECON!Q16)</f>
        <v/>
      </c>
      <c r="R16" s="44" t="str">
        <f>IF(LECON!R16="","",LECON!R16)</f>
        <v/>
      </c>
    </row>
    <row r="17" spans="1:18" x14ac:dyDescent="0.25">
      <c r="A17" s="57" t="str">
        <f>IF(LECON!A17="","",LECON!A17)</f>
        <v/>
      </c>
      <c r="B17" s="57" t="str">
        <f>IF(LECON!B17="","",LECON!B17)</f>
        <v/>
      </c>
      <c r="C17" s="57" t="str">
        <f>IF(LECON!C17="","",LECON!C17)</f>
        <v/>
      </c>
      <c r="D17" s="45">
        <v>44162.529710648145</v>
      </c>
      <c r="E17" s="58"/>
      <c r="F17" s="58"/>
      <c r="G17" s="48" t="str">
        <f>IF(LECON!G17="","",LECON!G17)</f>
        <v/>
      </c>
      <c r="H17" s="44" t="str">
        <f>IF(LECON!H17="","",LECON!H17)</f>
        <v/>
      </c>
      <c r="I17" s="48" t="str">
        <f>IF(LECON!I17="","",LECON!I17)</f>
        <v/>
      </c>
      <c r="J17" s="48" t="str">
        <f>IF(LECON!J17="","",LECON!J17)</f>
        <v/>
      </c>
      <c r="K17" s="45">
        <v>44162.529710648145</v>
      </c>
      <c r="L17" s="58"/>
      <c r="M17" s="58"/>
      <c r="N17" s="46" t="str">
        <f>IF(LECON!N17="","",LECON!N17)</f>
        <v/>
      </c>
      <c r="O17" s="44" t="str">
        <f>IF(LECON!O17="","",LECON!O17)</f>
        <v/>
      </c>
      <c r="P17" s="44" t="str">
        <f>IF(LECON!P17="","",LECON!P17)</f>
        <v/>
      </c>
      <c r="Q17" s="46" t="str">
        <f>IF(LECON!Q17="","",LECON!Q17)</f>
        <v/>
      </c>
      <c r="R17" s="44" t="str">
        <f>IF(LECON!R17="","",LECON!R17)</f>
        <v/>
      </c>
    </row>
    <row r="18" spans="1:18" x14ac:dyDescent="0.25">
      <c r="A18" s="57" t="str">
        <f>IF(LECON!A18="","",LECON!A18)</f>
        <v/>
      </c>
      <c r="B18" s="57" t="str">
        <f>IF(LECON!B18="","",LECON!B18)</f>
        <v/>
      </c>
      <c r="C18" s="57" t="str">
        <f>IF(LECON!C18="","",LECON!C18)</f>
        <v/>
      </c>
      <c r="D18" s="44">
        <v>44162.533773148149</v>
      </c>
      <c r="E18" s="57"/>
      <c r="F18" s="57"/>
      <c r="G18" s="48" t="str">
        <f>IF(LECON!G18="","",LECON!G18)</f>
        <v/>
      </c>
      <c r="H18" s="44" t="str">
        <f>IF(LECON!H18="","",LECON!H18)</f>
        <v/>
      </c>
      <c r="I18" s="48" t="str">
        <f>IF(LECON!I18="","",LECON!I18)</f>
        <v/>
      </c>
      <c r="J18" s="48" t="str">
        <f>IF(LECON!J18="","",LECON!J18)</f>
        <v/>
      </c>
      <c r="K18" s="44">
        <v>44162.533773148149</v>
      </c>
      <c r="L18" s="57"/>
      <c r="M18" s="57"/>
      <c r="N18" s="46" t="str">
        <f>IF(LECON!N18="","",LECON!N18)</f>
        <v/>
      </c>
      <c r="O18" s="44" t="str">
        <f>IF(LECON!O18="","",LECON!O18)</f>
        <v/>
      </c>
      <c r="P18" s="44" t="str">
        <f>IF(LECON!P18="","",LECON!P18)</f>
        <v/>
      </c>
      <c r="Q18" s="46" t="str">
        <f>IF(LECON!Q18="","",LECON!Q18)</f>
        <v/>
      </c>
      <c r="R18" s="44" t="str">
        <f>IF(LECON!R18="","",LECON!R18)</f>
        <v/>
      </c>
    </row>
    <row r="19" spans="1:18" x14ac:dyDescent="0.25">
      <c r="A19" s="57" t="str">
        <f>IF(LECON!A19="","",LECON!A19)</f>
        <v/>
      </c>
      <c r="B19" s="57" t="str">
        <f>IF(LECON!B19="","",LECON!B19)</f>
        <v/>
      </c>
      <c r="C19" s="57" t="str">
        <f>IF(LECON!C19="","",LECON!C19)</f>
        <v/>
      </c>
      <c r="D19" s="45">
        <v>44162.543761574074</v>
      </c>
      <c r="E19" s="58"/>
      <c r="F19" s="58"/>
      <c r="G19" s="48" t="str">
        <f>IF(LECON!G19="","",LECON!G19)</f>
        <v/>
      </c>
      <c r="H19" s="44" t="str">
        <f>IF(LECON!H19="","",LECON!H19)</f>
        <v/>
      </c>
      <c r="I19" s="48" t="str">
        <f>IF(LECON!I19="","",LECON!I19)</f>
        <v/>
      </c>
      <c r="J19" s="48" t="str">
        <f>IF(LECON!J19="","",LECON!J19)</f>
        <v/>
      </c>
      <c r="K19" s="45">
        <v>44162.543761574074</v>
      </c>
      <c r="L19" s="58"/>
      <c r="M19" s="58"/>
      <c r="N19" s="46" t="str">
        <f>IF(LECON!N19="","",LECON!N19)</f>
        <v/>
      </c>
      <c r="O19" s="44" t="str">
        <f>IF(LECON!O19="","",LECON!O19)</f>
        <v/>
      </c>
      <c r="P19" s="44" t="str">
        <f>IF(LECON!P19="","",LECON!P19)</f>
        <v/>
      </c>
      <c r="Q19" s="46" t="str">
        <f>IF(LECON!Q19="","",LECON!Q19)</f>
        <v/>
      </c>
      <c r="R19" s="44" t="str">
        <f>IF(LECON!R19="","",LECON!R19)</f>
        <v/>
      </c>
    </row>
    <row r="20" spans="1:18" x14ac:dyDescent="0.25">
      <c r="A20" s="57" t="str">
        <f>IF(LECON!A20="","",LECON!A20)</f>
        <v/>
      </c>
      <c r="B20" s="57" t="str">
        <f>IF(LECON!B20="","",LECON!B20)</f>
        <v/>
      </c>
      <c r="C20" s="57" t="str">
        <f>IF(LECON!C20="","",LECON!C20)</f>
        <v/>
      </c>
      <c r="D20" s="44">
        <v>44162.554583333331</v>
      </c>
      <c r="E20" s="57"/>
      <c r="F20" s="57"/>
      <c r="G20" s="48" t="str">
        <f>IF(LECON!G20="","",LECON!G20)</f>
        <v/>
      </c>
      <c r="H20" s="44" t="str">
        <f>IF(LECON!H20="","",LECON!H20)</f>
        <v/>
      </c>
      <c r="I20" s="48" t="str">
        <f>IF(LECON!I20="","",LECON!I20)</f>
        <v/>
      </c>
      <c r="J20" s="48" t="str">
        <f>IF(LECON!J20="","",LECON!J20)</f>
        <v/>
      </c>
      <c r="K20" s="44">
        <v>44162.554583333331</v>
      </c>
      <c r="L20" s="57"/>
      <c r="M20" s="57"/>
      <c r="N20" s="46" t="str">
        <f>IF(LECON!N20="","",LECON!N20)</f>
        <v/>
      </c>
      <c r="O20" s="44" t="str">
        <f>IF(LECON!O20="","",LECON!O20)</f>
        <v/>
      </c>
      <c r="P20" s="44" t="str">
        <f>IF(LECON!P20="","",LECON!P20)</f>
        <v/>
      </c>
      <c r="Q20" s="46" t="str">
        <f>IF(LECON!Q20="","",LECON!Q20)</f>
        <v/>
      </c>
      <c r="R20" s="44" t="str">
        <f>IF(LECON!R20="","",LECON!R20)</f>
        <v/>
      </c>
    </row>
    <row r="21" spans="1:18" x14ac:dyDescent="0.25">
      <c r="A21" s="57" t="str">
        <f>IF(LECON!A21="","",LECON!A21)</f>
        <v/>
      </c>
      <c r="B21" s="57" t="str">
        <f>IF(LECON!B21="","",LECON!B21)</f>
        <v/>
      </c>
      <c r="C21" s="57" t="str">
        <f>IF(LECON!C21="","",LECON!C21)</f>
        <v/>
      </c>
      <c r="D21" s="45">
        <v>44162.558541666665</v>
      </c>
      <c r="E21" s="58"/>
      <c r="F21" s="58"/>
      <c r="G21" s="48" t="str">
        <f>IF(LECON!G21="","",LECON!G21)</f>
        <v/>
      </c>
      <c r="H21" s="44" t="str">
        <f>IF(LECON!H21="","",LECON!H21)</f>
        <v/>
      </c>
      <c r="I21" s="48" t="str">
        <f>IF(LECON!I21="","",LECON!I21)</f>
        <v/>
      </c>
      <c r="J21" s="48" t="str">
        <f>IF(LECON!J21="","",LECON!J21)</f>
        <v/>
      </c>
      <c r="K21" s="45">
        <v>44162.558541666665</v>
      </c>
      <c r="L21" s="58"/>
      <c r="M21" s="58"/>
      <c r="N21" s="46" t="str">
        <f>IF(LECON!N21="","",LECON!N21)</f>
        <v/>
      </c>
      <c r="O21" s="44" t="str">
        <f>IF(LECON!O21="","",LECON!O21)</f>
        <v/>
      </c>
      <c r="P21" s="44" t="str">
        <f>IF(LECON!P21="","",LECON!P21)</f>
        <v/>
      </c>
      <c r="Q21" s="46" t="str">
        <f>IF(LECON!Q21="","",LECON!Q21)</f>
        <v/>
      </c>
      <c r="R21" s="44" t="str">
        <f>IF(LECON!R21="","",LECON!R21)</f>
        <v/>
      </c>
    </row>
    <row r="22" spans="1:18" x14ac:dyDescent="0.25">
      <c r="A22" s="57" t="str">
        <f>IF(LECON!A22="","",LECON!A22)</f>
        <v/>
      </c>
      <c r="B22" s="57" t="str">
        <f>IF(LECON!B22="","",LECON!B22)</f>
        <v/>
      </c>
      <c r="C22" s="57" t="str">
        <f>IF(LECON!C22="","",LECON!C22)</f>
        <v/>
      </c>
      <c r="D22" s="44">
        <v>44162.562581018516</v>
      </c>
      <c r="E22" s="57"/>
      <c r="F22" s="57"/>
      <c r="G22" s="48" t="str">
        <f>IF(LECON!G22="","",LECON!G22)</f>
        <v/>
      </c>
      <c r="H22" s="44" t="str">
        <f>IF(LECON!H22="","",LECON!H22)</f>
        <v/>
      </c>
      <c r="I22" s="48" t="str">
        <f>IF(LECON!I22="","",LECON!I22)</f>
        <v/>
      </c>
      <c r="J22" s="48" t="str">
        <f>IF(LECON!J22="","",LECON!J22)</f>
        <v/>
      </c>
      <c r="K22" s="44">
        <v>44162.562581018516</v>
      </c>
      <c r="L22" s="57"/>
      <c r="M22" s="57"/>
      <c r="N22" s="46" t="str">
        <f>IF(LECON!N22="","",LECON!N22)</f>
        <v/>
      </c>
      <c r="O22" s="44" t="str">
        <f>IF(LECON!O22="","",LECON!O22)</f>
        <v/>
      </c>
      <c r="P22" s="44" t="str">
        <f>IF(LECON!P22="","",LECON!P22)</f>
        <v/>
      </c>
      <c r="Q22" s="46" t="str">
        <f>IF(LECON!Q22="","",LECON!Q22)</f>
        <v/>
      </c>
      <c r="R22" s="44" t="str">
        <f>IF(LECON!R22="","",LECON!R22)</f>
        <v/>
      </c>
    </row>
    <row r="23" spans="1:18" x14ac:dyDescent="0.25">
      <c r="A23" s="57" t="str">
        <f>IF(LECON!A23="","",LECON!A23)</f>
        <v/>
      </c>
      <c r="B23" s="57" t="str">
        <f>IF(LECON!B23="","",LECON!B23)</f>
        <v/>
      </c>
      <c r="C23" s="57" t="str">
        <f>IF(LECON!C23="","",LECON!C23)</f>
        <v/>
      </c>
      <c r="D23" s="45">
        <v>44162.566631944443</v>
      </c>
      <c r="E23" s="58"/>
      <c r="F23" s="58"/>
      <c r="G23" s="48" t="str">
        <f>IF(LECON!G23="","",LECON!G23)</f>
        <v/>
      </c>
      <c r="H23" s="44" t="str">
        <f>IF(LECON!H23="","",LECON!H23)</f>
        <v/>
      </c>
      <c r="I23" s="48" t="str">
        <f>IF(LECON!I23="","",LECON!I23)</f>
        <v/>
      </c>
      <c r="J23" s="48" t="str">
        <f>IF(LECON!J23="","",LECON!J23)</f>
        <v/>
      </c>
      <c r="K23" s="45">
        <v>44162.566631944443</v>
      </c>
      <c r="L23" s="58"/>
      <c r="M23" s="58"/>
      <c r="N23" s="46" t="str">
        <f>IF(LECON!N23="","",LECON!N23)</f>
        <v/>
      </c>
      <c r="O23" s="44" t="str">
        <f>IF(LECON!O23="","",LECON!O23)</f>
        <v/>
      </c>
      <c r="P23" s="44" t="str">
        <f>IF(LECON!P23="","",LECON!P23)</f>
        <v/>
      </c>
      <c r="Q23" s="46" t="str">
        <f>IF(LECON!Q23="","",LECON!Q23)</f>
        <v/>
      </c>
      <c r="R23" s="44" t="str">
        <f>IF(LECON!R23="","",LECON!R23)</f>
        <v/>
      </c>
    </row>
    <row r="24" spans="1:18" x14ac:dyDescent="0.25">
      <c r="A24" s="57" t="str">
        <f>IF(LECON!A24="","",LECON!A24)</f>
        <v/>
      </c>
      <c r="B24" s="57" t="str">
        <f>IF(LECON!B24="","",LECON!B24)</f>
        <v/>
      </c>
      <c r="C24" s="57" t="str">
        <f>IF(LECON!C24="","",LECON!C24)</f>
        <v/>
      </c>
      <c r="D24" s="44">
        <v>44162.570694444446</v>
      </c>
      <c r="E24" s="57"/>
      <c r="F24" s="57"/>
      <c r="G24" s="48" t="str">
        <f>IF(LECON!G24="","",LECON!G24)</f>
        <v/>
      </c>
      <c r="H24" s="44" t="str">
        <f>IF(LECON!H24="","",LECON!H24)</f>
        <v/>
      </c>
      <c r="I24" s="48" t="str">
        <f>IF(LECON!I24="","",LECON!I24)</f>
        <v/>
      </c>
      <c r="J24" s="48" t="str">
        <f>IF(LECON!J24="","",LECON!J24)</f>
        <v/>
      </c>
      <c r="K24" s="44">
        <v>44162.570694444446</v>
      </c>
      <c r="L24" s="57"/>
      <c r="M24" s="57"/>
      <c r="N24" s="46" t="str">
        <f>IF(LECON!N24="","",LECON!N24)</f>
        <v/>
      </c>
      <c r="O24" s="44" t="str">
        <f>IF(LECON!O24="","",LECON!O24)</f>
        <v/>
      </c>
      <c r="P24" s="44" t="str">
        <f>IF(LECON!P24="","",LECON!P24)</f>
        <v/>
      </c>
      <c r="Q24" s="46" t="str">
        <f>IF(LECON!Q24="","",LECON!Q24)</f>
        <v/>
      </c>
      <c r="R24" s="44" t="str">
        <f>IF(LECON!R24="","",LECON!R24)</f>
        <v/>
      </c>
    </row>
    <row r="25" spans="1:18" x14ac:dyDescent="0.25">
      <c r="A25" s="57" t="str">
        <f>IF(LECON!A25="","",LECON!A25)</f>
        <v/>
      </c>
      <c r="B25" s="57" t="str">
        <f>IF(LECON!B25="","",LECON!B25)</f>
        <v/>
      </c>
      <c r="C25" s="57" t="str">
        <f>IF(LECON!C25="","",LECON!C25)</f>
        <v/>
      </c>
      <c r="D25" s="45">
        <v>44162.574745370373</v>
      </c>
      <c r="E25" s="58"/>
      <c r="F25" s="58"/>
      <c r="G25" s="48" t="str">
        <f>IF(LECON!G25="","",LECON!G25)</f>
        <v/>
      </c>
      <c r="H25" s="44" t="str">
        <f>IF(LECON!H25="","",LECON!H25)</f>
        <v/>
      </c>
      <c r="I25" s="48" t="str">
        <f>IF(LECON!I25="","",LECON!I25)</f>
        <v/>
      </c>
      <c r="J25" s="48" t="str">
        <f>IF(LECON!J25="","",LECON!J25)</f>
        <v/>
      </c>
      <c r="K25" s="45">
        <v>44162.574745370373</v>
      </c>
      <c r="L25" s="58"/>
      <c r="M25" s="58"/>
      <c r="N25" s="46" t="str">
        <f>IF(LECON!N25="","",LECON!N25)</f>
        <v/>
      </c>
      <c r="O25" s="44" t="str">
        <f>IF(LECON!O25="","",LECON!O25)</f>
        <v/>
      </c>
      <c r="P25" s="44" t="str">
        <f>IF(LECON!P25="","",LECON!P25)</f>
        <v/>
      </c>
      <c r="Q25" s="46" t="str">
        <f>IF(LECON!Q25="","",LECON!Q25)</f>
        <v/>
      </c>
      <c r="R25" s="44" t="str">
        <f>IF(LECON!R25="","",LECON!R25)</f>
        <v/>
      </c>
    </row>
    <row r="26" spans="1:18" x14ac:dyDescent="0.25">
      <c r="A26" s="57" t="str">
        <f>IF(LECON!A26="","",LECON!A26)</f>
        <v/>
      </c>
      <c r="B26" s="57" t="str">
        <f>IF(LECON!B26="","",LECON!B26)</f>
        <v/>
      </c>
      <c r="C26" s="57" t="str">
        <f>IF(LECON!C26="","",LECON!C26)</f>
        <v/>
      </c>
      <c r="D26" s="44">
        <v>44162.57880787037</v>
      </c>
      <c r="E26" s="57"/>
      <c r="F26" s="57"/>
      <c r="G26" s="48" t="str">
        <f>IF(LECON!G26="","",LECON!G26)</f>
        <v/>
      </c>
      <c r="H26" s="44" t="str">
        <f>IF(LECON!H26="","",LECON!H26)</f>
        <v/>
      </c>
      <c r="I26" s="48" t="str">
        <f>IF(LECON!I26="","",LECON!I26)</f>
        <v/>
      </c>
      <c r="J26" s="48" t="str">
        <f>IF(LECON!J26="","",LECON!J26)</f>
        <v/>
      </c>
      <c r="K26" s="44">
        <v>44162.57880787037</v>
      </c>
      <c r="L26" s="57"/>
      <c r="M26" s="57"/>
      <c r="N26" s="46" t="str">
        <f>IF(LECON!N26="","",LECON!N26)</f>
        <v/>
      </c>
      <c r="O26" s="44" t="str">
        <f>IF(LECON!O26="","",LECON!O26)</f>
        <v/>
      </c>
      <c r="P26" s="44" t="str">
        <f>IF(LECON!P26="","",LECON!P26)</f>
        <v/>
      </c>
      <c r="Q26" s="46" t="str">
        <f>IF(LECON!Q26="","",LECON!Q26)</f>
        <v/>
      </c>
      <c r="R26" s="44" t="str">
        <f>IF(LECON!R26="","",LECON!R26)</f>
        <v/>
      </c>
    </row>
    <row r="27" spans="1:18" x14ac:dyDescent="0.25">
      <c r="A27" s="57" t="str">
        <f>IF(LECON!A27="","",LECON!A27)</f>
        <v/>
      </c>
      <c r="B27" s="57" t="str">
        <f>IF(LECON!B27="","",LECON!B27)</f>
        <v/>
      </c>
      <c r="C27" s="57" t="str">
        <f>IF(LECON!C27="","",LECON!C27)</f>
        <v/>
      </c>
      <c r="D27" s="45">
        <v>44162.582870370374</v>
      </c>
      <c r="E27" s="58"/>
      <c r="F27" s="58"/>
      <c r="G27" s="48" t="str">
        <f>IF(LECON!G27="","",LECON!G27)</f>
        <v/>
      </c>
      <c r="H27" s="44" t="str">
        <f>IF(LECON!H27="","",LECON!H27)</f>
        <v/>
      </c>
      <c r="I27" s="48" t="str">
        <f>IF(LECON!I27="","",LECON!I27)</f>
        <v/>
      </c>
      <c r="J27" s="48" t="str">
        <f>IF(LECON!J27="","",LECON!J27)</f>
        <v/>
      </c>
      <c r="K27" s="45">
        <v>44162.582870370374</v>
      </c>
      <c r="L27" s="58"/>
      <c r="M27" s="58"/>
      <c r="N27" s="46" t="str">
        <f>IF(LECON!N27="","",LECON!N27)</f>
        <v/>
      </c>
      <c r="O27" s="44" t="str">
        <f>IF(LECON!O27="","",LECON!O27)</f>
        <v/>
      </c>
      <c r="P27" s="44" t="str">
        <f>IF(LECON!P27="","",LECON!P27)</f>
        <v/>
      </c>
      <c r="Q27" s="46" t="str">
        <f>IF(LECON!Q27="","",LECON!Q27)</f>
        <v/>
      </c>
      <c r="R27" s="44" t="str">
        <f>IF(LECON!R27="","",LECON!R27)</f>
        <v/>
      </c>
    </row>
    <row r="28" spans="1:18" x14ac:dyDescent="0.25">
      <c r="A28" s="57" t="str">
        <f>IF(LECON!A28="","",LECON!A28)</f>
        <v/>
      </c>
      <c r="B28" s="57" t="str">
        <f>IF(LECON!B28="","",LECON!B28)</f>
        <v/>
      </c>
      <c r="C28" s="57" t="str">
        <f>IF(LECON!C28="","",LECON!C28)</f>
        <v/>
      </c>
      <c r="D28" s="44">
        <v>44162.58693287037</v>
      </c>
      <c r="E28" s="57"/>
      <c r="F28" s="57"/>
      <c r="G28" s="48" t="str">
        <f>IF(LECON!G28="","",LECON!G28)</f>
        <v/>
      </c>
      <c r="H28" s="44" t="str">
        <f>IF(LECON!H28="","",LECON!H28)</f>
        <v/>
      </c>
      <c r="I28" s="48" t="str">
        <f>IF(LECON!I28="","",LECON!I28)</f>
        <v/>
      </c>
      <c r="J28" s="48" t="str">
        <f>IF(LECON!J28="","",LECON!J28)</f>
        <v/>
      </c>
      <c r="K28" s="44">
        <v>44162.58693287037</v>
      </c>
      <c r="L28" s="57"/>
      <c r="M28" s="57"/>
      <c r="N28" s="46" t="str">
        <f>IF(LECON!N28="","",LECON!N28)</f>
        <v/>
      </c>
      <c r="O28" s="44" t="str">
        <f>IF(LECON!O28="","",LECON!O28)</f>
        <v/>
      </c>
      <c r="P28" s="44" t="str">
        <f>IF(LECON!P28="","",LECON!P28)</f>
        <v/>
      </c>
      <c r="Q28" s="46" t="str">
        <f>IF(LECON!Q28="","",LECON!Q28)</f>
        <v/>
      </c>
      <c r="R28" s="44" t="str">
        <f>IF(LECON!R28="","",LECON!R28)</f>
        <v/>
      </c>
    </row>
    <row r="29" spans="1:18" x14ac:dyDescent="0.25">
      <c r="A29" s="57" t="str">
        <f>IF(LECON!A29="","",LECON!A29)</f>
        <v/>
      </c>
      <c r="B29" s="57" t="str">
        <f>IF(LECON!B29="","",LECON!B29)</f>
        <v/>
      </c>
      <c r="C29" s="57" t="str">
        <f>IF(LECON!C29="","",LECON!C29)</f>
        <v/>
      </c>
      <c r="D29" s="45">
        <v>44162.590983796297</v>
      </c>
      <c r="E29" s="58"/>
      <c r="F29" s="58"/>
      <c r="G29" s="48" t="str">
        <f>IF(LECON!G29="","",LECON!G29)</f>
        <v/>
      </c>
      <c r="H29" s="44" t="str">
        <f>IF(LECON!H29="","",LECON!H29)</f>
        <v/>
      </c>
      <c r="I29" s="48" t="str">
        <f>IF(LECON!I29="","",LECON!I29)</f>
        <v/>
      </c>
      <c r="J29" s="48" t="str">
        <f>IF(LECON!J29="","",LECON!J29)</f>
        <v/>
      </c>
      <c r="K29" s="45">
        <v>44162.590983796297</v>
      </c>
      <c r="L29" s="58"/>
      <c r="M29" s="58"/>
      <c r="N29" s="46" t="str">
        <f>IF(LECON!N29="","",LECON!N29)</f>
        <v/>
      </c>
      <c r="O29" s="44" t="str">
        <f>IF(LECON!O29="","",LECON!O29)</f>
        <v/>
      </c>
      <c r="P29" s="44" t="str">
        <f>IF(LECON!P29="","",LECON!P29)</f>
        <v/>
      </c>
      <c r="Q29" s="46" t="str">
        <f>IF(LECON!Q29="","",LECON!Q29)</f>
        <v/>
      </c>
      <c r="R29" s="44" t="str">
        <f>IF(LECON!R29="","",LECON!R29)</f>
        <v/>
      </c>
    </row>
    <row r="30" spans="1:18" x14ac:dyDescent="0.25">
      <c r="A30" s="57" t="str">
        <f>IF(LECON!A30="","",LECON!A30)</f>
        <v/>
      </c>
      <c r="B30" s="57" t="str">
        <f>IF(LECON!B30="","",LECON!B30)</f>
        <v/>
      </c>
      <c r="C30" s="57" t="str">
        <f>IF(LECON!C30="","",LECON!C30)</f>
        <v/>
      </c>
      <c r="D30" s="44">
        <v>44162.595046296294</v>
      </c>
      <c r="E30" s="57"/>
      <c r="F30" s="57"/>
      <c r="G30" s="48" t="str">
        <f>IF(LECON!G30="","",LECON!G30)</f>
        <v/>
      </c>
      <c r="H30" s="44" t="str">
        <f>IF(LECON!H30="","",LECON!H30)</f>
        <v/>
      </c>
      <c r="I30" s="48" t="str">
        <f>IF(LECON!I30="","",LECON!I30)</f>
        <v/>
      </c>
      <c r="J30" s="48" t="str">
        <f>IF(LECON!J30="","",LECON!J30)</f>
        <v/>
      </c>
      <c r="K30" s="44">
        <v>44162.595046296294</v>
      </c>
      <c r="L30" s="57"/>
      <c r="M30" s="57"/>
      <c r="N30" s="46" t="str">
        <f>IF(LECON!N30="","",LECON!N30)</f>
        <v/>
      </c>
      <c r="O30" s="44" t="str">
        <f>IF(LECON!O30="","",LECON!O30)</f>
        <v/>
      </c>
      <c r="P30" s="44" t="str">
        <f>IF(LECON!P30="","",LECON!P30)</f>
        <v/>
      </c>
      <c r="Q30" s="46" t="str">
        <f>IF(LECON!Q30="","",LECON!Q30)</f>
        <v/>
      </c>
      <c r="R30" s="44" t="str">
        <f>IF(LECON!R30="","",LECON!R30)</f>
        <v/>
      </c>
    </row>
    <row r="31" spans="1:18" x14ac:dyDescent="0.25">
      <c r="A31" s="57" t="str">
        <f>IF(LECON!A31="","",LECON!A31)</f>
        <v/>
      </c>
      <c r="B31" s="57" t="str">
        <f>IF(LECON!B31="","",LECON!B31)</f>
        <v/>
      </c>
      <c r="C31" s="57" t="str">
        <f>IF(LECON!C31="","",LECON!C31)</f>
        <v/>
      </c>
      <c r="D31" s="45">
        <v>44162.599108796298</v>
      </c>
      <c r="E31" s="58"/>
      <c r="F31" s="58"/>
      <c r="G31" s="48" t="str">
        <f>IF(LECON!G31="","",LECON!G31)</f>
        <v/>
      </c>
      <c r="H31" s="44" t="str">
        <f>IF(LECON!H31="","",LECON!H31)</f>
        <v/>
      </c>
      <c r="I31" s="48" t="str">
        <f>IF(LECON!I31="","",LECON!I31)</f>
        <v/>
      </c>
      <c r="J31" s="48" t="str">
        <f>IF(LECON!J31="","",LECON!J31)</f>
        <v/>
      </c>
      <c r="K31" s="45">
        <v>44162.599108796298</v>
      </c>
      <c r="L31" s="58"/>
      <c r="M31" s="58"/>
      <c r="N31" s="46" t="str">
        <f>IF(LECON!N31="","",LECON!N31)</f>
        <v/>
      </c>
      <c r="O31" s="44" t="str">
        <f>IF(LECON!O31="","",LECON!O31)</f>
        <v/>
      </c>
      <c r="P31" s="44" t="str">
        <f>IF(LECON!P31="","",LECON!P31)</f>
        <v/>
      </c>
      <c r="Q31" s="46" t="str">
        <f>IF(LECON!Q31="","",LECON!Q31)</f>
        <v/>
      </c>
      <c r="R31" s="44" t="str">
        <f>IF(LECON!R31="","",LECON!R31)</f>
        <v/>
      </c>
    </row>
    <row r="32" spans="1:18" x14ac:dyDescent="0.25">
      <c r="A32" s="57" t="str">
        <f>IF(LECON!A32="","",LECON!A32)</f>
        <v/>
      </c>
      <c r="B32" s="57" t="str">
        <f>IF(LECON!B32="","",LECON!B32)</f>
        <v/>
      </c>
      <c r="C32" s="57" t="str">
        <f>IF(LECON!C32="","",LECON!C32)</f>
        <v/>
      </c>
      <c r="D32" s="44"/>
      <c r="E32" s="57"/>
      <c r="F32" s="57"/>
      <c r="G32" s="48" t="str">
        <f>IF(LECON!G32="","",LECON!G32)</f>
        <v/>
      </c>
      <c r="H32" s="44" t="str">
        <f>IF(LECON!H32="","",LECON!H32)</f>
        <v/>
      </c>
      <c r="I32" s="48" t="str">
        <f>IF(LECON!I32="","",LECON!I32)</f>
        <v/>
      </c>
      <c r="J32" s="48" t="str">
        <f>IF(LECON!J32="","",LECON!J32)</f>
        <v/>
      </c>
      <c r="K32" s="44"/>
      <c r="L32" s="57"/>
      <c r="M32" s="57"/>
      <c r="N32" s="46" t="str">
        <f>IF(LECON!N32="","",LECON!N32)</f>
        <v/>
      </c>
      <c r="O32" s="44" t="str">
        <f>IF(LECON!O32="","",LECON!O32)</f>
        <v/>
      </c>
      <c r="P32" s="44" t="str">
        <f>IF(LECON!P32="","",LECON!P32)</f>
        <v/>
      </c>
      <c r="Q32" s="46" t="str">
        <f>IF(LECON!Q32="","",LECON!Q32)</f>
        <v/>
      </c>
      <c r="R32" s="44" t="str">
        <f>IF(LECON!R32="","",LECON!R32)</f>
        <v/>
      </c>
    </row>
    <row r="33" spans="1:18" x14ac:dyDescent="0.25">
      <c r="A33" s="57" t="str">
        <f>IF(LECON!A33="","",LECON!A33)</f>
        <v/>
      </c>
      <c r="B33" s="57" t="str">
        <f>IF(LECON!B33="","",LECON!B33)</f>
        <v/>
      </c>
      <c r="C33" s="57" t="str">
        <f>IF(LECON!C33="","",LECON!C33)</f>
        <v/>
      </c>
      <c r="D33" s="45"/>
      <c r="E33" s="58"/>
      <c r="F33" s="58"/>
      <c r="G33" s="48" t="str">
        <f>IF(LECON!G33="","",LECON!G33)</f>
        <v/>
      </c>
      <c r="H33" s="44" t="str">
        <f>IF(LECON!H33="","",LECON!H33)</f>
        <v/>
      </c>
      <c r="I33" s="48" t="str">
        <f>IF(LECON!I33="","",LECON!I33)</f>
        <v/>
      </c>
      <c r="J33" s="48" t="str">
        <f>IF(LECON!J33="","",LECON!J33)</f>
        <v/>
      </c>
      <c r="K33" s="45"/>
      <c r="L33" s="58"/>
      <c r="M33" s="58"/>
      <c r="N33" s="46" t="str">
        <f>IF(LECON!N33="","",LECON!N33)</f>
        <v/>
      </c>
      <c r="O33" s="44" t="str">
        <f>IF(LECON!O33="","",LECON!O33)</f>
        <v/>
      </c>
      <c r="P33" s="44" t="str">
        <f>IF(LECON!P33="","",LECON!P33)</f>
        <v/>
      </c>
      <c r="Q33" s="46" t="str">
        <f>IF(LECON!Q33="","",LECON!Q33)</f>
        <v/>
      </c>
      <c r="R33" s="44" t="str">
        <f>IF(LECON!R33="","",LECON!R33)</f>
        <v/>
      </c>
    </row>
    <row r="34" spans="1:18" x14ac:dyDescent="0.25">
      <c r="A34" s="57" t="str">
        <f>IF(LECON!A34="","",LECON!A34)</f>
        <v/>
      </c>
      <c r="B34" s="57" t="str">
        <f>IF(LECON!B34="","",LECON!B34)</f>
        <v/>
      </c>
      <c r="C34" s="57" t="str">
        <f>IF(LECON!C34="","",LECON!C34)</f>
        <v/>
      </c>
      <c r="D34" s="44"/>
      <c r="E34" s="57"/>
      <c r="F34" s="57"/>
      <c r="G34" s="48" t="str">
        <f>IF(LECON!G34="","",LECON!G34)</f>
        <v/>
      </c>
      <c r="H34" s="44" t="str">
        <f>IF(LECON!H34="","",LECON!H34)</f>
        <v/>
      </c>
      <c r="I34" s="48" t="str">
        <f>IF(LECON!I34="","",LECON!I34)</f>
        <v/>
      </c>
      <c r="J34" s="48" t="str">
        <f>IF(LECON!J34="","",LECON!J34)</f>
        <v/>
      </c>
      <c r="K34" s="44"/>
      <c r="L34" s="57"/>
      <c r="M34" s="57"/>
      <c r="N34" s="46" t="str">
        <f>IF(LECON!N34="","",LECON!N34)</f>
        <v/>
      </c>
      <c r="O34" s="44" t="str">
        <f>IF(LECON!O34="","",LECON!O34)</f>
        <v/>
      </c>
      <c r="P34" s="44" t="str">
        <f>IF(LECON!P34="","",LECON!P34)</f>
        <v/>
      </c>
      <c r="Q34" s="46" t="str">
        <f>IF(LECON!Q34="","",LECON!Q34)</f>
        <v/>
      </c>
      <c r="R34" s="44" t="str">
        <f>IF(LECON!R34="","",LECON!R34)</f>
        <v/>
      </c>
    </row>
    <row r="35" spans="1:18" x14ac:dyDescent="0.25">
      <c r="A35" s="57" t="str">
        <f>IF(LECON!A35="","",LECON!A35)</f>
        <v/>
      </c>
      <c r="B35" s="57" t="str">
        <f>IF(LECON!B35="","",LECON!B35)</f>
        <v/>
      </c>
      <c r="C35" s="57" t="str">
        <f>IF(LECON!C35="","",LECON!C35)</f>
        <v/>
      </c>
      <c r="D35" s="45"/>
      <c r="E35" s="58"/>
      <c r="F35" s="58"/>
      <c r="G35" s="48" t="str">
        <f>IF(LECON!G35="","",LECON!G35)</f>
        <v/>
      </c>
      <c r="H35" s="44" t="str">
        <f>IF(LECON!H35="","",LECON!H35)</f>
        <v/>
      </c>
      <c r="I35" s="48" t="str">
        <f>IF(LECON!I35="","",LECON!I35)</f>
        <v/>
      </c>
      <c r="J35" s="48" t="str">
        <f>IF(LECON!J35="","",LECON!J35)</f>
        <v/>
      </c>
      <c r="K35" s="45"/>
      <c r="L35" s="58"/>
      <c r="M35" s="58"/>
      <c r="N35" s="46" t="str">
        <f>IF(LECON!N35="","",LECON!N35)</f>
        <v/>
      </c>
      <c r="O35" s="44" t="str">
        <f>IF(LECON!O35="","",LECON!O35)</f>
        <v/>
      </c>
      <c r="P35" s="44" t="str">
        <f>IF(LECON!P35="","",LECON!P35)</f>
        <v/>
      </c>
      <c r="Q35" s="46" t="str">
        <f>IF(LECON!Q35="","",LECON!Q35)</f>
        <v/>
      </c>
      <c r="R35" s="44" t="str">
        <f>IF(LECON!R35="","",LECON!R35)</f>
        <v/>
      </c>
    </row>
    <row r="36" spans="1:18" x14ac:dyDescent="0.25">
      <c r="A36" s="57" t="str">
        <f>IF(LECON!A36="","",LECON!A36)</f>
        <v/>
      </c>
      <c r="B36" s="57" t="str">
        <f>IF(LECON!B36="","",LECON!B36)</f>
        <v/>
      </c>
      <c r="C36" s="57" t="str">
        <f>IF(LECON!C36="","",LECON!C36)</f>
        <v/>
      </c>
      <c r="D36" s="44"/>
      <c r="E36" s="57"/>
      <c r="F36" s="57"/>
      <c r="G36" s="48" t="str">
        <f>IF(LECON!G36="","",LECON!G36)</f>
        <v/>
      </c>
      <c r="H36" s="44" t="str">
        <f>IF(LECON!H36="","",LECON!H36)</f>
        <v/>
      </c>
      <c r="I36" s="48" t="str">
        <f>IF(LECON!I36="","",LECON!I36)</f>
        <v/>
      </c>
      <c r="J36" s="48" t="str">
        <f>IF(LECON!J36="","",LECON!J36)</f>
        <v/>
      </c>
      <c r="K36" s="44"/>
      <c r="L36" s="57"/>
      <c r="M36" s="57"/>
      <c r="N36" s="46" t="str">
        <f>IF(LECON!N36="","",LECON!N36)</f>
        <v/>
      </c>
      <c r="O36" s="44" t="str">
        <f>IF(LECON!O36="","",LECON!O36)</f>
        <v/>
      </c>
      <c r="P36" s="44" t="str">
        <f>IF(LECON!P36="","",LECON!P36)</f>
        <v/>
      </c>
      <c r="Q36" s="46" t="str">
        <f>IF(LECON!Q36="","",LECON!Q36)</f>
        <v/>
      </c>
      <c r="R36" s="44" t="str">
        <f>IF(LECON!R36="","",LECON!R36)</f>
        <v/>
      </c>
    </row>
    <row r="37" spans="1:18" x14ac:dyDescent="0.25">
      <c r="A37" s="57" t="str">
        <f>IF(LECON!A37="","",LECON!A37)</f>
        <v/>
      </c>
      <c r="B37" s="57" t="str">
        <f>IF(LECON!B37="","",LECON!B37)</f>
        <v/>
      </c>
      <c r="C37" s="57" t="str">
        <f>IF(LECON!C37="","",LECON!C37)</f>
        <v/>
      </c>
      <c r="D37" s="45"/>
      <c r="E37" s="58"/>
      <c r="F37" s="58"/>
      <c r="G37" s="48" t="str">
        <f>IF(LECON!G37="","",LECON!G37)</f>
        <v/>
      </c>
      <c r="H37" s="44" t="str">
        <f>IF(LECON!H37="","",LECON!H37)</f>
        <v/>
      </c>
      <c r="I37" s="48" t="str">
        <f>IF(LECON!I37="","",LECON!I37)</f>
        <v/>
      </c>
      <c r="J37" s="48" t="str">
        <f>IF(LECON!J37="","",LECON!J37)</f>
        <v/>
      </c>
      <c r="K37" s="45"/>
      <c r="L37" s="58"/>
      <c r="M37" s="58"/>
      <c r="N37" s="46" t="str">
        <f>IF(LECON!N37="","",LECON!N37)</f>
        <v/>
      </c>
      <c r="O37" s="44" t="str">
        <f>IF(LECON!O37="","",LECON!O37)</f>
        <v/>
      </c>
      <c r="P37" s="44" t="str">
        <f>IF(LECON!P37="","",LECON!P37)</f>
        <v/>
      </c>
      <c r="Q37" s="46" t="str">
        <f>IF(LECON!Q37="","",LECON!Q37)</f>
        <v/>
      </c>
      <c r="R37" s="44" t="str">
        <f>IF(LECON!R37="","",LECON!R37)</f>
        <v/>
      </c>
    </row>
    <row r="38" spans="1:18" x14ac:dyDescent="0.25">
      <c r="A38" s="57" t="str">
        <f>IF(LECON!A38="","",LECON!A38)</f>
        <v/>
      </c>
      <c r="B38" s="57" t="str">
        <f>IF(LECON!B38="","",LECON!B38)</f>
        <v/>
      </c>
      <c r="C38" s="57" t="str">
        <f>IF(LECON!C38="","",LECON!C38)</f>
        <v/>
      </c>
      <c r="D38" s="44"/>
      <c r="E38" s="57"/>
      <c r="F38" s="57"/>
      <c r="G38" s="48" t="str">
        <f>IF(LECON!G38="","",LECON!G38)</f>
        <v/>
      </c>
      <c r="H38" s="44" t="str">
        <f>IF(LECON!H38="","",LECON!H38)</f>
        <v/>
      </c>
      <c r="I38" s="48" t="str">
        <f>IF(LECON!I38="","",LECON!I38)</f>
        <v/>
      </c>
      <c r="J38" s="48" t="str">
        <f>IF(LECON!J38="","",LECON!J38)</f>
        <v/>
      </c>
      <c r="K38" s="44"/>
      <c r="L38" s="57"/>
      <c r="M38" s="57"/>
      <c r="N38" s="46" t="str">
        <f>IF(LECON!N38="","",LECON!N38)</f>
        <v/>
      </c>
      <c r="O38" s="44" t="str">
        <f>IF(LECON!O38="","",LECON!O38)</f>
        <v/>
      </c>
      <c r="P38" s="44" t="str">
        <f>IF(LECON!P38="","",LECON!P38)</f>
        <v/>
      </c>
      <c r="Q38" s="46" t="str">
        <f>IF(LECON!Q38="","",LECON!Q38)</f>
        <v/>
      </c>
      <c r="R38" s="44" t="str">
        <f>IF(LECON!R38="","",LECON!R38)</f>
        <v/>
      </c>
    </row>
    <row r="39" spans="1:18" x14ac:dyDescent="0.25">
      <c r="A39" s="57" t="str">
        <f>IF(LECON!A39="","",LECON!A39)</f>
        <v/>
      </c>
      <c r="B39" s="57" t="str">
        <f>IF(LECON!B39="","",LECON!B39)</f>
        <v/>
      </c>
      <c r="C39" s="57" t="str">
        <f>IF(LECON!C39="","",LECON!C39)</f>
        <v/>
      </c>
      <c r="D39" s="45"/>
      <c r="E39" s="58"/>
      <c r="F39" s="58"/>
      <c r="G39" s="48" t="str">
        <f>IF(LECON!G39="","",LECON!G39)</f>
        <v/>
      </c>
      <c r="H39" s="44" t="str">
        <f>IF(LECON!H39="","",LECON!H39)</f>
        <v/>
      </c>
      <c r="I39" s="48" t="str">
        <f>IF(LECON!I39="","",LECON!I39)</f>
        <v/>
      </c>
      <c r="J39" s="48" t="str">
        <f>IF(LECON!J39="","",LECON!J39)</f>
        <v/>
      </c>
      <c r="K39" s="45"/>
      <c r="L39" s="58"/>
      <c r="M39" s="58"/>
      <c r="N39" s="46" t="str">
        <f>IF(LECON!N39="","",LECON!N39)</f>
        <v/>
      </c>
      <c r="O39" s="44" t="str">
        <f>IF(LECON!O39="","",LECON!O39)</f>
        <v/>
      </c>
      <c r="P39" s="44" t="str">
        <f>IF(LECON!P39="","",LECON!P39)</f>
        <v/>
      </c>
      <c r="Q39" s="46" t="str">
        <f>IF(LECON!Q39="","",LECON!Q39)</f>
        <v/>
      </c>
      <c r="R39" s="44" t="str">
        <f>IF(LECON!R39="","",LECON!R39)</f>
        <v/>
      </c>
    </row>
    <row r="40" spans="1:18" x14ac:dyDescent="0.25">
      <c r="A40" s="57" t="str">
        <f>IF(LECON!A40="","",LECON!A40)</f>
        <v/>
      </c>
      <c r="B40" s="57" t="str">
        <f>IF(LECON!B40="","",LECON!B40)</f>
        <v/>
      </c>
      <c r="C40" s="57" t="str">
        <f>IF(LECON!C40="","",LECON!C40)</f>
        <v/>
      </c>
      <c r="D40" s="44"/>
      <c r="E40" s="57"/>
      <c r="F40" s="57"/>
      <c r="G40" s="48" t="str">
        <f>IF(LECON!G40="","",LECON!G40)</f>
        <v/>
      </c>
      <c r="H40" s="44" t="str">
        <f>IF(LECON!H40="","",LECON!H40)</f>
        <v/>
      </c>
      <c r="I40" s="48" t="str">
        <f>IF(LECON!I40="","",LECON!I40)</f>
        <v/>
      </c>
      <c r="J40" s="48" t="str">
        <f>IF(LECON!J40="","",LECON!J40)</f>
        <v/>
      </c>
      <c r="K40" s="44"/>
      <c r="L40" s="57"/>
      <c r="M40" s="57"/>
      <c r="N40" s="46" t="str">
        <f>IF(LECON!N40="","",LECON!N40)</f>
        <v/>
      </c>
      <c r="O40" s="44" t="str">
        <f>IF(LECON!O40="","",LECON!O40)</f>
        <v/>
      </c>
      <c r="P40" s="44" t="str">
        <f>IF(LECON!P40="","",LECON!P40)</f>
        <v/>
      </c>
      <c r="Q40" s="46" t="str">
        <f>IF(LECON!Q40="","",LECON!Q40)</f>
        <v/>
      </c>
      <c r="R40" s="44" t="str">
        <f>IF(LECON!R40="","",LECON!R40)</f>
        <v/>
      </c>
    </row>
    <row r="41" spans="1:18" x14ac:dyDescent="0.25">
      <c r="A41" s="57" t="str">
        <f>IF(LECON!A41="","",LECON!A41)</f>
        <v/>
      </c>
      <c r="B41" s="57" t="str">
        <f>IF(LECON!B41="","",LECON!B41)</f>
        <v/>
      </c>
      <c r="C41" s="57" t="str">
        <f>IF(LECON!C41="","",LECON!C41)</f>
        <v/>
      </c>
      <c r="D41" s="45"/>
      <c r="E41" s="58"/>
      <c r="F41" s="58"/>
      <c r="G41" s="48" t="str">
        <f>IF(LECON!G41="","",LECON!G41)</f>
        <v/>
      </c>
      <c r="H41" s="44" t="str">
        <f>IF(LECON!H41="","",LECON!H41)</f>
        <v/>
      </c>
      <c r="I41" s="48" t="str">
        <f>IF(LECON!I41="","",LECON!I41)</f>
        <v/>
      </c>
      <c r="J41" s="48" t="str">
        <f>IF(LECON!J41="","",LECON!J41)</f>
        <v/>
      </c>
      <c r="K41" s="45"/>
      <c r="L41" s="58"/>
      <c r="M41" s="58"/>
      <c r="N41" s="46" t="str">
        <f>IF(LECON!N41="","",LECON!N41)</f>
        <v/>
      </c>
      <c r="O41" s="44" t="str">
        <f>IF(LECON!O41="","",LECON!O41)</f>
        <v/>
      </c>
      <c r="P41" s="44" t="str">
        <f>IF(LECON!P41="","",LECON!P41)</f>
        <v/>
      </c>
      <c r="Q41" s="46" t="str">
        <f>IF(LECON!Q41="","",LECON!Q41)</f>
        <v/>
      </c>
      <c r="R41" s="44" t="str">
        <f>IF(LECON!R41="","",LECON!R41)</f>
        <v/>
      </c>
    </row>
    <row r="42" spans="1:18" x14ac:dyDescent="0.25">
      <c r="A42" s="57" t="str">
        <f>IF(LECON!A42="","",LECON!A42)</f>
        <v/>
      </c>
      <c r="B42" s="57" t="str">
        <f>IF(LECON!B42="","",LECON!B42)</f>
        <v/>
      </c>
      <c r="C42" s="57" t="str">
        <f>IF(LECON!C42="","",LECON!C42)</f>
        <v/>
      </c>
      <c r="D42" s="44"/>
      <c r="E42" s="57"/>
      <c r="F42" s="57"/>
      <c r="G42" s="48" t="str">
        <f>IF(LECON!G42="","",LECON!G42)</f>
        <v/>
      </c>
      <c r="H42" s="44" t="str">
        <f>IF(LECON!H42="","",LECON!H42)</f>
        <v/>
      </c>
      <c r="I42" s="48" t="str">
        <f>IF(LECON!I42="","",LECON!I42)</f>
        <v/>
      </c>
      <c r="J42" s="48" t="str">
        <f>IF(LECON!J42="","",LECON!J42)</f>
        <v/>
      </c>
      <c r="K42" s="44"/>
      <c r="L42" s="57"/>
      <c r="M42" s="57"/>
      <c r="N42" s="46" t="str">
        <f>IF(LECON!N42="","",LECON!N42)</f>
        <v/>
      </c>
      <c r="O42" s="44" t="str">
        <f>IF(LECON!O42="","",LECON!O42)</f>
        <v/>
      </c>
      <c r="P42" s="44" t="str">
        <f>IF(LECON!P42="","",LECON!P42)</f>
        <v/>
      </c>
      <c r="Q42" s="46" t="str">
        <f>IF(LECON!Q42="","",LECON!Q42)</f>
        <v/>
      </c>
      <c r="R42" s="44" t="str">
        <f>IF(LECON!R42="","",LECON!R42)</f>
        <v/>
      </c>
    </row>
    <row r="43" spans="1:18" x14ac:dyDescent="0.25">
      <c r="A43" s="57" t="str">
        <f>IF(LECON!A43="","",LECON!A43)</f>
        <v/>
      </c>
      <c r="B43" s="57" t="str">
        <f>IF(LECON!B43="","",LECON!B43)</f>
        <v/>
      </c>
      <c r="C43" s="57" t="str">
        <f>IF(LECON!C43="","",LECON!C43)</f>
        <v/>
      </c>
      <c r="D43" s="45"/>
      <c r="E43" s="58"/>
      <c r="F43" s="58"/>
      <c r="G43" s="48" t="str">
        <f>IF(LECON!G43="","",LECON!G43)</f>
        <v/>
      </c>
      <c r="H43" s="44" t="str">
        <f>IF(LECON!H43="","",LECON!H43)</f>
        <v/>
      </c>
      <c r="I43" s="48" t="str">
        <f>IF(LECON!I43="","",LECON!I43)</f>
        <v/>
      </c>
      <c r="J43" s="48" t="str">
        <f>IF(LECON!J43="","",LECON!J43)</f>
        <v/>
      </c>
      <c r="K43" s="45"/>
      <c r="L43" s="58"/>
      <c r="M43" s="58"/>
      <c r="N43" s="46" t="str">
        <f>IF(LECON!N43="","",LECON!N43)</f>
        <v/>
      </c>
      <c r="O43" s="44" t="str">
        <f>IF(LECON!O43="","",LECON!O43)</f>
        <v/>
      </c>
      <c r="P43" s="44" t="str">
        <f>IF(LECON!P43="","",LECON!P43)</f>
        <v/>
      </c>
      <c r="Q43" s="46" t="str">
        <f>IF(LECON!Q43="","",LECON!Q43)</f>
        <v/>
      </c>
      <c r="R43" s="44" t="str">
        <f>IF(LECON!R43="","",LECON!R43)</f>
        <v/>
      </c>
    </row>
    <row r="44" spans="1:18" x14ac:dyDescent="0.25">
      <c r="A44" s="57" t="str">
        <f>IF(LECON!A44="","",LECON!A44)</f>
        <v/>
      </c>
      <c r="B44" s="57" t="str">
        <f>IF(LECON!B44="","",LECON!B44)</f>
        <v/>
      </c>
      <c r="C44" s="57" t="str">
        <f>IF(LECON!C44="","",LECON!C44)</f>
        <v/>
      </c>
      <c r="D44" s="44"/>
      <c r="E44" s="57"/>
      <c r="F44" s="57"/>
      <c r="G44" s="48" t="str">
        <f>IF(LECON!G44="","",LECON!G44)</f>
        <v/>
      </c>
      <c r="H44" s="44" t="str">
        <f>IF(LECON!H44="","",LECON!H44)</f>
        <v/>
      </c>
      <c r="I44" s="48" t="str">
        <f>IF(LECON!I44="","",LECON!I44)</f>
        <v/>
      </c>
      <c r="J44" s="48" t="str">
        <f>IF(LECON!J44="","",LECON!J44)</f>
        <v/>
      </c>
      <c r="K44" s="44"/>
      <c r="L44" s="57"/>
      <c r="M44" s="57"/>
      <c r="N44" s="46" t="str">
        <f>IF(LECON!N44="","",LECON!N44)</f>
        <v/>
      </c>
      <c r="O44" s="44" t="str">
        <f>IF(LECON!O44="","",LECON!O44)</f>
        <v/>
      </c>
      <c r="P44" s="44" t="str">
        <f>IF(LECON!P44="","",LECON!P44)</f>
        <v/>
      </c>
      <c r="Q44" s="46" t="str">
        <f>IF(LECON!Q44="","",LECON!Q44)</f>
        <v/>
      </c>
      <c r="R44" s="44" t="str">
        <f>IF(LECON!R44="","",LECON!R44)</f>
        <v/>
      </c>
    </row>
    <row r="45" spans="1:18" x14ac:dyDescent="0.25">
      <c r="A45" s="57" t="str">
        <f>IF(LECON!A45="","",LECON!A45)</f>
        <v/>
      </c>
      <c r="B45" s="57" t="str">
        <f>IF(LECON!B45="","",LECON!B45)</f>
        <v/>
      </c>
      <c r="C45" s="57" t="str">
        <f>IF(LECON!C45="","",LECON!C45)</f>
        <v/>
      </c>
      <c r="D45" s="45"/>
      <c r="E45" s="58"/>
      <c r="F45" s="58"/>
      <c r="G45" s="48" t="str">
        <f>IF(LECON!G45="","",LECON!G45)</f>
        <v/>
      </c>
      <c r="H45" s="44" t="str">
        <f>IF(LECON!H45="","",LECON!H45)</f>
        <v/>
      </c>
      <c r="I45" s="48" t="str">
        <f>IF(LECON!I45="","",LECON!I45)</f>
        <v/>
      </c>
      <c r="J45" s="48" t="str">
        <f>IF(LECON!J45="","",LECON!J45)</f>
        <v/>
      </c>
      <c r="K45" s="45"/>
      <c r="L45" s="58"/>
      <c r="M45" s="58"/>
      <c r="N45" s="46" t="str">
        <f>IF(LECON!N45="","",LECON!N45)</f>
        <v/>
      </c>
      <c r="O45" s="44" t="str">
        <f>IF(LECON!O45="","",LECON!O45)</f>
        <v/>
      </c>
      <c r="P45" s="44" t="str">
        <f>IF(LECON!P45="","",LECON!P45)</f>
        <v/>
      </c>
      <c r="Q45" s="46" t="str">
        <f>IF(LECON!Q45="","",LECON!Q45)</f>
        <v/>
      </c>
      <c r="R45" s="44" t="str">
        <f>IF(LECON!R45="","",LECON!R45)</f>
        <v/>
      </c>
    </row>
    <row r="46" spans="1:18" x14ac:dyDescent="0.25">
      <c r="A46" s="57" t="str">
        <f>IF(LECON!A46="","",LECON!A46)</f>
        <v/>
      </c>
      <c r="B46" s="57" t="str">
        <f>IF(LECON!B46="","",LECON!B46)</f>
        <v/>
      </c>
      <c r="C46" s="57" t="str">
        <f>IF(LECON!C46="","",LECON!C46)</f>
        <v/>
      </c>
      <c r="D46" s="44"/>
      <c r="E46" s="57"/>
      <c r="F46" s="57"/>
      <c r="G46" s="48" t="str">
        <f>IF(LECON!G46="","",LECON!G46)</f>
        <v/>
      </c>
      <c r="H46" s="44" t="str">
        <f>IF(LECON!H46="","",LECON!H46)</f>
        <v/>
      </c>
      <c r="I46" s="48" t="str">
        <f>IF(LECON!I46="","",LECON!I46)</f>
        <v/>
      </c>
      <c r="J46" s="48" t="str">
        <f>IF(LECON!J46="","",LECON!J46)</f>
        <v/>
      </c>
      <c r="K46" s="44"/>
      <c r="L46" s="57"/>
      <c r="M46" s="57"/>
      <c r="N46" s="46" t="str">
        <f>IF(LECON!N46="","",LECON!N46)</f>
        <v/>
      </c>
      <c r="O46" s="44" t="str">
        <f>IF(LECON!O46="","",LECON!O46)</f>
        <v/>
      </c>
      <c r="P46" s="44" t="str">
        <f>IF(LECON!P46="","",LECON!P46)</f>
        <v/>
      </c>
      <c r="Q46" s="46" t="str">
        <f>IF(LECON!Q46="","",LECON!Q46)</f>
        <v/>
      </c>
      <c r="R46" s="44" t="str">
        <f>IF(LECON!R46="","",LECON!R46)</f>
        <v/>
      </c>
    </row>
    <row r="47" spans="1:18" x14ac:dyDescent="0.25">
      <c r="A47" s="57" t="str">
        <f>IF(LECON!A47="","",LECON!A47)</f>
        <v/>
      </c>
      <c r="B47" s="57" t="str">
        <f>IF(LECON!B47="","",LECON!B47)</f>
        <v/>
      </c>
      <c r="C47" s="57" t="str">
        <f>IF(LECON!C47="","",LECON!C47)</f>
        <v/>
      </c>
      <c r="D47" s="45"/>
      <c r="E47" s="58"/>
      <c r="F47" s="58"/>
      <c r="G47" s="48" t="str">
        <f>IF(LECON!G47="","",LECON!G47)</f>
        <v/>
      </c>
      <c r="H47" s="44" t="str">
        <f>IF(LECON!H47="","",LECON!H47)</f>
        <v/>
      </c>
      <c r="I47" s="48" t="str">
        <f>IF(LECON!I47="","",LECON!I47)</f>
        <v/>
      </c>
      <c r="J47" s="48" t="str">
        <f>IF(LECON!J47="","",LECON!J47)</f>
        <v/>
      </c>
      <c r="K47" s="45"/>
      <c r="L47" s="58"/>
      <c r="M47" s="58"/>
      <c r="N47" s="46" t="str">
        <f>IF(LECON!N47="","",LECON!N47)</f>
        <v/>
      </c>
      <c r="O47" s="44" t="str">
        <f>IF(LECON!O47="","",LECON!O47)</f>
        <v/>
      </c>
      <c r="P47" s="44" t="str">
        <f>IF(LECON!P47="","",LECON!P47)</f>
        <v/>
      </c>
      <c r="Q47" s="46" t="str">
        <f>IF(LECON!Q47="","",LECON!Q47)</f>
        <v/>
      </c>
      <c r="R47" s="44" t="str">
        <f>IF(LECON!R47="","",LECON!R47)</f>
        <v/>
      </c>
    </row>
    <row r="48" spans="1:18" x14ac:dyDescent="0.25">
      <c r="A48" s="57" t="str">
        <f>IF(LECON!A48="","",LECON!A48)</f>
        <v/>
      </c>
      <c r="B48" s="57" t="str">
        <f>IF(LECON!B48="","",LECON!B48)</f>
        <v/>
      </c>
      <c r="C48" s="57" t="str">
        <f>IF(LECON!C48="","",LECON!C48)</f>
        <v/>
      </c>
      <c r="D48" s="44"/>
      <c r="E48" s="57"/>
      <c r="F48" s="57"/>
      <c r="G48" s="48" t="str">
        <f>IF(LECON!G48="","",LECON!G48)</f>
        <v/>
      </c>
      <c r="H48" s="44" t="str">
        <f>IF(LECON!H48="","",LECON!H48)</f>
        <v/>
      </c>
      <c r="I48" s="48" t="str">
        <f>IF(LECON!I48="","",LECON!I48)</f>
        <v/>
      </c>
      <c r="J48" s="48" t="str">
        <f>IF(LECON!J48="","",LECON!J48)</f>
        <v/>
      </c>
      <c r="K48" s="44"/>
      <c r="L48" s="57"/>
      <c r="M48" s="57"/>
      <c r="N48" s="46" t="str">
        <f>IF(LECON!N48="","",LECON!N48)</f>
        <v/>
      </c>
      <c r="O48" s="44" t="str">
        <f>IF(LECON!O48="","",LECON!O48)</f>
        <v/>
      </c>
      <c r="P48" s="44" t="str">
        <f>IF(LECON!P48="","",LECON!P48)</f>
        <v/>
      </c>
      <c r="Q48" s="46" t="str">
        <f>IF(LECON!Q48="","",LECON!Q48)</f>
        <v/>
      </c>
      <c r="R48" s="44" t="str">
        <f>IF(LECON!R48="","",LECON!R48)</f>
        <v/>
      </c>
    </row>
    <row r="49" spans="1:18" x14ac:dyDescent="0.25">
      <c r="A49" s="57" t="str">
        <f>IF(LECON!A49="","",LECON!A49)</f>
        <v/>
      </c>
      <c r="B49" s="57" t="str">
        <f>IF(LECON!B49="","",LECON!B49)</f>
        <v/>
      </c>
      <c r="C49" s="57" t="str">
        <f>IF(LECON!C49="","",LECON!C49)</f>
        <v/>
      </c>
      <c r="D49" s="45"/>
      <c r="E49" s="58"/>
      <c r="F49" s="58"/>
      <c r="G49" s="48" t="str">
        <f>IF(LECON!G49="","",LECON!G49)</f>
        <v/>
      </c>
      <c r="H49" s="44" t="str">
        <f>IF(LECON!H49="","",LECON!H49)</f>
        <v/>
      </c>
      <c r="I49" s="48" t="str">
        <f>IF(LECON!I49="","",LECON!I49)</f>
        <v/>
      </c>
      <c r="J49" s="48" t="str">
        <f>IF(LECON!J49="","",LECON!J49)</f>
        <v/>
      </c>
      <c r="K49" s="45"/>
      <c r="L49" s="58"/>
      <c r="M49" s="58"/>
      <c r="N49" s="46" t="str">
        <f>IF(LECON!N49="","",LECON!N49)</f>
        <v/>
      </c>
      <c r="O49" s="44" t="str">
        <f>IF(LECON!O49="","",LECON!O49)</f>
        <v/>
      </c>
      <c r="P49" s="44" t="str">
        <f>IF(LECON!P49="","",LECON!P49)</f>
        <v/>
      </c>
      <c r="Q49" s="46" t="str">
        <f>IF(LECON!Q49="","",LECON!Q49)</f>
        <v/>
      </c>
      <c r="R49" s="44" t="str">
        <f>IF(LECON!R49="","",LECON!R49)</f>
        <v/>
      </c>
    </row>
    <row r="50" spans="1:18" x14ac:dyDescent="0.25">
      <c r="A50" s="57" t="str">
        <f>IF(LECON!A50="","",LECON!A50)</f>
        <v/>
      </c>
      <c r="B50" s="57" t="str">
        <f>IF(LECON!B50="","",LECON!B50)</f>
        <v/>
      </c>
      <c r="C50" s="57" t="str">
        <f>IF(LECON!C50="","",LECON!C50)</f>
        <v/>
      </c>
      <c r="D50" s="44"/>
      <c r="E50" s="57"/>
      <c r="F50" s="57"/>
      <c r="G50" s="48" t="str">
        <f>IF(LECON!G50="","",LECON!G50)</f>
        <v/>
      </c>
      <c r="H50" s="44" t="str">
        <f>IF(LECON!H50="","",LECON!H50)</f>
        <v/>
      </c>
      <c r="I50" s="48" t="str">
        <f>IF(LECON!I50="","",LECON!I50)</f>
        <v/>
      </c>
      <c r="J50" s="48" t="str">
        <f>IF(LECON!J50="","",LECON!J50)</f>
        <v/>
      </c>
      <c r="K50" s="44"/>
      <c r="L50" s="57"/>
      <c r="M50" s="57"/>
      <c r="N50" s="46" t="str">
        <f>IF(LECON!N50="","",LECON!N50)</f>
        <v/>
      </c>
      <c r="O50" s="44" t="str">
        <f>IF(LECON!O50="","",LECON!O50)</f>
        <v/>
      </c>
      <c r="P50" s="44" t="str">
        <f>IF(LECON!P50="","",LECON!P50)</f>
        <v/>
      </c>
      <c r="Q50" s="46" t="str">
        <f>IF(LECON!Q50="","",LECON!Q50)</f>
        <v/>
      </c>
      <c r="R50" s="44" t="str">
        <f>IF(LECON!R50="","",LECON!R50)</f>
        <v/>
      </c>
    </row>
    <row r="51" spans="1:18" x14ac:dyDescent="0.25">
      <c r="A51" s="57" t="str">
        <f>IF(LECON!A51="","",LECON!A51)</f>
        <v/>
      </c>
      <c r="B51" s="57" t="str">
        <f>IF(LECON!B51="","",LECON!B51)</f>
        <v/>
      </c>
      <c r="C51" s="57" t="str">
        <f>IF(LECON!C51="","",LECON!C51)</f>
        <v/>
      </c>
      <c r="D51" s="45"/>
      <c r="E51" s="58"/>
      <c r="F51" s="58"/>
      <c r="G51" s="48" t="str">
        <f>IF(LECON!G51="","",LECON!G51)</f>
        <v/>
      </c>
      <c r="H51" s="44" t="str">
        <f>IF(LECON!H51="","",LECON!H51)</f>
        <v/>
      </c>
      <c r="I51" s="48" t="str">
        <f>IF(LECON!I51="","",LECON!I51)</f>
        <v/>
      </c>
      <c r="J51" s="48" t="str">
        <f>IF(LECON!J51="","",LECON!J51)</f>
        <v/>
      </c>
      <c r="K51" s="45"/>
      <c r="L51" s="58"/>
      <c r="M51" s="58"/>
      <c r="N51" s="46" t="str">
        <f>IF(LECON!N51="","",LECON!N51)</f>
        <v/>
      </c>
      <c r="O51" s="44" t="str">
        <f>IF(LECON!O51="","",LECON!O51)</f>
        <v/>
      </c>
      <c r="P51" s="44" t="str">
        <f>IF(LECON!P51="","",LECON!P51)</f>
        <v/>
      </c>
      <c r="Q51" s="46" t="str">
        <f>IF(LECON!Q51="","",LECON!Q51)</f>
        <v/>
      </c>
      <c r="R51" s="44" t="str">
        <f>IF(LECON!R51="","",LECON!R51)</f>
        <v/>
      </c>
    </row>
    <row r="52" spans="1:18" x14ac:dyDescent="0.25">
      <c r="A52" s="57" t="str">
        <f>IF(LECON!A52="","",LECON!A52)</f>
        <v/>
      </c>
      <c r="B52" s="57" t="str">
        <f>IF(LECON!B52="","",LECON!B52)</f>
        <v/>
      </c>
      <c r="C52" s="57" t="str">
        <f>IF(LECON!C52="","",LECON!C52)</f>
        <v/>
      </c>
      <c r="D52" s="44"/>
      <c r="E52" s="57"/>
      <c r="F52" s="57"/>
      <c r="G52" s="48" t="str">
        <f>IF(LECON!G52="","",LECON!G52)</f>
        <v/>
      </c>
      <c r="H52" s="44" t="str">
        <f>IF(LECON!H52="","",LECON!H52)</f>
        <v/>
      </c>
      <c r="I52" s="48" t="str">
        <f>IF(LECON!I52="","",LECON!I52)</f>
        <v/>
      </c>
      <c r="J52" s="48" t="str">
        <f>IF(LECON!J52="","",LECON!J52)</f>
        <v/>
      </c>
      <c r="K52" s="44"/>
      <c r="L52" s="57"/>
      <c r="M52" s="57"/>
      <c r="N52" s="46" t="str">
        <f>IF(LECON!N52="","",LECON!N52)</f>
        <v/>
      </c>
      <c r="O52" s="44" t="str">
        <f>IF(LECON!O52="","",LECON!O52)</f>
        <v/>
      </c>
      <c r="P52" s="44" t="str">
        <f>IF(LECON!P52="","",LECON!P52)</f>
        <v/>
      </c>
      <c r="Q52" s="46" t="str">
        <f>IF(LECON!Q52="","",LECON!Q52)</f>
        <v/>
      </c>
      <c r="R52" s="44" t="str">
        <f>IF(LECON!R52="","",LECON!R52)</f>
        <v/>
      </c>
    </row>
    <row r="53" spans="1:18" x14ac:dyDescent="0.25">
      <c r="A53" s="57" t="str">
        <f>IF(LECON!A53="","",LECON!A53)</f>
        <v/>
      </c>
      <c r="B53" s="57" t="str">
        <f>IF(LECON!B53="","",LECON!B53)</f>
        <v/>
      </c>
      <c r="C53" s="57" t="str">
        <f>IF(LECON!C53="","",LECON!C53)</f>
        <v/>
      </c>
      <c r="D53" s="45"/>
      <c r="E53" s="58"/>
      <c r="F53" s="58"/>
      <c r="G53" s="48" t="str">
        <f>IF(LECON!G53="","",LECON!G53)</f>
        <v/>
      </c>
      <c r="H53" s="44" t="str">
        <f>IF(LECON!H53="","",LECON!H53)</f>
        <v/>
      </c>
      <c r="I53" s="48" t="str">
        <f>IF(LECON!I53="","",LECON!I53)</f>
        <v/>
      </c>
      <c r="J53" s="48" t="str">
        <f>IF(LECON!J53="","",LECON!J53)</f>
        <v/>
      </c>
      <c r="K53" s="45"/>
      <c r="L53" s="58"/>
      <c r="M53" s="58"/>
      <c r="N53" s="46" t="str">
        <f>IF(LECON!N53="","",LECON!N53)</f>
        <v/>
      </c>
      <c r="O53" s="44" t="str">
        <f>IF(LECON!O53="","",LECON!O53)</f>
        <v/>
      </c>
      <c r="P53" s="44" t="str">
        <f>IF(LECON!P53="","",LECON!P53)</f>
        <v/>
      </c>
      <c r="Q53" s="46" t="str">
        <f>IF(LECON!Q53="","",LECON!Q53)</f>
        <v/>
      </c>
      <c r="R53" s="44" t="str">
        <f>IF(LECON!R53="","",LECON!R53)</f>
        <v/>
      </c>
    </row>
    <row r="54" spans="1:18" x14ac:dyDescent="0.25">
      <c r="A54" s="57" t="str">
        <f>IF(LECON!A54="","",LECON!A54)</f>
        <v/>
      </c>
      <c r="B54" s="57" t="str">
        <f>IF(LECON!B54="","",LECON!B54)</f>
        <v/>
      </c>
      <c r="C54" s="57" t="str">
        <f>IF(LECON!C54="","",LECON!C54)</f>
        <v/>
      </c>
      <c r="D54" s="44"/>
      <c r="E54" s="57"/>
      <c r="F54" s="57"/>
      <c r="G54" s="48" t="str">
        <f>IF(LECON!G54="","",LECON!G54)</f>
        <v/>
      </c>
      <c r="H54" s="44" t="str">
        <f>IF(LECON!H54="","",LECON!H54)</f>
        <v/>
      </c>
      <c r="I54" s="48" t="str">
        <f>IF(LECON!I54="","",LECON!I54)</f>
        <v/>
      </c>
      <c r="J54" s="48" t="str">
        <f>IF(LECON!J54="","",LECON!J54)</f>
        <v/>
      </c>
      <c r="K54" s="44"/>
      <c r="L54" s="57"/>
      <c r="M54" s="57"/>
      <c r="N54" s="46" t="str">
        <f>IF(LECON!N54="","",LECON!N54)</f>
        <v/>
      </c>
      <c r="O54" s="44" t="str">
        <f>IF(LECON!O54="","",LECON!O54)</f>
        <v/>
      </c>
      <c r="P54" s="44" t="str">
        <f>IF(LECON!P54="","",LECON!P54)</f>
        <v/>
      </c>
      <c r="Q54" s="46" t="str">
        <f>IF(LECON!Q54="","",LECON!Q54)</f>
        <v/>
      </c>
      <c r="R54" s="44" t="str">
        <f>IF(LECON!R54="","",LECON!R54)</f>
        <v/>
      </c>
    </row>
    <row r="55" spans="1:18" x14ac:dyDescent="0.25">
      <c r="A55" s="57" t="str">
        <f>IF(LECON!A55="","",LECON!A55)</f>
        <v/>
      </c>
      <c r="B55" s="57" t="str">
        <f>IF(LECON!B55="","",LECON!B55)</f>
        <v/>
      </c>
      <c r="C55" s="57" t="str">
        <f>IF(LECON!C55="","",LECON!C55)</f>
        <v/>
      </c>
      <c r="D55" s="45"/>
      <c r="E55" s="58"/>
      <c r="F55" s="58"/>
      <c r="G55" s="48" t="str">
        <f>IF(LECON!G55="","",LECON!G55)</f>
        <v/>
      </c>
      <c r="H55" s="44" t="str">
        <f>IF(LECON!H55="","",LECON!H55)</f>
        <v/>
      </c>
      <c r="I55" s="48" t="str">
        <f>IF(LECON!I55="","",LECON!I55)</f>
        <v/>
      </c>
      <c r="J55" s="48" t="str">
        <f>IF(LECON!J55="","",LECON!J55)</f>
        <v/>
      </c>
      <c r="K55" s="45"/>
      <c r="L55" s="58"/>
      <c r="M55" s="58"/>
      <c r="N55" s="46" t="str">
        <f>IF(LECON!N55="","",LECON!N55)</f>
        <v/>
      </c>
      <c r="O55" s="44" t="str">
        <f>IF(LECON!O55="","",LECON!O55)</f>
        <v/>
      </c>
      <c r="P55" s="44" t="str">
        <f>IF(LECON!P55="","",LECON!P55)</f>
        <v/>
      </c>
      <c r="Q55" s="46" t="str">
        <f>IF(LECON!Q55="","",LECON!Q55)</f>
        <v/>
      </c>
      <c r="R55" s="44" t="str">
        <f>IF(LECON!R55="","",LECON!R55)</f>
        <v/>
      </c>
    </row>
    <row r="56" spans="1:18" x14ac:dyDescent="0.25">
      <c r="A56" s="57" t="str">
        <f>IF(LECON!A56="","",LECON!A56)</f>
        <v/>
      </c>
      <c r="B56" s="57" t="str">
        <f>IF(LECON!B56="","",LECON!B56)</f>
        <v/>
      </c>
      <c r="C56" s="57" t="str">
        <f>IF(LECON!C56="","",LECON!C56)</f>
        <v/>
      </c>
      <c r="D56" s="44"/>
      <c r="E56" s="57"/>
      <c r="F56" s="57"/>
      <c r="G56" s="48" t="str">
        <f>IF(LECON!G56="","",LECON!G56)</f>
        <v/>
      </c>
      <c r="H56" s="44" t="str">
        <f>IF(LECON!H56="","",LECON!H56)</f>
        <v/>
      </c>
      <c r="I56" s="48" t="str">
        <f>IF(LECON!I56="","",LECON!I56)</f>
        <v/>
      </c>
      <c r="J56" s="48" t="str">
        <f>IF(LECON!J56="","",LECON!J56)</f>
        <v/>
      </c>
      <c r="K56" s="44"/>
      <c r="L56" s="57"/>
      <c r="M56" s="57"/>
      <c r="N56" s="46" t="str">
        <f>IF(LECON!N56="","",LECON!N56)</f>
        <v/>
      </c>
      <c r="O56" s="44" t="str">
        <f>IF(LECON!O56="","",LECON!O56)</f>
        <v/>
      </c>
      <c r="P56" s="44" t="str">
        <f>IF(LECON!P56="","",LECON!P56)</f>
        <v/>
      </c>
      <c r="Q56" s="46" t="str">
        <f>IF(LECON!Q56="","",LECON!Q56)</f>
        <v/>
      </c>
      <c r="R56" s="44" t="str">
        <f>IF(LECON!R56="","",LECON!R56)</f>
        <v/>
      </c>
    </row>
    <row r="57" spans="1:18" x14ac:dyDescent="0.25">
      <c r="A57" s="57" t="str">
        <f>IF(LECON!A57="","",LECON!A57)</f>
        <v/>
      </c>
      <c r="B57" s="57" t="str">
        <f>IF(LECON!B57="","",LECON!B57)</f>
        <v/>
      </c>
      <c r="C57" s="57" t="str">
        <f>IF(LECON!C57="","",LECON!C57)</f>
        <v/>
      </c>
      <c r="D57" s="45"/>
      <c r="E57" s="58"/>
      <c r="F57" s="58"/>
      <c r="G57" s="48" t="str">
        <f>IF(LECON!G57="","",LECON!G57)</f>
        <v/>
      </c>
      <c r="H57" s="44" t="str">
        <f>IF(LECON!H57="","",LECON!H57)</f>
        <v/>
      </c>
      <c r="I57" s="48" t="str">
        <f>IF(LECON!I57="","",LECON!I57)</f>
        <v/>
      </c>
      <c r="J57" s="48" t="str">
        <f>IF(LECON!J57="","",LECON!J57)</f>
        <v/>
      </c>
      <c r="K57" s="45"/>
      <c r="L57" s="58"/>
      <c r="M57" s="58"/>
      <c r="N57" s="46" t="str">
        <f>IF(LECON!N57="","",LECON!N57)</f>
        <v/>
      </c>
      <c r="O57" s="44" t="str">
        <f>IF(LECON!O57="","",LECON!O57)</f>
        <v/>
      </c>
      <c r="P57" s="44" t="str">
        <f>IF(LECON!P57="","",LECON!P57)</f>
        <v/>
      </c>
      <c r="Q57" s="46" t="str">
        <f>IF(LECON!Q57="","",LECON!Q57)</f>
        <v/>
      </c>
      <c r="R57" s="44" t="str">
        <f>IF(LECON!R57="","",LECON!R57)</f>
        <v/>
      </c>
    </row>
    <row r="58" spans="1:18" x14ac:dyDescent="0.25">
      <c r="A58" s="57" t="str">
        <f>IF(LECON!A58="","",LECON!A58)</f>
        <v/>
      </c>
      <c r="B58" s="57" t="str">
        <f>IF(LECON!B58="","",LECON!B58)</f>
        <v/>
      </c>
      <c r="C58" s="57" t="str">
        <f>IF(LECON!C58="","",LECON!C58)</f>
        <v/>
      </c>
      <c r="D58" s="44"/>
      <c r="E58" s="57"/>
      <c r="F58" s="57"/>
      <c r="G58" s="48" t="str">
        <f>IF(LECON!G58="","",LECON!G58)</f>
        <v/>
      </c>
      <c r="H58" s="44" t="str">
        <f>IF(LECON!H58="","",LECON!H58)</f>
        <v/>
      </c>
      <c r="I58" s="48" t="str">
        <f>IF(LECON!I58="","",LECON!I58)</f>
        <v/>
      </c>
      <c r="J58" s="48" t="str">
        <f>IF(LECON!J58="","",LECON!J58)</f>
        <v/>
      </c>
      <c r="K58" s="44"/>
      <c r="L58" s="57"/>
      <c r="M58" s="57"/>
      <c r="N58" s="46" t="str">
        <f>IF(LECON!N58="","",LECON!N58)</f>
        <v/>
      </c>
      <c r="O58" s="44" t="str">
        <f>IF(LECON!O58="","",LECON!O58)</f>
        <v/>
      </c>
      <c r="P58" s="44" t="str">
        <f>IF(LECON!P58="","",LECON!P58)</f>
        <v/>
      </c>
      <c r="Q58" s="46" t="str">
        <f>IF(LECON!Q58="","",LECON!Q58)</f>
        <v/>
      </c>
      <c r="R58" s="44" t="str">
        <f>IF(LECON!R58="","",LECON!R58)</f>
        <v/>
      </c>
    </row>
    <row r="59" spans="1:18" x14ac:dyDescent="0.25">
      <c r="A59" s="57" t="str">
        <f>IF(LECON!A59="","",LECON!A59)</f>
        <v/>
      </c>
      <c r="B59" s="57" t="str">
        <f>IF(LECON!B59="","",LECON!B59)</f>
        <v/>
      </c>
      <c r="C59" s="57" t="str">
        <f>IF(LECON!C59="","",LECON!C59)</f>
        <v/>
      </c>
      <c r="D59" s="45"/>
      <c r="E59" s="58"/>
      <c r="F59" s="58"/>
      <c r="G59" s="48" t="str">
        <f>IF(LECON!G59="","",LECON!G59)</f>
        <v/>
      </c>
      <c r="H59" s="44" t="str">
        <f>IF(LECON!H59="","",LECON!H59)</f>
        <v/>
      </c>
      <c r="I59" s="48" t="str">
        <f>IF(LECON!I59="","",LECON!I59)</f>
        <v/>
      </c>
      <c r="J59" s="48" t="str">
        <f>IF(LECON!J59="","",LECON!J59)</f>
        <v/>
      </c>
      <c r="K59" s="45"/>
      <c r="L59" s="58"/>
      <c r="M59" s="58"/>
      <c r="N59" s="46" t="str">
        <f>IF(LECON!N59="","",LECON!N59)</f>
        <v/>
      </c>
      <c r="O59" s="44" t="str">
        <f>IF(LECON!O59="","",LECON!O59)</f>
        <v/>
      </c>
      <c r="P59" s="44" t="str">
        <f>IF(LECON!P59="","",LECON!P59)</f>
        <v/>
      </c>
      <c r="Q59" s="46" t="str">
        <f>IF(LECON!Q59="","",LECON!Q59)</f>
        <v/>
      </c>
      <c r="R59" s="44" t="str">
        <f>IF(LECON!R59="","",LECON!R59)</f>
        <v/>
      </c>
    </row>
    <row r="60" spans="1:18" x14ac:dyDescent="0.25">
      <c r="A60" s="57" t="str">
        <f>IF(LECON!A60="","",LECON!A60)</f>
        <v/>
      </c>
      <c r="B60" s="57" t="str">
        <f>IF(LECON!B60="","",LECON!B60)</f>
        <v/>
      </c>
      <c r="C60" s="57" t="str">
        <f>IF(LECON!C60="","",LECON!C60)</f>
        <v/>
      </c>
      <c r="D60" s="44"/>
      <c r="E60" s="57"/>
      <c r="F60" s="57"/>
      <c r="G60" s="48" t="str">
        <f>IF(LECON!G60="","",LECON!G60)</f>
        <v/>
      </c>
      <c r="H60" s="44" t="str">
        <f>IF(LECON!H60="","",LECON!H60)</f>
        <v/>
      </c>
      <c r="I60" s="48" t="str">
        <f>IF(LECON!I60="","",LECON!I60)</f>
        <v/>
      </c>
      <c r="J60" s="48" t="str">
        <f>IF(LECON!J60="","",LECON!J60)</f>
        <v/>
      </c>
      <c r="K60" s="44"/>
      <c r="L60" s="57"/>
      <c r="M60" s="57"/>
      <c r="N60" s="46" t="str">
        <f>IF(LECON!N60="","",LECON!N60)</f>
        <v/>
      </c>
      <c r="O60" s="44" t="str">
        <f>IF(LECON!O60="","",LECON!O60)</f>
        <v/>
      </c>
      <c r="P60" s="44" t="str">
        <f>IF(LECON!P60="","",LECON!P60)</f>
        <v/>
      </c>
      <c r="Q60" s="46" t="str">
        <f>IF(LECON!Q60="","",LECON!Q60)</f>
        <v/>
      </c>
      <c r="R60" s="44" t="str">
        <f>IF(LECON!R60="","",LECON!R60)</f>
        <v/>
      </c>
    </row>
    <row r="61" spans="1:18" x14ac:dyDescent="0.25">
      <c r="A61" s="57" t="str">
        <f>IF(LECON!A61="","",LECON!A61)</f>
        <v/>
      </c>
      <c r="B61" s="57" t="str">
        <f>IF(LECON!B61="","",LECON!B61)</f>
        <v/>
      </c>
      <c r="C61" s="57" t="str">
        <f>IF(LECON!C61="","",LECON!C61)</f>
        <v/>
      </c>
      <c r="D61" s="45"/>
      <c r="E61" s="58"/>
      <c r="F61" s="58"/>
      <c r="G61" s="48" t="str">
        <f>IF(LECON!G61="","",LECON!G61)</f>
        <v/>
      </c>
      <c r="H61" s="44" t="str">
        <f>IF(LECON!H61="","",LECON!H61)</f>
        <v/>
      </c>
      <c r="I61" s="48" t="str">
        <f>IF(LECON!I61="","",LECON!I61)</f>
        <v/>
      </c>
      <c r="J61" s="48" t="str">
        <f>IF(LECON!J61="","",LECON!J61)</f>
        <v/>
      </c>
      <c r="K61" s="45"/>
      <c r="L61" s="58"/>
      <c r="M61" s="58"/>
      <c r="N61" s="46" t="str">
        <f>IF(LECON!N61="","",LECON!N61)</f>
        <v/>
      </c>
      <c r="O61" s="44" t="str">
        <f>IF(LECON!O61="","",LECON!O61)</f>
        <v/>
      </c>
      <c r="P61" s="44" t="str">
        <f>IF(LECON!P61="","",LECON!P61)</f>
        <v/>
      </c>
      <c r="Q61" s="46" t="str">
        <f>IF(LECON!Q61="","",LECON!Q61)</f>
        <v/>
      </c>
      <c r="R61" s="44" t="str">
        <f>IF(LECON!R61="","",LECON!R61)</f>
        <v/>
      </c>
    </row>
    <row r="62" spans="1:18" x14ac:dyDescent="0.25">
      <c r="A62" s="57" t="str">
        <f>IF(LECON!A62="","",LECON!A62)</f>
        <v/>
      </c>
      <c r="B62" s="57" t="str">
        <f>IF(LECON!B62="","",LECON!B62)</f>
        <v/>
      </c>
      <c r="C62" s="57" t="str">
        <f>IF(LECON!C62="","",LECON!C62)</f>
        <v/>
      </c>
      <c r="D62" s="44"/>
      <c r="E62" s="57"/>
      <c r="F62" s="57"/>
      <c r="G62" s="48" t="str">
        <f>IF(LECON!G62="","",LECON!G62)</f>
        <v/>
      </c>
      <c r="H62" s="44" t="str">
        <f>IF(LECON!H62="","",LECON!H62)</f>
        <v/>
      </c>
      <c r="I62" s="48" t="str">
        <f>IF(LECON!I62="","",LECON!I62)</f>
        <v/>
      </c>
      <c r="J62" s="48" t="str">
        <f>IF(LECON!J62="","",LECON!J62)</f>
        <v/>
      </c>
      <c r="K62" s="44"/>
      <c r="L62" s="57"/>
      <c r="M62" s="57"/>
      <c r="N62" s="46" t="str">
        <f>IF(LECON!N62="","",LECON!N62)</f>
        <v/>
      </c>
      <c r="O62" s="44" t="str">
        <f>IF(LECON!O62="","",LECON!O62)</f>
        <v/>
      </c>
      <c r="P62" s="44" t="str">
        <f>IF(LECON!P62="","",LECON!P62)</f>
        <v/>
      </c>
      <c r="Q62" s="46" t="str">
        <f>IF(LECON!Q62="","",LECON!Q62)</f>
        <v/>
      </c>
      <c r="R62" s="44" t="str">
        <f>IF(LECON!R62="","",LECON!R62)</f>
        <v/>
      </c>
    </row>
    <row r="63" spans="1:18" x14ac:dyDescent="0.25">
      <c r="A63" s="57" t="str">
        <f>IF(LECON!A63="","",LECON!A63)</f>
        <v/>
      </c>
      <c r="B63" s="57" t="str">
        <f>IF(LECON!B63="","",LECON!B63)</f>
        <v/>
      </c>
      <c r="C63" s="57" t="str">
        <f>IF(LECON!C63="","",LECON!C63)</f>
        <v/>
      </c>
      <c r="D63" s="45"/>
      <c r="E63" s="58"/>
      <c r="F63" s="58"/>
      <c r="G63" s="48" t="str">
        <f>IF(LECON!G63="","",LECON!G63)</f>
        <v/>
      </c>
      <c r="H63" s="44" t="str">
        <f>IF(LECON!H63="","",LECON!H63)</f>
        <v/>
      </c>
      <c r="I63" s="48" t="str">
        <f>IF(LECON!I63="","",LECON!I63)</f>
        <v/>
      </c>
      <c r="J63" s="48" t="str">
        <f>IF(LECON!J63="","",LECON!J63)</f>
        <v/>
      </c>
      <c r="K63" s="45"/>
      <c r="L63" s="58"/>
      <c r="M63" s="58"/>
      <c r="N63" s="46" t="str">
        <f>IF(LECON!N63="","",LECON!N63)</f>
        <v/>
      </c>
      <c r="O63" s="44" t="str">
        <f>IF(LECON!O63="","",LECON!O63)</f>
        <v/>
      </c>
      <c r="P63" s="44" t="str">
        <f>IF(LECON!P63="","",LECON!P63)</f>
        <v/>
      </c>
      <c r="Q63" s="46" t="str">
        <f>IF(LECON!Q63="","",LECON!Q63)</f>
        <v/>
      </c>
      <c r="R63" s="44" t="str">
        <f>IF(LECON!R63="","",LECON!R63)</f>
        <v/>
      </c>
    </row>
    <row r="64" spans="1:18" x14ac:dyDescent="0.25">
      <c r="A64" s="57" t="str">
        <f>IF(LECON!A64="","",LECON!A64)</f>
        <v/>
      </c>
      <c r="B64" s="57" t="str">
        <f>IF(LECON!B64="","",LECON!B64)</f>
        <v/>
      </c>
      <c r="C64" s="57" t="str">
        <f>IF(LECON!C64="","",LECON!C64)</f>
        <v/>
      </c>
      <c r="D64" s="44"/>
      <c r="E64" s="57"/>
      <c r="F64" s="57"/>
      <c r="G64" s="48" t="str">
        <f>IF(LECON!G64="","",LECON!G64)</f>
        <v/>
      </c>
      <c r="H64" s="44" t="str">
        <f>IF(LECON!H64="","",LECON!H64)</f>
        <v/>
      </c>
      <c r="I64" s="48" t="str">
        <f>IF(LECON!I64="","",LECON!I64)</f>
        <v/>
      </c>
      <c r="J64" s="48" t="str">
        <f>IF(LECON!J64="","",LECON!J64)</f>
        <v/>
      </c>
      <c r="K64" s="44"/>
      <c r="L64" s="57"/>
      <c r="M64" s="57"/>
      <c r="N64" s="46" t="str">
        <f>IF(LECON!N64="","",LECON!N64)</f>
        <v/>
      </c>
      <c r="O64" s="44" t="str">
        <f>IF(LECON!O64="","",LECON!O64)</f>
        <v/>
      </c>
      <c r="P64" s="44" t="str">
        <f>IF(LECON!P64="","",LECON!P64)</f>
        <v/>
      </c>
      <c r="Q64" s="46" t="str">
        <f>IF(LECON!Q64="","",LECON!Q64)</f>
        <v/>
      </c>
      <c r="R64" s="44" t="str">
        <f>IF(LECON!R64="","",LECON!R64)</f>
        <v/>
      </c>
    </row>
    <row r="65" spans="1:18" x14ac:dyDescent="0.25">
      <c r="A65" s="57" t="str">
        <f>IF(LECON!A65="","",LECON!A65)</f>
        <v/>
      </c>
      <c r="B65" s="57" t="str">
        <f>IF(LECON!B65="","",LECON!B65)</f>
        <v/>
      </c>
      <c r="C65" s="57" t="str">
        <f>IF(LECON!C65="","",LECON!C65)</f>
        <v/>
      </c>
      <c r="D65" s="45"/>
      <c r="E65" s="58"/>
      <c r="F65" s="58"/>
      <c r="G65" s="48" t="str">
        <f>IF(LECON!G65="","",LECON!G65)</f>
        <v/>
      </c>
      <c r="H65" s="44" t="str">
        <f>IF(LECON!H65="","",LECON!H65)</f>
        <v/>
      </c>
      <c r="I65" s="48" t="str">
        <f>IF(LECON!I65="","",LECON!I65)</f>
        <v/>
      </c>
      <c r="J65" s="48" t="str">
        <f>IF(LECON!J65="","",LECON!J65)</f>
        <v/>
      </c>
      <c r="K65" s="45"/>
      <c r="L65" s="58"/>
      <c r="M65" s="58"/>
      <c r="N65" s="46" t="str">
        <f>IF(LECON!N65="","",LECON!N65)</f>
        <v/>
      </c>
      <c r="O65" s="44" t="str">
        <f>IF(LECON!O65="","",LECON!O65)</f>
        <v/>
      </c>
      <c r="P65" s="44" t="str">
        <f>IF(LECON!P65="","",LECON!P65)</f>
        <v/>
      </c>
      <c r="Q65" s="46" t="str">
        <f>IF(LECON!Q65="","",LECON!Q65)</f>
        <v/>
      </c>
      <c r="R65" s="44" t="str">
        <f>IF(LECON!R65="","",LECON!R65)</f>
        <v/>
      </c>
    </row>
    <row r="66" spans="1:18" x14ac:dyDescent="0.25">
      <c r="A66" s="57" t="str">
        <f>IF(LECON!A66="","",LECON!A66)</f>
        <v/>
      </c>
      <c r="B66" s="57" t="str">
        <f>IF(LECON!B66="","",LECON!B66)</f>
        <v/>
      </c>
      <c r="C66" s="57" t="str">
        <f>IF(LECON!C66="","",LECON!C66)</f>
        <v/>
      </c>
      <c r="D66" s="44"/>
      <c r="E66" s="57"/>
      <c r="F66" s="57"/>
      <c r="G66" s="48" t="str">
        <f>IF(LECON!G66="","",LECON!G66)</f>
        <v/>
      </c>
      <c r="H66" s="44" t="str">
        <f>IF(LECON!H66="","",LECON!H66)</f>
        <v/>
      </c>
      <c r="I66" s="48" t="str">
        <f>IF(LECON!I66="","",LECON!I66)</f>
        <v/>
      </c>
      <c r="J66" s="48" t="str">
        <f>IF(LECON!J66="","",LECON!J66)</f>
        <v/>
      </c>
      <c r="K66" s="44"/>
      <c r="L66" s="57"/>
      <c r="M66" s="57"/>
      <c r="N66" s="46" t="str">
        <f>IF(LECON!N66="","",LECON!N66)</f>
        <v/>
      </c>
      <c r="O66" s="44" t="str">
        <f>IF(LECON!O66="","",LECON!O66)</f>
        <v/>
      </c>
      <c r="P66" s="44" t="str">
        <f>IF(LECON!P66="","",LECON!P66)</f>
        <v/>
      </c>
      <c r="Q66" s="46" t="str">
        <f>IF(LECON!Q66="","",LECON!Q66)</f>
        <v/>
      </c>
      <c r="R66" s="44" t="str">
        <f>IF(LECON!R66="","",LECON!R66)</f>
        <v/>
      </c>
    </row>
    <row r="67" spans="1:18" x14ac:dyDescent="0.25">
      <c r="A67" s="57" t="str">
        <f>IF(LECON!A67="","",LECON!A67)</f>
        <v/>
      </c>
      <c r="B67" s="57" t="str">
        <f>IF(LECON!B67="","",LECON!B67)</f>
        <v/>
      </c>
      <c r="C67" s="57" t="str">
        <f>IF(LECON!C67="","",LECON!C67)</f>
        <v/>
      </c>
      <c r="D67" s="45"/>
      <c r="E67" s="58"/>
      <c r="F67" s="58"/>
      <c r="G67" s="48" t="str">
        <f>IF(LECON!G67="","",LECON!G67)</f>
        <v/>
      </c>
      <c r="H67" s="44" t="str">
        <f>IF(LECON!H67="","",LECON!H67)</f>
        <v/>
      </c>
      <c r="I67" s="48" t="str">
        <f>IF(LECON!I67="","",LECON!I67)</f>
        <v/>
      </c>
      <c r="J67" s="48" t="str">
        <f>IF(LECON!J67="","",LECON!J67)</f>
        <v/>
      </c>
      <c r="K67" s="45"/>
      <c r="L67" s="58"/>
      <c r="M67" s="58"/>
      <c r="N67" s="46" t="str">
        <f>IF(LECON!N67="","",LECON!N67)</f>
        <v/>
      </c>
      <c r="O67" s="44" t="str">
        <f>IF(LECON!O67="","",LECON!O67)</f>
        <v/>
      </c>
      <c r="P67" s="44" t="str">
        <f>IF(LECON!P67="","",LECON!P67)</f>
        <v/>
      </c>
      <c r="Q67" s="46" t="str">
        <f>IF(LECON!Q67="","",LECON!Q67)</f>
        <v/>
      </c>
      <c r="R67" s="44" t="str">
        <f>IF(LECON!R67="","",LECON!R67)</f>
        <v/>
      </c>
    </row>
    <row r="68" spans="1:18" x14ac:dyDescent="0.25">
      <c r="A68" s="57" t="str">
        <f>IF(LECON!A68="","",LECON!A68)</f>
        <v/>
      </c>
      <c r="B68" s="57" t="str">
        <f>IF(LECON!B68="","",LECON!B68)</f>
        <v/>
      </c>
      <c r="C68" s="57" t="str">
        <f>IF(LECON!C68="","",LECON!C68)</f>
        <v/>
      </c>
      <c r="D68" s="44"/>
      <c r="E68" s="57"/>
      <c r="F68" s="57"/>
      <c r="G68" s="48" t="str">
        <f>IF(LECON!G68="","",LECON!G68)</f>
        <v/>
      </c>
      <c r="H68" s="44" t="str">
        <f>IF(LECON!H68="","",LECON!H68)</f>
        <v/>
      </c>
      <c r="I68" s="48" t="str">
        <f>IF(LECON!I68="","",LECON!I68)</f>
        <v/>
      </c>
      <c r="J68" s="48" t="str">
        <f>IF(LECON!J68="","",LECON!J68)</f>
        <v/>
      </c>
      <c r="K68" s="44"/>
      <c r="L68" s="57"/>
      <c r="M68" s="57"/>
      <c r="N68" s="46" t="str">
        <f>IF(LECON!N68="","",LECON!N68)</f>
        <v/>
      </c>
      <c r="O68" s="44" t="str">
        <f>IF(LECON!O68="","",LECON!O68)</f>
        <v/>
      </c>
      <c r="P68" s="44" t="str">
        <f>IF(LECON!P68="","",LECON!P68)</f>
        <v/>
      </c>
      <c r="Q68" s="46" t="str">
        <f>IF(LECON!Q68="","",LECON!Q68)</f>
        <v/>
      </c>
      <c r="R68" s="44" t="str">
        <f>IF(LECON!R68="","",LECON!R68)</f>
        <v/>
      </c>
    </row>
    <row r="69" spans="1:18" x14ac:dyDescent="0.25">
      <c r="A69" s="57" t="str">
        <f>IF(LECON!A69="","",LECON!A69)</f>
        <v/>
      </c>
      <c r="B69" s="57" t="str">
        <f>IF(LECON!B69="","",LECON!B69)</f>
        <v/>
      </c>
      <c r="C69" s="57" t="str">
        <f>IF(LECON!C69="","",LECON!C69)</f>
        <v/>
      </c>
      <c r="D69" s="45"/>
      <c r="E69" s="58"/>
      <c r="F69" s="58"/>
      <c r="G69" s="48" t="str">
        <f>IF(LECON!G69="","",LECON!G69)</f>
        <v/>
      </c>
      <c r="H69" s="44" t="str">
        <f>IF(LECON!H69="","",LECON!H69)</f>
        <v/>
      </c>
      <c r="I69" s="48" t="str">
        <f>IF(LECON!I69="","",LECON!I69)</f>
        <v/>
      </c>
      <c r="J69" s="48" t="str">
        <f>IF(LECON!J69="","",LECON!J69)</f>
        <v/>
      </c>
      <c r="K69" s="45"/>
      <c r="L69" s="58"/>
      <c r="M69" s="58"/>
      <c r="N69" s="46" t="str">
        <f>IF(LECON!N69="","",LECON!N69)</f>
        <v/>
      </c>
      <c r="O69" s="44" t="str">
        <f>IF(LECON!O69="","",LECON!O69)</f>
        <v/>
      </c>
      <c r="P69" s="44" t="str">
        <f>IF(LECON!P69="","",LECON!P69)</f>
        <v/>
      </c>
      <c r="Q69" s="46" t="str">
        <f>IF(LECON!Q69="","",LECON!Q69)</f>
        <v/>
      </c>
      <c r="R69" s="44" t="str">
        <f>IF(LECON!R69="","",LECON!R69)</f>
        <v/>
      </c>
    </row>
    <row r="70" spans="1:18" x14ac:dyDescent="0.25">
      <c r="A70" s="57" t="str">
        <f>IF(LECON!A70="","",LECON!A70)</f>
        <v/>
      </c>
      <c r="B70" s="57" t="str">
        <f>IF(LECON!B70="","",LECON!B70)</f>
        <v/>
      </c>
      <c r="C70" s="57" t="str">
        <f>IF(LECON!C70="","",LECON!C70)</f>
        <v/>
      </c>
      <c r="D70" s="44"/>
      <c r="E70" s="57"/>
      <c r="F70" s="57"/>
      <c r="G70" s="48" t="str">
        <f>IF(LECON!G70="","",LECON!G70)</f>
        <v/>
      </c>
      <c r="H70" s="44" t="str">
        <f>IF(LECON!H70="","",LECON!H70)</f>
        <v/>
      </c>
      <c r="I70" s="48" t="str">
        <f>IF(LECON!I70="","",LECON!I70)</f>
        <v/>
      </c>
      <c r="J70" s="48" t="str">
        <f>IF(LECON!J70="","",LECON!J70)</f>
        <v/>
      </c>
      <c r="K70" s="44"/>
      <c r="L70" s="57"/>
      <c r="M70" s="57"/>
      <c r="N70" s="46" t="str">
        <f>IF(LECON!N70="","",LECON!N70)</f>
        <v/>
      </c>
      <c r="O70" s="44" t="str">
        <f>IF(LECON!O70="","",LECON!O70)</f>
        <v/>
      </c>
      <c r="P70" s="44" t="str">
        <f>IF(LECON!P70="","",LECON!P70)</f>
        <v/>
      </c>
      <c r="Q70" s="46" t="str">
        <f>IF(LECON!Q70="","",LECON!Q70)</f>
        <v/>
      </c>
      <c r="R70" s="44" t="str">
        <f>IF(LECON!R70="","",LECON!R70)</f>
        <v/>
      </c>
    </row>
    <row r="71" spans="1:18" x14ac:dyDescent="0.25">
      <c r="A71" s="57" t="str">
        <f>IF(LECON!A71="","",LECON!A71)</f>
        <v/>
      </c>
      <c r="B71" s="57" t="str">
        <f>IF(LECON!B71="","",LECON!B71)</f>
        <v/>
      </c>
      <c r="C71" s="57" t="str">
        <f>IF(LECON!C71="","",LECON!C71)</f>
        <v/>
      </c>
      <c r="D71" s="45"/>
      <c r="E71" s="58"/>
      <c r="F71" s="58"/>
      <c r="G71" s="48" t="str">
        <f>IF(LECON!G71="","",LECON!G71)</f>
        <v/>
      </c>
      <c r="H71" s="44" t="str">
        <f>IF(LECON!H71="","",LECON!H71)</f>
        <v/>
      </c>
      <c r="I71" s="48" t="str">
        <f>IF(LECON!I71="","",LECON!I71)</f>
        <v/>
      </c>
      <c r="J71" s="48" t="str">
        <f>IF(LECON!J71="","",LECON!J71)</f>
        <v/>
      </c>
      <c r="K71" s="45"/>
      <c r="L71" s="58"/>
      <c r="M71" s="58"/>
      <c r="N71" s="46" t="str">
        <f>IF(LECON!N71="","",LECON!N71)</f>
        <v/>
      </c>
      <c r="O71" s="44" t="str">
        <f>IF(LECON!O71="","",LECON!O71)</f>
        <v/>
      </c>
      <c r="P71" s="44" t="str">
        <f>IF(LECON!P71="","",LECON!P71)</f>
        <v/>
      </c>
      <c r="Q71" s="46" t="str">
        <f>IF(LECON!Q71="","",LECON!Q71)</f>
        <v/>
      </c>
      <c r="R71" s="44" t="str">
        <f>IF(LECON!R71="","",LECON!R71)</f>
        <v/>
      </c>
    </row>
    <row r="72" spans="1:18" x14ac:dyDescent="0.25">
      <c r="A72" s="57" t="str">
        <f>IF(LECON!A72="","",LECON!A72)</f>
        <v/>
      </c>
      <c r="B72" s="57" t="str">
        <f>IF(LECON!B72="","",LECON!B72)</f>
        <v/>
      </c>
      <c r="C72" s="57" t="str">
        <f>IF(LECON!C72="","",LECON!C72)</f>
        <v/>
      </c>
      <c r="D72" s="44"/>
      <c r="E72" s="57"/>
      <c r="F72" s="57"/>
      <c r="G72" s="48" t="str">
        <f>IF(LECON!G72="","",LECON!G72)</f>
        <v/>
      </c>
      <c r="H72" s="44" t="str">
        <f>IF(LECON!H72="","",LECON!H72)</f>
        <v/>
      </c>
      <c r="I72" s="48" t="str">
        <f>IF(LECON!I72="","",LECON!I72)</f>
        <v/>
      </c>
      <c r="J72" s="48" t="str">
        <f>IF(LECON!J72="","",LECON!J72)</f>
        <v/>
      </c>
      <c r="K72" s="44"/>
      <c r="L72" s="57"/>
      <c r="M72" s="57"/>
      <c r="N72" s="46" t="str">
        <f>IF(LECON!N72="","",LECON!N72)</f>
        <v/>
      </c>
      <c r="O72" s="44" t="str">
        <f>IF(LECON!O72="","",LECON!O72)</f>
        <v/>
      </c>
      <c r="P72" s="44" t="str">
        <f>IF(LECON!P72="","",LECON!P72)</f>
        <v/>
      </c>
      <c r="Q72" s="46" t="str">
        <f>IF(LECON!Q72="","",LECON!Q72)</f>
        <v/>
      </c>
      <c r="R72" s="44" t="str">
        <f>IF(LECON!R72="","",LECON!R72)</f>
        <v/>
      </c>
    </row>
    <row r="73" spans="1:18" x14ac:dyDescent="0.25">
      <c r="A73" s="57" t="str">
        <f>IF(LECON!A73="","",LECON!A73)</f>
        <v/>
      </c>
      <c r="B73" s="57" t="str">
        <f>IF(LECON!B73="","",LECON!B73)</f>
        <v/>
      </c>
      <c r="C73" s="57" t="str">
        <f>IF(LECON!C73="","",LECON!C73)</f>
        <v/>
      </c>
      <c r="D73" s="45"/>
      <c r="E73" s="58"/>
      <c r="F73" s="58"/>
      <c r="G73" s="48" t="str">
        <f>IF(LECON!G73="","",LECON!G73)</f>
        <v/>
      </c>
      <c r="H73" s="44" t="str">
        <f>IF(LECON!H73="","",LECON!H73)</f>
        <v/>
      </c>
      <c r="I73" s="48" t="str">
        <f>IF(LECON!I73="","",LECON!I73)</f>
        <v/>
      </c>
      <c r="J73" s="48" t="str">
        <f>IF(LECON!J73="","",LECON!J73)</f>
        <v/>
      </c>
      <c r="K73" s="45"/>
      <c r="L73" s="58"/>
      <c r="M73" s="58"/>
      <c r="N73" s="46" t="str">
        <f>IF(LECON!N73="","",LECON!N73)</f>
        <v/>
      </c>
      <c r="O73" s="44" t="str">
        <f>IF(LECON!O73="","",LECON!O73)</f>
        <v/>
      </c>
      <c r="P73" s="44" t="str">
        <f>IF(LECON!P73="","",LECON!P73)</f>
        <v/>
      </c>
      <c r="Q73" s="46" t="str">
        <f>IF(LECON!Q73="","",LECON!Q73)</f>
        <v/>
      </c>
      <c r="R73" s="44" t="str">
        <f>IF(LECON!R73="","",LECON!R73)</f>
        <v/>
      </c>
    </row>
    <row r="74" spans="1:18" x14ac:dyDescent="0.25">
      <c r="A74" s="57" t="str">
        <f>IF(LECON!A74="","",LECON!A74)</f>
        <v/>
      </c>
      <c r="B74" s="57" t="str">
        <f>IF(LECON!B74="","",LECON!B74)</f>
        <v/>
      </c>
      <c r="C74" s="57" t="str">
        <f>IF(LECON!C74="","",LECON!C74)</f>
        <v/>
      </c>
      <c r="D74" s="44"/>
      <c r="E74" s="57"/>
      <c r="F74" s="57"/>
      <c r="G74" s="48" t="str">
        <f>IF(LECON!G74="","",LECON!G74)</f>
        <v/>
      </c>
      <c r="H74" s="44" t="str">
        <f>IF(LECON!H74="","",LECON!H74)</f>
        <v/>
      </c>
      <c r="I74" s="48" t="str">
        <f>IF(LECON!I74="","",LECON!I74)</f>
        <v/>
      </c>
      <c r="J74" s="48" t="str">
        <f>IF(LECON!J74="","",LECON!J74)</f>
        <v/>
      </c>
      <c r="K74" s="44"/>
      <c r="L74" s="57"/>
      <c r="M74" s="57"/>
      <c r="N74" s="46" t="str">
        <f>IF(LECON!N74="","",LECON!N74)</f>
        <v/>
      </c>
      <c r="O74" s="44" t="str">
        <f>IF(LECON!O74="","",LECON!O74)</f>
        <v/>
      </c>
      <c r="P74" s="44" t="str">
        <f>IF(LECON!P74="","",LECON!P74)</f>
        <v/>
      </c>
      <c r="Q74" s="46" t="str">
        <f>IF(LECON!Q74="","",LECON!Q74)</f>
        <v/>
      </c>
      <c r="R74" s="44" t="str">
        <f>IF(LECON!R74="","",LECON!R74)</f>
        <v/>
      </c>
    </row>
    <row r="75" spans="1:18" x14ac:dyDescent="0.25">
      <c r="A75" s="57" t="str">
        <f>IF(LECON!A75="","",LECON!A75)</f>
        <v/>
      </c>
      <c r="B75" s="57" t="str">
        <f>IF(LECON!B75="","",LECON!B75)</f>
        <v/>
      </c>
      <c r="C75" s="57" t="str">
        <f>IF(LECON!C75="","",LECON!C75)</f>
        <v/>
      </c>
      <c r="D75" s="45"/>
      <c r="E75" s="58"/>
      <c r="F75" s="58"/>
      <c r="G75" s="48" t="str">
        <f>IF(LECON!G75="","",LECON!G75)</f>
        <v/>
      </c>
      <c r="H75" s="44" t="str">
        <f>IF(LECON!H75="","",LECON!H75)</f>
        <v/>
      </c>
      <c r="I75" s="48" t="str">
        <f>IF(LECON!I75="","",LECON!I75)</f>
        <v/>
      </c>
      <c r="J75" s="48" t="str">
        <f>IF(LECON!J75="","",LECON!J75)</f>
        <v/>
      </c>
      <c r="K75" s="45"/>
      <c r="L75" s="58"/>
      <c r="M75" s="58"/>
      <c r="N75" s="46" t="str">
        <f>IF(LECON!N75="","",LECON!N75)</f>
        <v/>
      </c>
      <c r="O75" s="44" t="str">
        <f>IF(LECON!O75="","",LECON!O75)</f>
        <v/>
      </c>
      <c r="P75" s="44" t="str">
        <f>IF(LECON!P75="","",LECON!P75)</f>
        <v/>
      </c>
      <c r="Q75" s="46" t="str">
        <f>IF(LECON!Q75="","",LECON!Q75)</f>
        <v/>
      </c>
      <c r="R75" s="44" t="str">
        <f>IF(LECON!R75="","",LECON!R75)</f>
        <v/>
      </c>
    </row>
    <row r="76" spans="1:18" x14ac:dyDescent="0.25">
      <c r="A76" s="57" t="str">
        <f>IF(LECON!A76="","",LECON!A76)</f>
        <v/>
      </c>
      <c r="B76" s="57" t="str">
        <f>IF(LECON!B76="","",LECON!B76)</f>
        <v/>
      </c>
      <c r="C76" s="57" t="str">
        <f>IF(LECON!C76="","",LECON!C76)</f>
        <v/>
      </c>
      <c r="D76" s="44"/>
      <c r="E76" s="57"/>
      <c r="F76" s="57"/>
      <c r="G76" s="48" t="str">
        <f>IF(LECON!G76="","",LECON!G76)</f>
        <v/>
      </c>
      <c r="H76" s="44" t="str">
        <f>IF(LECON!H76="","",LECON!H76)</f>
        <v/>
      </c>
      <c r="I76" s="48" t="str">
        <f>IF(LECON!I76="","",LECON!I76)</f>
        <v/>
      </c>
      <c r="J76" s="48" t="str">
        <f>IF(LECON!J76="","",LECON!J76)</f>
        <v/>
      </c>
      <c r="K76" s="44"/>
      <c r="L76" s="57"/>
      <c r="M76" s="57"/>
      <c r="N76" s="46" t="str">
        <f>IF(LECON!N76="","",LECON!N76)</f>
        <v/>
      </c>
      <c r="O76" s="44" t="str">
        <f>IF(LECON!O76="","",LECON!O76)</f>
        <v/>
      </c>
      <c r="P76" s="44" t="str">
        <f>IF(LECON!P76="","",LECON!P76)</f>
        <v/>
      </c>
      <c r="Q76" s="46" t="str">
        <f>IF(LECON!Q76="","",LECON!Q76)</f>
        <v/>
      </c>
      <c r="R76" s="44" t="str">
        <f>IF(LECON!R76="","",LECON!R76)</f>
        <v/>
      </c>
    </row>
    <row r="77" spans="1:18" x14ac:dyDescent="0.25">
      <c r="A77" s="57" t="str">
        <f>IF(LECON!A77="","",LECON!A77)</f>
        <v/>
      </c>
      <c r="B77" s="57" t="str">
        <f>IF(LECON!B77="","",LECON!B77)</f>
        <v/>
      </c>
      <c r="C77" s="57" t="str">
        <f>IF(LECON!C77="","",LECON!C77)</f>
        <v/>
      </c>
      <c r="D77" s="45"/>
      <c r="E77" s="58"/>
      <c r="F77" s="58"/>
      <c r="G77" s="48" t="str">
        <f>IF(LECON!G77="","",LECON!G77)</f>
        <v/>
      </c>
      <c r="H77" s="44" t="str">
        <f>IF(LECON!H77="","",LECON!H77)</f>
        <v/>
      </c>
      <c r="I77" s="48" t="str">
        <f>IF(LECON!I77="","",LECON!I77)</f>
        <v/>
      </c>
      <c r="J77" s="48" t="str">
        <f>IF(LECON!J77="","",LECON!J77)</f>
        <v/>
      </c>
      <c r="K77" s="45"/>
      <c r="L77" s="58"/>
      <c r="M77" s="58"/>
      <c r="N77" s="46" t="str">
        <f>IF(LECON!N77="","",LECON!N77)</f>
        <v/>
      </c>
      <c r="O77" s="44" t="str">
        <f>IF(LECON!O77="","",LECON!O77)</f>
        <v/>
      </c>
      <c r="P77" s="44" t="str">
        <f>IF(LECON!P77="","",LECON!P77)</f>
        <v/>
      </c>
      <c r="Q77" s="46" t="str">
        <f>IF(LECON!Q77="","",LECON!Q77)</f>
        <v/>
      </c>
      <c r="R77" s="44" t="str">
        <f>IF(LECON!R77="","",LECON!R77)</f>
        <v/>
      </c>
    </row>
    <row r="78" spans="1:18" x14ac:dyDescent="0.25">
      <c r="A78" s="57" t="str">
        <f>IF(LECON!A78="","",LECON!A78)</f>
        <v/>
      </c>
      <c r="B78" s="57" t="str">
        <f>IF(LECON!B78="","",LECON!B78)</f>
        <v/>
      </c>
      <c r="C78" s="57" t="str">
        <f>IF(LECON!C78="","",LECON!C78)</f>
        <v/>
      </c>
      <c r="D78" s="44"/>
      <c r="E78" s="57"/>
      <c r="F78" s="57"/>
      <c r="G78" s="48" t="str">
        <f>IF(LECON!G78="","",LECON!G78)</f>
        <v/>
      </c>
      <c r="H78" s="44" t="str">
        <f>IF(LECON!H78="","",LECON!H78)</f>
        <v/>
      </c>
      <c r="I78" s="48" t="str">
        <f>IF(LECON!I78="","",LECON!I78)</f>
        <v/>
      </c>
      <c r="J78" s="48" t="str">
        <f>IF(LECON!J78="","",LECON!J78)</f>
        <v/>
      </c>
      <c r="K78" s="44"/>
      <c r="L78" s="57"/>
      <c r="M78" s="57"/>
      <c r="N78" s="46" t="str">
        <f>IF(LECON!N78="","",LECON!N78)</f>
        <v/>
      </c>
      <c r="O78" s="44" t="str">
        <f>IF(LECON!O78="","",LECON!O78)</f>
        <v/>
      </c>
      <c r="P78" s="44" t="str">
        <f>IF(LECON!P78="","",LECON!P78)</f>
        <v/>
      </c>
      <c r="Q78" s="46" t="str">
        <f>IF(LECON!Q78="","",LECON!Q78)</f>
        <v/>
      </c>
      <c r="R78" s="44" t="str">
        <f>IF(LECON!R78="","",LECON!R78)</f>
        <v/>
      </c>
    </row>
    <row r="79" spans="1:18" x14ac:dyDescent="0.25">
      <c r="A79" s="57" t="str">
        <f>IF(LECON!A79="","",LECON!A79)</f>
        <v/>
      </c>
      <c r="B79" s="57" t="str">
        <f>IF(LECON!B79="","",LECON!B79)</f>
        <v/>
      </c>
      <c r="C79" s="57" t="str">
        <f>IF(LECON!C79="","",LECON!C79)</f>
        <v/>
      </c>
      <c r="D79" s="45"/>
      <c r="E79" s="58"/>
      <c r="F79" s="58"/>
      <c r="G79" s="48" t="str">
        <f>IF(LECON!G79="","",LECON!G79)</f>
        <v/>
      </c>
      <c r="H79" s="44" t="str">
        <f>IF(LECON!H79="","",LECON!H79)</f>
        <v/>
      </c>
      <c r="I79" s="48" t="str">
        <f>IF(LECON!I79="","",LECON!I79)</f>
        <v/>
      </c>
      <c r="J79" s="48" t="str">
        <f>IF(LECON!J79="","",LECON!J79)</f>
        <v/>
      </c>
      <c r="K79" s="45"/>
      <c r="L79" s="58"/>
      <c r="M79" s="58"/>
      <c r="N79" s="46" t="str">
        <f>IF(LECON!N79="","",LECON!N79)</f>
        <v/>
      </c>
      <c r="O79" s="44" t="str">
        <f>IF(LECON!O79="","",LECON!O79)</f>
        <v/>
      </c>
      <c r="P79" s="44" t="str">
        <f>IF(LECON!P79="","",LECON!P79)</f>
        <v/>
      </c>
      <c r="Q79" s="46" t="str">
        <f>IF(LECON!Q79="","",LECON!Q79)</f>
        <v/>
      </c>
      <c r="R79" s="44" t="str">
        <f>IF(LECON!R79="","",LECON!R79)</f>
        <v/>
      </c>
    </row>
    <row r="80" spans="1:18" x14ac:dyDescent="0.25">
      <c r="A80" s="57" t="str">
        <f>IF(LECON!A80="","",LECON!A80)</f>
        <v/>
      </c>
      <c r="B80" s="57" t="str">
        <f>IF(LECON!B80="","",LECON!B80)</f>
        <v/>
      </c>
      <c r="C80" s="57" t="str">
        <f>IF(LECON!C80="","",LECON!C80)</f>
        <v/>
      </c>
      <c r="D80" s="44"/>
      <c r="E80" s="57"/>
      <c r="F80" s="57"/>
      <c r="G80" s="48" t="str">
        <f>IF(LECON!G80="","",LECON!G80)</f>
        <v/>
      </c>
      <c r="H80" s="44" t="str">
        <f>IF(LECON!H80="","",LECON!H80)</f>
        <v/>
      </c>
      <c r="I80" s="48" t="str">
        <f>IF(LECON!I80="","",LECON!I80)</f>
        <v/>
      </c>
      <c r="J80" s="48" t="str">
        <f>IF(LECON!J80="","",LECON!J80)</f>
        <v/>
      </c>
      <c r="K80" s="44"/>
      <c r="L80" s="57"/>
      <c r="M80" s="57"/>
      <c r="N80" s="46" t="str">
        <f>IF(LECON!N80="","",LECON!N80)</f>
        <v/>
      </c>
      <c r="O80" s="44" t="str">
        <f>IF(LECON!O80="","",LECON!O80)</f>
        <v/>
      </c>
      <c r="P80" s="44" t="str">
        <f>IF(LECON!P80="","",LECON!P80)</f>
        <v/>
      </c>
      <c r="Q80" s="46" t="str">
        <f>IF(LECON!Q80="","",LECON!Q80)</f>
        <v/>
      </c>
      <c r="R80" s="44" t="str">
        <f>IF(LECON!R80="","",LECON!R80)</f>
        <v/>
      </c>
    </row>
    <row r="81" spans="1:18" x14ac:dyDescent="0.25">
      <c r="A81" s="57" t="str">
        <f>IF(LECON!A81="","",LECON!A81)</f>
        <v/>
      </c>
      <c r="B81" s="57" t="str">
        <f>IF(LECON!B81="","",LECON!B81)</f>
        <v/>
      </c>
      <c r="C81" s="57" t="str">
        <f>IF(LECON!C81="","",LECON!C81)</f>
        <v/>
      </c>
      <c r="D81" s="45"/>
      <c r="E81" s="58"/>
      <c r="F81" s="58"/>
      <c r="G81" s="48" t="str">
        <f>IF(LECON!G81="","",LECON!G81)</f>
        <v/>
      </c>
      <c r="H81" s="44" t="str">
        <f>IF(LECON!H81="","",LECON!H81)</f>
        <v/>
      </c>
      <c r="I81" s="48" t="str">
        <f>IF(LECON!I81="","",LECON!I81)</f>
        <v/>
      </c>
      <c r="J81" s="48" t="str">
        <f>IF(LECON!J81="","",LECON!J81)</f>
        <v/>
      </c>
      <c r="K81" s="45"/>
      <c r="L81" s="58"/>
      <c r="M81" s="58"/>
      <c r="N81" s="46" t="str">
        <f>IF(LECON!N81="","",LECON!N81)</f>
        <v/>
      </c>
      <c r="O81" s="44" t="str">
        <f>IF(LECON!O81="","",LECON!O81)</f>
        <v/>
      </c>
      <c r="P81" s="44" t="str">
        <f>IF(LECON!P81="","",LECON!P81)</f>
        <v/>
      </c>
      <c r="Q81" s="46" t="str">
        <f>IF(LECON!Q81="","",LECON!Q81)</f>
        <v/>
      </c>
      <c r="R81" s="44" t="str">
        <f>IF(LECON!R81="","",LECON!R81)</f>
        <v/>
      </c>
    </row>
    <row r="82" spans="1:18" x14ac:dyDescent="0.25">
      <c r="A82" s="57" t="str">
        <f>IF(LECON!A82="","",LECON!A82)</f>
        <v/>
      </c>
      <c r="B82" s="57" t="str">
        <f>IF(LECON!B82="","",LECON!B82)</f>
        <v/>
      </c>
      <c r="C82" s="57" t="str">
        <f>IF(LECON!C82="","",LECON!C82)</f>
        <v/>
      </c>
      <c r="D82" s="44"/>
      <c r="E82" s="57"/>
      <c r="F82" s="57"/>
      <c r="G82" s="48" t="str">
        <f>IF(LECON!G82="","",LECON!G82)</f>
        <v/>
      </c>
      <c r="H82" s="44" t="str">
        <f>IF(LECON!H82="","",LECON!H82)</f>
        <v/>
      </c>
      <c r="I82" s="48" t="str">
        <f>IF(LECON!I82="","",LECON!I82)</f>
        <v/>
      </c>
      <c r="J82" s="48" t="str">
        <f>IF(LECON!J82="","",LECON!J82)</f>
        <v/>
      </c>
      <c r="K82" s="44"/>
      <c r="L82" s="57"/>
      <c r="M82" s="57"/>
      <c r="N82" s="46" t="str">
        <f>IF(LECON!N82="","",LECON!N82)</f>
        <v/>
      </c>
      <c r="O82" s="44" t="str">
        <f>IF(LECON!O82="","",LECON!O82)</f>
        <v/>
      </c>
      <c r="P82" s="44" t="str">
        <f>IF(LECON!P82="","",LECON!P82)</f>
        <v/>
      </c>
      <c r="Q82" s="46" t="str">
        <f>IF(LECON!Q82="","",LECON!Q82)</f>
        <v/>
      </c>
      <c r="R82" s="44" t="str">
        <f>IF(LECON!R82="","",LECON!R82)</f>
        <v/>
      </c>
    </row>
    <row r="83" spans="1:18" x14ac:dyDescent="0.25">
      <c r="A83" s="57" t="str">
        <f>IF(LECON!A83="","",LECON!A83)</f>
        <v/>
      </c>
      <c r="B83" s="57" t="str">
        <f>IF(LECON!B83="","",LECON!B83)</f>
        <v/>
      </c>
      <c r="C83" s="57" t="str">
        <f>IF(LECON!C83="","",LECON!C83)</f>
        <v/>
      </c>
      <c r="D83" s="45"/>
      <c r="E83" s="58"/>
      <c r="F83" s="58"/>
      <c r="G83" s="48" t="str">
        <f>IF(LECON!G83="","",LECON!G83)</f>
        <v/>
      </c>
      <c r="H83" s="44" t="str">
        <f>IF(LECON!H83="","",LECON!H83)</f>
        <v/>
      </c>
      <c r="I83" s="48" t="str">
        <f>IF(LECON!I83="","",LECON!I83)</f>
        <v/>
      </c>
      <c r="J83" s="48" t="str">
        <f>IF(LECON!J83="","",LECON!J83)</f>
        <v/>
      </c>
      <c r="K83" s="45"/>
      <c r="L83" s="58"/>
      <c r="M83" s="58"/>
      <c r="N83" s="46" t="str">
        <f>IF(LECON!N83="","",LECON!N83)</f>
        <v/>
      </c>
      <c r="O83" s="44" t="str">
        <f>IF(LECON!O83="","",LECON!O83)</f>
        <v/>
      </c>
      <c r="P83" s="44" t="str">
        <f>IF(LECON!P83="","",LECON!P83)</f>
        <v/>
      </c>
      <c r="Q83" s="46" t="str">
        <f>IF(LECON!Q83="","",LECON!Q83)</f>
        <v/>
      </c>
      <c r="R83" s="44" t="str">
        <f>IF(LECON!R83="","",LECON!R83)</f>
        <v/>
      </c>
    </row>
    <row r="84" spans="1:18" x14ac:dyDescent="0.25">
      <c r="A84" s="57" t="str">
        <f>IF(LECON!A84="","",LECON!A84)</f>
        <v/>
      </c>
      <c r="B84" s="57" t="str">
        <f>IF(LECON!B84="","",LECON!B84)</f>
        <v/>
      </c>
      <c r="C84" s="57" t="str">
        <f>IF(LECON!C84="","",LECON!C84)</f>
        <v/>
      </c>
      <c r="D84" s="44"/>
      <c r="E84" s="57"/>
      <c r="F84" s="57"/>
      <c r="G84" s="48" t="str">
        <f>IF(LECON!G84="","",LECON!G84)</f>
        <v/>
      </c>
      <c r="H84" s="44" t="str">
        <f>IF(LECON!H84="","",LECON!H84)</f>
        <v/>
      </c>
      <c r="I84" s="48" t="str">
        <f>IF(LECON!I84="","",LECON!I84)</f>
        <v/>
      </c>
      <c r="J84" s="48" t="str">
        <f>IF(LECON!J84="","",LECON!J84)</f>
        <v/>
      </c>
      <c r="K84" s="44"/>
      <c r="L84" s="57"/>
      <c r="M84" s="57"/>
      <c r="N84" s="46" t="str">
        <f>IF(LECON!N84="","",LECON!N84)</f>
        <v/>
      </c>
      <c r="O84" s="44" t="str">
        <f>IF(LECON!O84="","",LECON!O84)</f>
        <v/>
      </c>
      <c r="P84" s="44" t="str">
        <f>IF(LECON!P84="","",LECON!P84)</f>
        <v/>
      </c>
      <c r="Q84" s="46" t="str">
        <f>IF(LECON!Q84="","",LECON!Q84)</f>
        <v/>
      </c>
      <c r="R84" s="44" t="str">
        <f>IF(LECON!R84="","",LECON!R84)</f>
        <v/>
      </c>
    </row>
    <row r="85" spans="1:18" x14ac:dyDescent="0.25">
      <c r="A85" s="57" t="str">
        <f>IF(LECON!A85="","",LECON!A85)</f>
        <v/>
      </c>
      <c r="B85" s="57" t="str">
        <f>IF(LECON!B85="","",LECON!B85)</f>
        <v/>
      </c>
      <c r="C85" s="57" t="str">
        <f>IF(LECON!C85="","",LECON!C85)</f>
        <v/>
      </c>
      <c r="D85" s="45"/>
      <c r="E85" s="58"/>
      <c r="F85" s="58"/>
      <c r="G85" s="48" t="str">
        <f>IF(LECON!G85="","",LECON!G85)</f>
        <v/>
      </c>
      <c r="H85" s="44" t="str">
        <f>IF(LECON!H85="","",LECON!H85)</f>
        <v/>
      </c>
      <c r="I85" s="48" t="str">
        <f>IF(LECON!I85="","",LECON!I85)</f>
        <v/>
      </c>
      <c r="J85" s="48" t="str">
        <f>IF(LECON!J85="","",LECON!J85)</f>
        <v/>
      </c>
      <c r="K85" s="45"/>
      <c r="L85" s="58"/>
      <c r="M85" s="58"/>
      <c r="N85" s="46" t="str">
        <f>IF(LECON!N85="","",LECON!N85)</f>
        <v/>
      </c>
      <c r="O85" s="44" t="str">
        <f>IF(LECON!O85="","",LECON!O85)</f>
        <v/>
      </c>
      <c r="P85" s="44" t="str">
        <f>IF(LECON!P85="","",LECON!P85)</f>
        <v/>
      </c>
      <c r="Q85" s="46" t="str">
        <f>IF(LECON!Q85="","",LECON!Q85)</f>
        <v/>
      </c>
      <c r="R85" s="44" t="str">
        <f>IF(LECON!R85="","",LECON!R85)</f>
        <v/>
      </c>
    </row>
    <row r="86" spans="1:18" x14ac:dyDescent="0.25">
      <c r="A86" s="57" t="str">
        <f>IF(LECON!A86="","",LECON!A86)</f>
        <v/>
      </c>
      <c r="B86" s="57" t="str">
        <f>IF(LECON!B86="","",LECON!B86)</f>
        <v/>
      </c>
      <c r="C86" s="57" t="str">
        <f>IF(LECON!C86="","",LECON!C86)</f>
        <v/>
      </c>
      <c r="D86" s="44"/>
      <c r="E86" s="57"/>
      <c r="F86" s="57"/>
      <c r="G86" s="48" t="str">
        <f>IF(LECON!G86="","",LECON!G86)</f>
        <v/>
      </c>
      <c r="H86" s="44" t="str">
        <f>IF(LECON!H86="","",LECON!H86)</f>
        <v/>
      </c>
      <c r="I86" s="48" t="str">
        <f>IF(LECON!I86="","",LECON!I86)</f>
        <v/>
      </c>
      <c r="J86" s="48" t="str">
        <f>IF(LECON!J86="","",LECON!J86)</f>
        <v/>
      </c>
      <c r="K86" s="44"/>
      <c r="L86" s="57"/>
      <c r="M86" s="57"/>
      <c r="N86" s="46" t="str">
        <f>IF(LECON!N86="","",LECON!N86)</f>
        <v/>
      </c>
      <c r="O86" s="44" t="str">
        <f>IF(LECON!O86="","",LECON!O86)</f>
        <v/>
      </c>
      <c r="P86" s="44" t="str">
        <f>IF(LECON!P86="","",LECON!P86)</f>
        <v/>
      </c>
      <c r="Q86" s="46" t="str">
        <f>IF(LECON!Q86="","",LECON!Q86)</f>
        <v/>
      </c>
      <c r="R86" s="44" t="str">
        <f>IF(LECON!R86="","",LECON!R86)</f>
        <v/>
      </c>
    </row>
    <row r="87" spans="1:18" x14ac:dyDescent="0.25">
      <c r="A87" s="57" t="str">
        <f>IF(LECON!A87="","",LECON!A87)</f>
        <v/>
      </c>
      <c r="B87" s="57" t="str">
        <f>IF(LECON!B87="","",LECON!B87)</f>
        <v/>
      </c>
      <c r="C87" s="57" t="str">
        <f>IF(LECON!C87="","",LECON!C87)</f>
        <v/>
      </c>
      <c r="D87" s="45"/>
      <c r="E87" s="58"/>
      <c r="F87" s="58"/>
      <c r="G87" s="48" t="str">
        <f>IF(LECON!G87="","",LECON!G87)</f>
        <v/>
      </c>
      <c r="H87" s="44" t="str">
        <f>IF(LECON!H87="","",LECON!H87)</f>
        <v/>
      </c>
      <c r="I87" s="48" t="str">
        <f>IF(LECON!I87="","",LECON!I87)</f>
        <v/>
      </c>
      <c r="J87" s="48" t="str">
        <f>IF(LECON!J87="","",LECON!J87)</f>
        <v/>
      </c>
      <c r="K87" s="45"/>
      <c r="L87" s="58"/>
      <c r="M87" s="58"/>
      <c r="N87" s="46" t="str">
        <f>IF(LECON!N87="","",LECON!N87)</f>
        <v/>
      </c>
      <c r="O87" s="44" t="str">
        <f>IF(LECON!O87="","",LECON!O87)</f>
        <v/>
      </c>
      <c r="P87" s="44" t="str">
        <f>IF(LECON!P87="","",LECON!P87)</f>
        <v/>
      </c>
      <c r="Q87" s="46" t="str">
        <f>IF(LECON!Q87="","",LECON!Q87)</f>
        <v/>
      </c>
      <c r="R87" s="44" t="str">
        <f>IF(LECON!R87="","",LECON!R87)</f>
        <v/>
      </c>
    </row>
    <row r="88" spans="1:18" x14ac:dyDescent="0.25">
      <c r="A88" s="57" t="str">
        <f>IF(LECON!A88="","",LECON!A88)</f>
        <v/>
      </c>
      <c r="B88" s="57" t="str">
        <f>IF(LECON!B88="","",LECON!B88)</f>
        <v/>
      </c>
      <c r="C88" s="57" t="str">
        <f>IF(LECON!C88="","",LECON!C88)</f>
        <v/>
      </c>
      <c r="D88" s="44"/>
      <c r="E88" s="57"/>
      <c r="F88" s="57"/>
      <c r="G88" s="48" t="str">
        <f>IF(LECON!G88="","",LECON!G88)</f>
        <v/>
      </c>
      <c r="H88" s="44" t="str">
        <f>IF(LECON!H88="","",LECON!H88)</f>
        <v/>
      </c>
      <c r="I88" s="48" t="str">
        <f>IF(LECON!I88="","",LECON!I88)</f>
        <v/>
      </c>
      <c r="J88" s="48" t="str">
        <f>IF(LECON!J88="","",LECON!J88)</f>
        <v/>
      </c>
      <c r="K88" s="44"/>
      <c r="L88" s="57"/>
      <c r="M88" s="57"/>
      <c r="N88" s="46" t="str">
        <f>IF(LECON!N88="","",LECON!N88)</f>
        <v/>
      </c>
      <c r="O88" s="44" t="str">
        <f>IF(LECON!O88="","",LECON!O88)</f>
        <v/>
      </c>
      <c r="P88" s="44" t="str">
        <f>IF(LECON!P88="","",LECON!P88)</f>
        <v/>
      </c>
      <c r="Q88" s="46" t="str">
        <f>IF(LECON!Q88="","",LECON!Q88)</f>
        <v/>
      </c>
      <c r="R88" s="44" t="str">
        <f>IF(LECON!R88="","",LECON!R88)</f>
        <v/>
      </c>
    </row>
    <row r="89" spans="1:18" x14ac:dyDescent="0.25">
      <c r="A89" s="57" t="str">
        <f>IF(LECON!A89="","",LECON!A89)</f>
        <v/>
      </c>
      <c r="B89" s="57" t="str">
        <f>IF(LECON!B89="","",LECON!B89)</f>
        <v/>
      </c>
      <c r="C89" s="57" t="str">
        <f>IF(LECON!C89="","",LECON!C89)</f>
        <v/>
      </c>
      <c r="D89" s="45"/>
      <c r="E89" s="58"/>
      <c r="F89" s="58"/>
      <c r="G89" s="48" t="str">
        <f>IF(LECON!G89="","",LECON!G89)</f>
        <v/>
      </c>
      <c r="H89" s="44" t="str">
        <f>IF(LECON!H89="","",LECON!H89)</f>
        <v/>
      </c>
      <c r="I89" s="48" t="str">
        <f>IF(LECON!I89="","",LECON!I89)</f>
        <v/>
      </c>
      <c r="J89" s="48" t="str">
        <f>IF(LECON!J89="","",LECON!J89)</f>
        <v/>
      </c>
      <c r="K89" s="45"/>
      <c r="L89" s="58"/>
      <c r="M89" s="58"/>
      <c r="N89" s="46" t="str">
        <f>IF(LECON!N89="","",LECON!N89)</f>
        <v/>
      </c>
      <c r="O89" s="44" t="str">
        <f>IF(LECON!O89="","",LECON!O89)</f>
        <v/>
      </c>
      <c r="P89" s="44" t="str">
        <f>IF(LECON!P89="","",LECON!P89)</f>
        <v/>
      </c>
      <c r="Q89" s="46" t="str">
        <f>IF(LECON!Q89="","",LECON!Q89)</f>
        <v/>
      </c>
      <c r="R89" s="44" t="str">
        <f>IF(LECON!R89="","",LECON!R89)</f>
        <v/>
      </c>
    </row>
    <row r="90" spans="1:18" x14ac:dyDescent="0.25">
      <c r="A90" s="57" t="str">
        <f>IF(LECON!A90="","",LECON!A90)</f>
        <v/>
      </c>
      <c r="B90" s="57" t="str">
        <f>IF(LECON!B90="","",LECON!B90)</f>
        <v/>
      </c>
      <c r="C90" s="57" t="str">
        <f>IF(LECON!C90="","",LECON!C90)</f>
        <v/>
      </c>
      <c r="D90" s="44"/>
      <c r="E90" s="57"/>
      <c r="F90" s="57"/>
      <c r="G90" s="48" t="str">
        <f>IF(LECON!G90="","",LECON!G90)</f>
        <v/>
      </c>
      <c r="H90" s="44" t="str">
        <f>IF(LECON!H90="","",LECON!H90)</f>
        <v/>
      </c>
      <c r="I90" s="48" t="str">
        <f>IF(LECON!I90="","",LECON!I90)</f>
        <v/>
      </c>
      <c r="J90" s="48" t="str">
        <f>IF(LECON!J90="","",LECON!J90)</f>
        <v/>
      </c>
      <c r="K90" s="44"/>
      <c r="L90" s="57"/>
      <c r="M90" s="57"/>
      <c r="N90" s="46" t="str">
        <f>IF(LECON!N90="","",LECON!N90)</f>
        <v/>
      </c>
      <c r="O90" s="44" t="str">
        <f>IF(LECON!O90="","",LECON!O90)</f>
        <v/>
      </c>
      <c r="P90" s="44" t="str">
        <f>IF(LECON!P90="","",LECON!P90)</f>
        <v/>
      </c>
      <c r="Q90" s="46" t="str">
        <f>IF(LECON!Q90="","",LECON!Q90)</f>
        <v/>
      </c>
      <c r="R90" s="44" t="str">
        <f>IF(LECON!R90="","",LECON!R90)</f>
        <v/>
      </c>
    </row>
    <row r="91" spans="1:18" x14ac:dyDescent="0.25">
      <c r="A91" s="57" t="str">
        <f>IF(LECON!A91="","",LECON!A91)</f>
        <v/>
      </c>
      <c r="B91" s="57" t="str">
        <f>IF(LECON!B91="","",LECON!B91)</f>
        <v/>
      </c>
      <c r="C91" s="57" t="str">
        <f>IF(LECON!C91="","",LECON!C91)</f>
        <v/>
      </c>
      <c r="D91" s="45"/>
      <c r="E91" s="58"/>
      <c r="F91" s="58"/>
      <c r="G91" s="48" t="str">
        <f>IF(LECON!G91="","",LECON!G91)</f>
        <v/>
      </c>
      <c r="H91" s="44" t="str">
        <f>IF(LECON!H91="","",LECON!H91)</f>
        <v/>
      </c>
      <c r="I91" s="48" t="str">
        <f>IF(LECON!I91="","",LECON!I91)</f>
        <v/>
      </c>
      <c r="J91" s="48" t="str">
        <f>IF(LECON!J91="","",LECON!J91)</f>
        <v/>
      </c>
      <c r="K91" s="45"/>
      <c r="L91" s="58"/>
      <c r="M91" s="58"/>
      <c r="N91" s="46" t="str">
        <f>IF(LECON!N91="","",LECON!N91)</f>
        <v/>
      </c>
      <c r="O91" s="44" t="str">
        <f>IF(LECON!O91="","",LECON!O91)</f>
        <v/>
      </c>
      <c r="P91" s="44" t="str">
        <f>IF(LECON!P91="","",LECON!P91)</f>
        <v/>
      </c>
      <c r="Q91" s="46" t="str">
        <f>IF(LECON!Q91="","",LECON!Q91)</f>
        <v/>
      </c>
      <c r="R91" s="44" t="str">
        <f>IF(LECON!R91="","",LECON!R91)</f>
        <v/>
      </c>
    </row>
    <row r="92" spans="1:18" x14ac:dyDescent="0.25">
      <c r="A92" s="57" t="str">
        <f>IF(LECON!A92="","",LECON!A92)</f>
        <v/>
      </c>
      <c r="B92" s="57" t="str">
        <f>IF(LECON!B92="","",LECON!B92)</f>
        <v/>
      </c>
      <c r="C92" s="57" t="str">
        <f>IF(LECON!C92="","",LECON!C92)</f>
        <v/>
      </c>
      <c r="D92" s="44"/>
      <c r="E92" s="57"/>
      <c r="F92" s="57"/>
      <c r="G92" s="48" t="str">
        <f>IF(LECON!G92="","",LECON!G92)</f>
        <v/>
      </c>
      <c r="H92" s="44" t="str">
        <f>IF(LECON!H92="","",LECON!H92)</f>
        <v/>
      </c>
      <c r="I92" s="48" t="str">
        <f>IF(LECON!I92="","",LECON!I92)</f>
        <v/>
      </c>
      <c r="J92" s="48" t="str">
        <f>IF(LECON!J92="","",LECON!J92)</f>
        <v/>
      </c>
      <c r="K92" s="44"/>
      <c r="L92" s="57"/>
      <c r="M92" s="57"/>
      <c r="N92" s="46" t="str">
        <f>IF(LECON!N92="","",LECON!N92)</f>
        <v/>
      </c>
      <c r="O92" s="44" t="str">
        <f>IF(LECON!O92="","",LECON!O92)</f>
        <v/>
      </c>
      <c r="P92" s="44" t="str">
        <f>IF(LECON!P92="","",LECON!P92)</f>
        <v/>
      </c>
      <c r="Q92" s="46" t="str">
        <f>IF(LECON!Q92="","",LECON!Q92)</f>
        <v/>
      </c>
      <c r="R92" s="44" t="str">
        <f>IF(LECON!R92="","",LECON!R92)</f>
        <v/>
      </c>
    </row>
    <row r="93" spans="1:18" x14ac:dyDescent="0.25">
      <c r="A93" s="57" t="str">
        <f>IF(LECON!A93="","",LECON!A93)</f>
        <v/>
      </c>
      <c r="B93" s="57" t="str">
        <f>IF(LECON!B93="","",LECON!B93)</f>
        <v/>
      </c>
      <c r="C93" s="57" t="str">
        <f>IF(LECON!C93="","",LECON!C93)</f>
        <v/>
      </c>
      <c r="D93" s="45"/>
      <c r="E93" s="58"/>
      <c r="F93" s="58"/>
      <c r="G93" s="48" t="str">
        <f>IF(LECON!G93="","",LECON!G93)</f>
        <v/>
      </c>
      <c r="H93" s="44" t="str">
        <f>IF(LECON!H93="","",LECON!H93)</f>
        <v/>
      </c>
      <c r="I93" s="48" t="str">
        <f>IF(LECON!I93="","",LECON!I93)</f>
        <v/>
      </c>
      <c r="J93" s="48" t="str">
        <f>IF(LECON!J93="","",LECON!J93)</f>
        <v/>
      </c>
      <c r="K93" s="45"/>
      <c r="L93" s="58"/>
      <c r="M93" s="58"/>
      <c r="N93" s="46" t="str">
        <f>IF(LECON!N93="","",LECON!N93)</f>
        <v/>
      </c>
      <c r="O93" s="44" t="str">
        <f>IF(LECON!O93="","",LECON!O93)</f>
        <v/>
      </c>
      <c r="P93" s="44" t="str">
        <f>IF(LECON!P93="","",LECON!P93)</f>
        <v/>
      </c>
      <c r="Q93" s="46" t="str">
        <f>IF(LECON!Q93="","",LECON!Q93)</f>
        <v/>
      </c>
      <c r="R93" s="44" t="str">
        <f>IF(LECON!R93="","",LECON!R93)</f>
        <v/>
      </c>
    </row>
    <row r="94" spans="1:18" x14ac:dyDescent="0.25">
      <c r="A94" s="57" t="str">
        <f>IF(LECON!A94="","",LECON!A94)</f>
        <v/>
      </c>
      <c r="B94" s="57" t="str">
        <f>IF(LECON!B94="","",LECON!B94)</f>
        <v/>
      </c>
      <c r="C94" s="57" t="str">
        <f>IF(LECON!C94="","",LECON!C94)</f>
        <v/>
      </c>
      <c r="D94" s="44"/>
      <c r="E94" s="57"/>
      <c r="F94" s="57"/>
      <c r="G94" s="48" t="str">
        <f>IF(LECON!G94="","",LECON!G94)</f>
        <v/>
      </c>
      <c r="H94" s="44" t="str">
        <f>IF(LECON!H94="","",LECON!H94)</f>
        <v/>
      </c>
      <c r="I94" s="48" t="str">
        <f>IF(LECON!I94="","",LECON!I94)</f>
        <v/>
      </c>
      <c r="J94" s="48" t="str">
        <f>IF(LECON!J94="","",LECON!J94)</f>
        <v/>
      </c>
      <c r="K94" s="44"/>
      <c r="L94" s="57"/>
      <c r="M94" s="57"/>
      <c r="N94" s="46" t="str">
        <f>IF(LECON!N94="","",LECON!N94)</f>
        <v/>
      </c>
      <c r="O94" s="44" t="str">
        <f>IF(LECON!O94="","",LECON!O94)</f>
        <v/>
      </c>
      <c r="P94" s="44" t="str">
        <f>IF(LECON!P94="","",LECON!P94)</f>
        <v/>
      </c>
      <c r="Q94" s="46" t="str">
        <f>IF(LECON!Q94="","",LECON!Q94)</f>
        <v/>
      </c>
      <c r="R94" s="44" t="str">
        <f>IF(LECON!R94="","",LECON!R94)</f>
        <v/>
      </c>
    </row>
    <row r="95" spans="1:18" x14ac:dyDescent="0.25">
      <c r="A95" s="57" t="str">
        <f>IF(LECON!A95="","",LECON!A95)</f>
        <v/>
      </c>
      <c r="B95" s="57" t="str">
        <f>IF(LECON!B95="","",LECON!B95)</f>
        <v/>
      </c>
      <c r="C95" s="57" t="str">
        <f>IF(LECON!C95="","",LECON!C95)</f>
        <v/>
      </c>
      <c r="D95" s="45"/>
      <c r="E95" s="58"/>
      <c r="F95" s="58"/>
      <c r="G95" s="48" t="str">
        <f>IF(LECON!G95="","",LECON!G95)</f>
        <v/>
      </c>
      <c r="H95" s="44" t="str">
        <f>IF(LECON!H95="","",LECON!H95)</f>
        <v/>
      </c>
      <c r="I95" s="48" t="str">
        <f>IF(LECON!I95="","",LECON!I95)</f>
        <v/>
      </c>
      <c r="J95" s="48" t="str">
        <f>IF(LECON!J95="","",LECON!J95)</f>
        <v/>
      </c>
      <c r="K95" s="45"/>
      <c r="L95" s="58"/>
      <c r="M95" s="58"/>
      <c r="N95" s="46" t="str">
        <f>IF(LECON!N95="","",LECON!N95)</f>
        <v/>
      </c>
      <c r="O95" s="44" t="str">
        <f>IF(LECON!O95="","",LECON!O95)</f>
        <v/>
      </c>
      <c r="P95" s="44" t="str">
        <f>IF(LECON!P95="","",LECON!P95)</f>
        <v/>
      </c>
      <c r="Q95" s="46" t="str">
        <f>IF(LECON!Q95="","",LECON!Q95)</f>
        <v/>
      </c>
      <c r="R95" s="44" t="str">
        <f>IF(LECON!R95="","",LECON!R95)</f>
        <v/>
      </c>
    </row>
    <row r="96" spans="1:18" x14ac:dyDescent="0.25">
      <c r="A96" s="57" t="str">
        <f>IF(LECON!A96="","",LECON!A96)</f>
        <v/>
      </c>
      <c r="B96" s="57" t="str">
        <f>IF(LECON!B96="","",LECON!B96)</f>
        <v/>
      </c>
      <c r="C96" s="57" t="str">
        <f>IF(LECON!C96="","",LECON!C96)</f>
        <v/>
      </c>
      <c r="D96" s="44"/>
      <c r="E96" s="57"/>
      <c r="F96" s="57"/>
      <c r="G96" s="48" t="str">
        <f>IF(LECON!G96="","",LECON!G96)</f>
        <v/>
      </c>
      <c r="H96" s="44" t="str">
        <f>IF(LECON!H96="","",LECON!H96)</f>
        <v/>
      </c>
      <c r="I96" s="48" t="str">
        <f>IF(LECON!I96="","",LECON!I96)</f>
        <v/>
      </c>
      <c r="J96" s="48" t="str">
        <f>IF(LECON!J96="","",LECON!J96)</f>
        <v/>
      </c>
      <c r="K96" s="44"/>
      <c r="L96" s="57"/>
      <c r="M96" s="57"/>
      <c r="N96" s="46" t="str">
        <f>IF(LECON!N96="","",LECON!N96)</f>
        <v/>
      </c>
      <c r="O96" s="44" t="str">
        <f>IF(LECON!O96="","",LECON!O96)</f>
        <v/>
      </c>
      <c r="P96" s="44" t="str">
        <f>IF(LECON!P96="","",LECON!P96)</f>
        <v/>
      </c>
      <c r="Q96" s="46" t="str">
        <f>IF(LECON!Q96="","",LECON!Q96)</f>
        <v/>
      </c>
      <c r="R96" s="44" t="str">
        <f>IF(LECON!R96="","",LECON!R96)</f>
        <v/>
      </c>
    </row>
    <row r="97" spans="1:18" x14ac:dyDescent="0.25">
      <c r="A97" s="57" t="str">
        <f>IF(LECON!A97="","",LECON!A97)</f>
        <v/>
      </c>
      <c r="B97" s="57" t="str">
        <f>IF(LECON!B97="","",LECON!B97)</f>
        <v/>
      </c>
      <c r="C97" s="57" t="str">
        <f>IF(LECON!C97="","",LECON!C97)</f>
        <v/>
      </c>
      <c r="D97" s="45"/>
      <c r="E97" s="58"/>
      <c r="F97" s="58"/>
      <c r="G97" s="48" t="str">
        <f>IF(LECON!G97="","",LECON!G97)</f>
        <v/>
      </c>
      <c r="H97" s="44" t="str">
        <f>IF(LECON!H97="","",LECON!H97)</f>
        <v/>
      </c>
      <c r="I97" s="48" t="str">
        <f>IF(LECON!I97="","",LECON!I97)</f>
        <v/>
      </c>
      <c r="J97" s="48" t="str">
        <f>IF(LECON!J97="","",LECON!J97)</f>
        <v/>
      </c>
      <c r="K97" s="45"/>
      <c r="L97" s="58"/>
      <c r="M97" s="58"/>
      <c r="N97" s="46" t="str">
        <f>IF(LECON!N97="","",LECON!N97)</f>
        <v/>
      </c>
      <c r="O97" s="44" t="str">
        <f>IF(LECON!O97="","",LECON!O97)</f>
        <v/>
      </c>
      <c r="P97" s="44" t="str">
        <f>IF(LECON!P97="","",LECON!P97)</f>
        <v/>
      </c>
      <c r="Q97" s="46" t="str">
        <f>IF(LECON!Q97="","",LECON!Q97)</f>
        <v/>
      </c>
      <c r="R97" s="44" t="str">
        <f>IF(LECON!R97="","",LECON!R97)</f>
        <v/>
      </c>
    </row>
    <row r="98" spans="1:18" x14ac:dyDescent="0.25">
      <c r="A98" s="57" t="str">
        <f>IF(LECON!A98="","",LECON!A98)</f>
        <v/>
      </c>
      <c r="B98" s="57" t="str">
        <f>IF(LECON!B98="","",LECON!B98)</f>
        <v/>
      </c>
      <c r="C98" s="57" t="str">
        <f>IF(LECON!C98="","",LECON!C98)</f>
        <v/>
      </c>
      <c r="D98" s="44"/>
      <c r="E98" s="57"/>
      <c r="F98" s="57"/>
      <c r="G98" s="48" t="str">
        <f>IF(LECON!G98="","",LECON!G98)</f>
        <v/>
      </c>
      <c r="H98" s="44" t="str">
        <f>IF(LECON!H98="","",LECON!H98)</f>
        <v/>
      </c>
      <c r="I98" s="48" t="str">
        <f>IF(LECON!I98="","",LECON!I98)</f>
        <v/>
      </c>
      <c r="J98" s="48" t="str">
        <f>IF(LECON!J98="","",LECON!J98)</f>
        <v/>
      </c>
      <c r="K98" s="44"/>
      <c r="L98" s="57"/>
      <c r="M98" s="57"/>
      <c r="N98" s="46" t="str">
        <f>IF(LECON!N98="","",LECON!N98)</f>
        <v/>
      </c>
      <c r="O98" s="44" t="str">
        <f>IF(LECON!O98="","",LECON!O98)</f>
        <v/>
      </c>
      <c r="P98" s="44" t="str">
        <f>IF(LECON!P98="","",LECON!P98)</f>
        <v/>
      </c>
      <c r="Q98" s="46" t="str">
        <f>IF(LECON!Q98="","",LECON!Q98)</f>
        <v/>
      </c>
      <c r="R98" s="44" t="str">
        <f>IF(LECON!R98="","",LECON!R98)</f>
        <v/>
      </c>
    </row>
    <row r="99" spans="1:18" x14ac:dyDescent="0.25">
      <c r="A99" s="57" t="str">
        <f>IF(LECON!A99="","",LECON!A99)</f>
        <v/>
      </c>
      <c r="B99" s="57" t="str">
        <f>IF(LECON!B99="","",LECON!B99)</f>
        <v/>
      </c>
      <c r="C99" s="57" t="str">
        <f>IF(LECON!C99="","",LECON!C99)</f>
        <v/>
      </c>
      <c r="D99" s="45"/>
      <c r="E99" s="58"/>
      <c r="F99" s="58"/>
      <c r="G99" s="48" t="str">
        <f>IF(LECON!G99="","",LECON!G99)</f>
        <v/>
      </c>
      <c r="H99" s="44" t="str">
        <f>IF(LECON!H99="","",LECON!H99)</f>
        <v/>
      </c>
      <c r="I99" s="48" t="str">
        <f>IF(LECON!I99="","",LECON!I99)</f>
        <v/>
      </c>
      <c r="J99" s="48" t="str">
        <f>IF(LECON!J99="","",LECON!J99)</f>
        <v/>
      </c>
      <c r="K99" s="45"/>
      <c r="L99" s="58"/>
      <c r="M99" s="58"/>
      <c r="N99" s="46" t="str">
        <f>IF(LECON!N99="","",LECON!N99)</f>
        <v/>
      </c>
      <c r="O99" s="44" t="str">
        <f>IF(LECON!O99="","",LECON!O99)</f>
        <v/>
      </c>
      <c r="P99" s="44" t="str">
        <f>IF(LECON!P99="","",LECON!P99)</f>
        <v/>
      </c>
      <c r="Q99" s="46" t="str">
        <f>IF(LECON!Q99="","",LECON!Q99)</f>
        <v/>
      </c>
      <c r="R99" s="44" t="str">
        <f>IF(LECON!R99="","",LECON!R99)</f>
        <v/>
      </c>
    </row>
    <row r="100" spans="1:18" x14ac:dyDescent="0.25">
      <c r="A100" s="57" t="str">
        <f>IF(LECON!A100="","",LECON!A100)</f>
        <v/>
      </c>
      <c r="B100" s="57" t="str">
        <f>IF(LECON!B100="","",LECON!B100)</f>
        <v/>
      </c>
      <c r="C100" s="57" t="str">
        <f>IF(LECON!C100="","",LECON!C100)</f>
        <v/>
      </c>
      <c r="D100" s="44"/>
      <c r="E100" s="57"/>
      <c r="F100" s="57"/>
      <c r="G100" s="48" t="str">
        <f>IF(LECON!G100="","",LECON!G100)</f>
        <v/>
      </c>
      <c r="H100" s="44" t="str">
        <f>IF(LECON!H100="","",LECON!H100)</f>
        <v/>
      </c>
      <c r="I100" s="48" t="str">
        <f>IF(LECON!I100="","",LECON!I100)</f>
        <v/>
      </c>
      <c r="J100" s="48" t="str">
        <f>IF(LECON!J100="","",LECON!J100)</f>
        <v/>
      </c>
      <c r="K100" s="44"/>
      <c r="L100" s="57"/>
      <c r="M100" s="57"/>
      <c r="N100" s="46" t="str">
        <f>IF(LECON!N100="","",LECON!N100)</f>
        <v/>
      </c>
      <c r="O100" s="44" t="str">
        <f>IF(LECON!O100="","",LECON!O100)</f>
        <v/>
      </c>
      <c r="P100" s="44" t="str">
        <f>IF(LECON!P100="","",LECON!P100)</f>
        <v/>
      </c>
      <c r="Q100" s="46" t="str">
        <f>IF(LECON!Q100="","",LECON!Q100)</f>
        <v/>
      </c>
      <c r="R100" s="44" t="str">
        <f>IF(LECON!R100="","",LECON!R100)</f>
        <v/>
      </c>
    </row>
    <row r="101" spans="1:18" x14ac:dyDescent="0.25">
      <c r="A101" s="57" t="str">
        <f>IF(LECON!A101="","",LECON!A101)</f>
        <v/>
      </c>
      <c r="B101" s="57" t="str">
        <f>IF(LECON!B101="","",LECON!B101)</f>
        <v/>
      </c>
      <c r="C101" s="57" t="str">
        <f>IF(LECON!C101="","",LECON!C101)</f>
        <v/>
      </c>
      <c r="D101" s="45"/>
      <c r="E101" s="58"/>
      <c r="F101" s="58"/>
      <c r="G101" s="48" t="str">
        <f>IF(LECON!G101="","",LECON!G101)</f>
        <v/>
      </c>
      <c r="H101" s="44" t="str">
        <f>IF(LECON!H101="","",LECON!H101)</f>
        <v/>
      </c>
      <c r="I101" s="48" t="str">
        <f>IF(LECON!I101="","",LECON!I101)</f>
        <v/>
      </c>
      <c r="J101" s="48" t="str">
        <f>IF(LECON!J101="","",LECON!J101)</f>
        <v/>
      </c>
      <c r="K101" s="45"/>
      <c r="L101" s="58"/>
      <c r="M101" s="58"/>
      <c r="N101" s="46" t="str">
        <f>IF(LECON!N101="","",LECON!N101)</f>
        <v/>
      </c>
      <c r="O101" s="44" t="str">
        <f>IF(LECON!O101="","",LECON!O101)</f>
        <v/>
      </c>
      <c r="P101" s="44" t="str">
        <f>IF(LECON!P101="","",LECON!P101)</f>
        <v/>
      </c>
      <c r="Q101" s="46" t="str">
        <f>IF(LECON!Q101="","",LECON!Q101)</f>
        <v/>
      </c>
      <c r="R101" s="44" t="str">
        <f>IF(LECON!R101="","",LECON!R101)</f>
        <v/>
      </c>
    </row>
    <row r="102" spans="1:18" x14ac:dyDescent="0.25">
      <c r="A102" s="57" t="str">
        <f>IF(LECON!A102="","",LECON!A102)</f>
        <v/>
      </c>
      <c r="B102" s="57" t="str">
        <f>IF(LECON!B102="","",LECON!B102)</f>
        <v/>
      </c>
      <c r="C102" s="57" t="str">
        <f>IF(LECON!C102="","",LECON!C102)</f>
        <v/>
      </c>
      <c r="D102" s="44"/>
      <c r="E102" s="57"/>
      <c r="F102" s="57"/>
      <c r="G102" s="48" t="str">
        <f>IF(LECON!G102="","",LECON!G102)</f>
        <v/>
      </c>
      <c r="H102" s="44" t="str">
        <f>IF(LECON!H102="","",LECON!H102)</f>
        <v/>
      </c>
      <c r="I102" s="48" t="str">
        <f>IF(LECON!I102="","",LECON!I102)</f>
        <v/>
      </c>
      <c r="J102" s="48" t="str">
        <f>IF(LECON!J102="","",LECON!J102)</f>
        <v/>
      </c>
      <c r="K102" s="44"/>
      <c r="L102" s="57"/>
      <c r="M102" s="57"/>
      <c r="N102" s="46" t="str">
        <f>IF(LECON!N102="","",LECON!N102)</f>
        <v/>
      </c>
      <c r="O102" s="44" t="str">
        <f>IF(LECON!O102="","",LECON!O102)</f>
        <v/>
      </c>
      <c r="P102" s="44" t="str">
        <f>IF(LECON!P102="","",LECON!P102)</f>
        <v/>
      </c>
      <c r="Q102" s="46" t="str">
        <f>IF(LECON!Q102="","",LECON!Q102)</f>
        <v/>
      </c>
      <c r="R102" s="44" t="str">
        <f>IF(LECON!R102="","",LECON!R102)</f>
        <v/>
      </c>
    </row>
    <row r="103" spans="1:18" x14ac:dyDescent="0.25">
      <c r="A103" s="57" t="str">
        <f>IF(LECON!A103="","",LECON!A103)</f>
        <v/>
      </c>
      <c r="B103" s="57" t="str">
        <f>IF(LECON!B103="","",LECON!B103)</f>
        <v/>
      </c>
      <c r="C103" s="57" t="str">
        <f>IF(LECON!C103="","",LECON!C103)</f>
        <v/>
      </c>
      <c r="D103" s="45"/>
      <c r="E103" s="58"/>
      <c r="F103" s="58"/>
      <c r="G103" s="48" t="str">
        <f>IF(LECON!G103="","",LECON!G103)</f>
        <v/>
      </c>
      <c r="H103" s="44" t="str">
        <f>IF(LECON!H103="","",LECON!H103)</f>
        <v/>
      </c>
      <c r="I103" s="48" t="str">
        <f>IF(LECON!I103="","",LECON!I103)</f>
        <v/>
      </c>
      <c r="J103" s="48" t="str">
        <f>IF(LECON!J103="","",LECON!J103)</f>
        <v/>
      </c>
      <c r="K103" s="45"/>
      <c r="L103" s="58"/>
      <c r="M103" s="58"/>
      <c r="N103" s="46" t="str">
        <f>IF(LECON!N103="","",LECON!N103)</f>
        <v/>
      </c>
      <c r="O103" s="44" t="str">
        <f>IF(LECON!O103="","",LECON!O103)</f>
        <v/>
      </c>
      <c r="P103" s="44" t="str">
        <f>IF(LECON!P103="","",LECON!P103)</f>
        <v/>
      </c>
      <c r="Q103" s="46" t="str">
        <f>IF(LECON!Q103="","",LECON!Q103)</f>
        <v/>
      </c>
      <c r="R103" s="44" t="str">
        <f>IF(LECON!R103="","",LECON!R103)</f>
        <v/>
      </c>
    </row>
    <row r="104" spans="1:18" x14ac:dyDescent="0.25">
      <c r="A104" s="57" t="str">
        <f>IF(LECON!A104="","",LECON!A104)</f>
        <v/>
      </c>
      <c r="B104" s="57" t="str">
        <f>IF(LECON!B104="","",LECON!B104)</f>
        <v/>
      </c>
      <c r="C104" s="57" t="str">
        <f>IF(LECON!C104="","",LECON!C104)</f>
        <v/>
      </c>
      <c r="D104" s="44"/>
      <c r="E104" s="57"/>
      <c r="F104" s="57"/>
      <c r="G104" s="48" t="str">
        <f>IF(LECON!G104="","",LECON!G104)</f>
        <v/>
      </c>
      <c r="H104" s="44" t="str">
        <f>IF(LECON!H104="","",LECON!H104)</f>
        <v/>
      </c>
      <c r="I104" s="48" t="str">
        <f>IF(LECON!I104="","",LECON!I104)</f>
        <v/>
      </c>
      <c r="J104" s="48" t="str">
        <f>IF(LECON!J104="","",LECON!J104)</f>
        <v/>
      </c>
      <c r="K104" s="44"/>
      <c r="L104" s="57"/>
      <c r="M104" s="57"/>
      <c r="N104" s="46" t="str">
        <f>IF(LECON!N104="","",LECON!N104)</f>
        <v/>
      </c>
      <c r="O104" s="44" t="str">
        <f>IF(LECON!O104="","",LECON!O104)</f>
        <v/>
      </c>
      <c r="P104" s="44" t="str">
        <f>IF(LECON!P104="","",LECON!P104)</f>
        <v/>
      </c>
      <c r="Q104" s="46" t="str">
        <f>IF(LECON!Q104="","",LECON!Q104)</f>
        <v/>
      </c>
      <c r="R104" s="44" t="str">
        <f>IF(LECON!R104="","",LECON!R104)</f>
        <v/>
      </c>
    </row>
    <row r="105" spans="1:18" x14ac:dyDescent="0.25">
      <c r="A105" s="57" t="str">
        <f>IF(LECON!A105="","",LECON!A105)</f>
        <v/>
      </c>
      <c r="B105" s="57" t="str">
        <f>IF(LECON!B105="","",LECON!B105)</f>
        <v/>
      </c>
      <c r="C105" s="57" t="str">
        <f>IF(LECON!C105="","",LECON!C105)</f>
        <v/>
      </c>
      <c r="D105" s="45"/>
      <c r="E105" s="58"/>
      <c r="F105" s="58"/>
      <c r="G105" s="48" t="str">
        <f>IF(LECON!G105="","",LECON!G105)</f>
        <v/>
      </c>
      <c r="H105" s="44" t="str">
        <f>IF(LECON!H105="","",LECON!H105)</f>
        <v/>
      </c>
      <c r="I105" s="48" t="str">
        <f>IF(LECON!I105="","",LECON!I105)</f>
        <v/>
      </c>
      <c r="J105" s="48" t="str">
        <f>IF(LECON!J105="","",LECON!J105)</f>
        <v/>
      </c>
      <c r="K105" s="45"/>
      <c r="L105" s="58"/>
      <c r="M105" s="58"/>
      <c r="N105" s="46" t="str">
        <f>IF(LECON!N105="","",LECON!N105)</f>
        <v/>
      </c>
      <c r="O105" s="44" t="str">
        <f>IF(LECON!O105="","",LECON!O105)</f>
        <v/>
      </c>
      <c r="P105" s="44" t="str">
        <f>IF(LECON!P105="","",LECON!P105)</f>
        <v/>
      </c>
      <c r="Q105" s="46" t="str">
        <f>IF(LECON!Q105="","",LECON!Q105)</f>
        <v/>
      </c>
      <c r="R105" s="44" t="str">
        <f>IF(LECON!R105="","",LECON!R105)</f>
        <v/>
      </c>
    </row>
    <row r="106" spans="1:18" x14ac:dyDescent="0.25">
      <c r="A106" s="57" t="str">
        <f>IF(LECON!A106="","",LECON!A106)</f>
        <v/>
      </c>
      <c r="B106" s="57" t="str">
        <f>IF(LECON!B106="","",LECON!B106)</f>
        <v/>
      </c>
      <c r="C106" s="57" t="str">
        <f>IF(LECON!C106="","",LECON!C106)</f>
        <v/>
      </c>
      <c r="D106" s="44"/>
      <c r="E106" s="57"/>
      <c r="F106" s="57"/>
      <c r="G106" s="48" t="str">
        <f>IF(LECON!G106="","",LECON!G106)</f>
        <v/>
      </c>
      <c r="H106" s="44" t="str">
        <f>IF(LECON!H106="","",LECON!H106)</f>
        <v/>
      </c>
      <c r="I106" s="48" t="str">
        <f>IF(LECON!I106="","",LECON!I106)</f>
        <v/>
      </c>
      <c r="J106" s="48" t="str">
        <f>IF(LECON!J106="","",LECON!J106)</f>
        <v/>
      </c>
      <c r="K106" s="44"/>
      <c r="L106" s="57"/>
      <c r="M106" s="57"/>
      <c r="N106" s="46" t="str">
        <f>IF(LECON!N106="","",LECON!N106)</f>
        <v/>
      </c>
      <c r="O106" s="44" t="str">
        <f>IF(LECON!O106="","",LECON!O106)</f>
        <v/>
      </c>
      <c r="P106" s="44" t="str">
        <f>IF(LECON!P106="","",LECON!P106)</f>
        <v/>
      </c>
      <c r="Q106" s="46" t="str">
        <f>IF(LECON!Q106="","",LECON!Q106)</f>
        <v/>
      </c>
      <c r="R106" s="44" t="str">
        <f>IF(LECON!R106="","",LECON!R106)</f>
        <v/>
      </c>
    </row>
    <row r="107" spans="1:18" x14ac:dyDescent="0.25">
      <c r="A107" s="57" t="str">
        <f>IF(LECON!A107="","",LECON!A107)</f>
        <v/>
      </c>
      <c r="B107" s="57" t="str">
        <f>IF(LECON!B107="","",LECON!B107)</f>
        <v/>
      </c>
      <c r="C107" s="57" t="str">
        <f>IF(LECON!C107="","",LECON!C107)</f>
        <v/>
      </c>
      <c r="D107" s="45"/>
      <c r="E107" s="58"/>
      <c r="F107" s="58"/>
      <c r="G107" s="48" t="str">
        <f>IF(LECON!G107="","",LECON!G107)</f>
        <v/>
      </c>
      <c r="H107" s="44" t="str">
        <f>IF(LECON!H107="","",LECON!H107)</f>
        <v/>
      </c>
      <c r="I107" s="48" t="str">
        <f>IF(LECON!I107="","",LECON!I107)</f>
        <v/>
      </c>
      <c r="J107" s="48" t="str">
        <f>IF(LECON!J107="","",LECON!J107)</f>
        <v/>
      </c>
      <c r="K107" s="45"/>
      <c r="L107" s="58"/>
      <c r="M107" s="58"/>
      <c r="N107" s="46" t="str">
        <f>IF(LECON!N107="","",LECON!N107)</f>
        <v/>
      </c>
      <c r="O107" s="44" t="str">
        <f>IF(LECON!O107="","",LECON!O107)</f>
        <v/>
      </c>
      <c r="P107" s="44" t="str">
        <f>IF(LECON!P107="","",LECON!P107)</f>
        <v/>
      </c>
      <c r="Q107" s="46" t="str">
        <f>IF(LECON!Q107="","",LECON!Q107)</f>
        <v/>
      </c>
      <c r="R107" s="44" t="str">
        <f>IF(LECON!R107="","",LECON!R107)</f>
        <v/>
      </c>
    </row>
    <row r="108" spans="1:18" x14ac:dyDescent="0.25">
      <c r="A108" s="57" t="str">
        <f>IF(LECON!A108="","",LECON!A108)</f>
        <v/>
      </c>
      <c r="B108" s="57" t="str">
        <f>IF(LECON!B108="","",LECON!B108)</f>
        <v/>
      </c>
      <c r="C108" s="57" t="str">
        <f>IF(LECON!C108="","",LECON!C108)</f>
        <v/>
      </c>
      <c r="D108" s="44"/>
      <c r="E108" s="57"/>
      <c r="F108" s="57"/>
      <c r="G108" s="48" t="str">
        <f>IF(LECON!G108="","",LECON!G108)</f>
        <v/>
      </c>
      <c r="H108" s="44" t="str">
        <f>IF(LECON!H108="","",LECON!H108)</f>
        <v/>
      </c>
      <c r="I108" s="48" t="str">
        <f>IF(LECON!I108="","",LECON!I108)</f>
        <v/>
      </c>
      <c r="J108" s="48" t="str">
        <f>IF(LECON!J108="","",LECON!J108)</f>
        <v/>
      </c>
      <c r="K108" s="44"/>
      <c r="L108" s="57"/>
      <c r="M108" s="57"/>
      <c r="N108" s="46" t="str">
        <f>IF(LECON!N108="","",LECON!N108)</f>
        <v/>
      </c>
      <c r="O108" s="44" t="str">
        <f>IF(LECON!O108="","",LECON!O108)</f>
        <v/>
      </c>
      <c r="P108" s="44" t="str">
        <f>IF(LECON!P108="","",LECON!P108)</f>
        <v/>
      </c>
      <c r="Q108" s="46" t="str">
        <f>IF(LECON!Q108="","",LECON!Q108)</f>
        <v/>
      </c>
      <c r="R108" s="44" t="str">
        <f>IF(LECON!R108="","",LECON!R108)</f>
        <v/>
      </c>
    </row>
    <row r="109" spans="1:18" x14ac:dyDescent="0.25">
      <c r="A109" s="57" t="str">
        <f>IF(LECON!A109="","",LECON!A109)</f>
        <v/>
      </c>
      <c r="B109" s="57" t="str">
        <f>IF(LECON!B109="","",LECON!B109)</f>
        <v/>
      </c>
      <c r="C109" s="57" t="str">
        <f>IF(LECON!C109="","",LECON!C109)</f>
        <v/>
      </c>
      <c r="D109" s="45"/>
      <c r="E109" s="58"/>
      <c r="F109" s="58"/>
      <c r="G109" s="48" t="str">
        <f>IF(LECON!G109="","",LECON!G109)</f>
        <v/>
      </c>
      <c r="H109" s="44" t="str">
        <f>IF(LECON!H109="","",LECON!H109)</f>
        <v/>
      </c>
      <c r="I109" s="48" t="str">
        <f>IF(LECON!I109="","",LECON!I109)</f>
        <v/>
      </c>
      <c r="J109" s="48" t="str">
        <f>IF(LECON!J109="","",LECON!J109)</f>
        <v/>
      </c>
      <c r="K109" s="45"/>
      <c r="L109" s="58"/>
      <c r="M109" s="58"/>
      <c r="N109" s="46" t="str">
        <f>IF(LECON!N109="","",LECON!N109)</f>
        <v/>
      </c>
      <c r="O109" s="44" t="str">
        <f>IF(LECON!O109="","",LECON!O109)</f>
        <v/>
      </c>
      <c r="P109" s="44" t="str">
        <f>IF(LECON!P109="","",LECON!P109)</f>
        <v/>
      </c>
      <c r="Q109" s="46" t="str">
        <f>IF(LECON!Q109="","",LECON!Q109)</f>
        <v/>
      </c>
      <c r="R109" s="44" t="str">
        <f>IF(LECON!R109="","",LECON!R109)</f>
        <v/>
      </c>
    </row>
    <row r="110" spans="1:18" x14ac:dyDescent="0.25">
      <c r="A110" s="57" t="str">
        <f>IF(LECON!A110="","",LECON!A110)</f>
        <v/>
      </c>
      <c r="B110" s="57" t="str">
        <f>IF(LECON!B110="","",LECON!B110)</f>
        <v/>
      </c>
      <c r="C110" s="57" t="str">
        <f>IF(LECON!C110="","",LECON!C110)</f>
        <v/>
      </c>
      <c r="D110" s="44"/>
      <c r="E110" s="57"/>
      <c r="F110" s="57"/>
      <c r="G110" s="48" t="str">
        <f>IF(LECON!G110="","",LECON!G110)</f>
        <v/>
      </c>
      <c r="H110" s="44" t="str">
        <f>IF(LECON!H110="","",LECON!H110)</f>
        <v/>
      </c>
      <c r="I110" s="48" t="str">
        <f>IF(LECON!I110="","",LECON!I110)</f>
        <v/>
      </c>
      <c r="J110" s="48" t="str">
        <f>IF(LECON!J110="","",LECON!J110)</f>
        <v/>
      </c>
      <c r="K110" s="44"/>
      <c r="L110" s="57"/>
      <c r="M110" s="57"/>
      <c r="N110" s="46" t="str">
        <f>IF(LECON!N110="","",LECON!N110)</f>
        <v/>
      </c>
      <c r="O110" s="44" t="str">
        <f>IF(LECON!O110="","",LECON!O110)</f>
        <v/>
      </c>
      <c r="P110" s="44" t="str">
        <f>IF(LECON!P110="","",LECON!P110)</f>
        <v/>
      </c>
      <c r="Q110" s="46" t="str">
        <f>IF(LECON!Q110="","",LECON!Q110)</f>
        <v/>
      </c>
      <c r="R110" s="44" t="str">
        <f>IF(LECON!R110="","",LECON!R110)</f>
        <v/>
      </c>
    </row>
    <row r="111" spans="1:18" x14ac:dyDescent="0.25">
      <c r="A111" s="57" t="str">
        <f>IF(LECON!A111="","",LECON!A111)</f>
        <v/>
      </c>
      <c r="B111" s="57" t="str">
        <f>IF(LECON!B111="","",LECON!B111)</f>
        <v/>
      </c>
      <c r="C111" s="57" t="str">
        <f>IF(LECON!C111="","",LECON!C111)</f>
        <v/>
      </c>
      <c r="D111" s="45"/>
      <c r="E111" s="58"/>
      <c r="F111" s="58"/>
      <c r="G111" s="48" t="str">
        <f>IF(LECON!G111="","",LECON!G111)</f>
        <v/>
      </c>
      <c r="H111" s="44" t="str">
        <f>IF(LECON!H111="","",LECON!H111)</f>
        <v/>
      </c>
      <c r="I111" s="48" t="str">
        <f>IF(LECON!I111="","",LECON!I111)</f>
        <v/>
      </c>
      <c r="J111" s="48" t="str">
        <f>IF(LECON!J111="","",LECON!J111)</f>
        <v/>
      </c>
      <c r="K111" s="45"/>
      <c r="L111" s="58"/>
      <c r="M111" s="58"/>
      <c r="N111" s="46" t="str">
        <f>IF(LECON!N111="","",LECON!N111)</f>
        <v/>
      </c>
      <c r="O111" s="44" t="str">
        <f>IF(LECON!O111="","",LECON!O111)</f>
        <v/>
      </c>
      <c r="P111" s="44" t="str">
        <f>IF(LECON!P111="","",LECON!P111)</f>
        <v/>
      </c>
      <c r="Q111" s="46" t="str">
        <f>IF(LECON!Q111="","",LECON!Q111)</f>
        <v/>
      </c>
      <c r="R111" s="44" t="str">
        <f>IF(LECON!R111="","",LECON!R111)</f>
        <v/>
      </c>
    </row>
    <row r="112" spans="1:18" x14ac:dyDescent="0.25">
      <c r="A112" s="57" t="str">
        <f>IF(LECON!A112="","",LECON!A112)</f>
        <v/>
      </c>
      <c r="B112" s="57" t="str">
        <f>IF(LECON!B112="","",LECON!B112)</f>
        <v/>
      </c>
      <c r="C112" s="57" t="str">
        <f>IF(LECON!C112="","",LECON!C112)</f>
        <v/>
      </c>
      <c r="D112" s="44"/>
      <c r="E112" s="57"/>
      <c r="F112" s="57"/>
      <c r="G112" s="48" t="str">
        <f>IF(LECON!G112="","",LECON!G112)</f>
        <v/>
      </c>
      <c r="H112" s="44" t="str">
        <f>IF(LECON!H112="","",LECON!H112)</f>
        <v/>
      </c>
      <c r="I112" s="48" t="str">
        <f>IF(LECON!I112="","",LECON!I112)</f>
        <v/>
      </c>
      <c r="J112" s="48" t="str">
        <f>IF(LECON!J112="","",LECON!J112)</f>
        <v/>
      </c>
      <c r="K112" s="44"/>
      <c r="L112" s="57"/>
      <c r="M112" s="57"/>
      <c r="N112" s="46" t="str">
        <f>IF(LECON!N112="","",LECON!N112)</f>
        <v/>
      </c>
      <c r="O112" s="44" t="str">
        <f>IF(LECON!O112="","",LECON!O112)</f>
        <v/>
      </c>
      <c r="P112" s="44" t="str">
        <f>IF(LECON!P112="","",LECON!P112)</f>
        <v/>
      </c>
      <c r="Q112" s="46" t="str">
        <f>IF(LECON!Q112="","",LECON!Q112)</f>
        <v/>
      </c>
      <c r="R112" s="44" t="str">
        <f>IF(LECON!R112="","",LECON!R112)</f>
        <v/>
      </c>
    </row>
    <row r="113" spans="1:18" x14ac:dyDescent="0.25">
      <c r="A113" s="57" t="str">
        <f>IF(LECON!A113="","",LECON!A113)</f>
        <v/>
      </c>
      <c r="B113" s="57" t="str">
        <f>IF(LECON!B113="","",LECON!B113)</f>
        <v/>
      </c>
      <c r="C113" s="57" t="str">
        <f>IF(LECON!C113="","",LECON!C113)</f>
        <v/>
      </c>
      <c r="D113" s="45"/>
      <c r="E113" s="58"/>
      <c r="F113" s="58"/>
      <c r="G113" s="48" t="str">
        <f>IF(LECON!G113="","",LECON!G113)</f>
        <v/>
      </c>
      <c r="H113" s="44" t="str">
        <f>IF(LECON!H113="","",LECON!H113)</f>
        <v/>
      </c>
      <c r="I113" s="48" t="str">
        <f>IF(LECON!I113="","",LECON!I113)</f>
        <v/>
      </c>
      <c r="J113" s="48" t="str">
        <f>IF(LECON!J113="","",LECON!J113)</f>
        <v/>
      </c>
      <c r="K113" s="45"/>
      <c r="L113" s="58"/>
      <c r="M113" s="58"/>
      <c r="N113" s="46" t="str">
        <f>IF(LECON!N113="","",LECON!N113)</f>
        <v/>
      </c>
      <c r="O113" s="44" t="str">
        <f>IF(LECON!O113="","",LECON!O113)</f>
        <v/>
      </c>
      <c r="P113" s="44" t="str">
        <f>IF(LECON!P113="","",LECON!P113)</f>
        <v/>
      </c>
      <c r="Q113" s="46" t="str">
        <f>IF(LECON!Q113="","",LECON!Q113)</f>
        <v/>
      </c>
      <c r="R113" s="44" t="str">
        <f>IF(LECON!R113="","",LECON!R113)</f>
        <v/>
      </c>
    </row>
    <row r="114" spans="1:18" x14ac:dyDescent="0.25">
      <c r="A114" s="57" t="str">
        <f>IF(LECON!A114="","",LECON!A114)</f>
        <v/>
      </c>
      <c r="B114" s="57" t="str">
        <f>IF(LECON!B114="","",LECON!B114)</f>
        <v/>
      </c>
      <c r="C114" s="57" t="str">
        <f>IF(LECON!C114="","",LECON!C114)</f>
        <v/>
      </c>
      <c r="D114" s="44"/>
      <c r="E114" s="57"/>
      <c r="F114" s="57"/>
      <c r="G114" s="48" t="str">
        <f>IF(LECON!G114="","",LECON!G114)</f>
        <v/>
      </c>
      <c r="H114" s="44" t="str">
        <f>IF(LECON!H114="","",LECON!H114)</f>
        <v/>
      </c>
      <c r="I114" s="48" t="str">
        <f>IF(LECON!I114="","",LECON!I114)</f>
        <v/>
      </c>
      <c r="J114" s="48" t="str">
        <f>IF(LECON!J114="","",LECON!J114)</f>
        <v/>
      </c>
      <c r="K114" s="44"/>
      <c r="L114" s="57"/>
      <c r="M114" s="57"/>
      <c r="N114" s="46" t="str">
        <f>IF(LECON!N114="","",LECON!N114)</f>
        <v/>
      </c>
      <c r="O114" s="44" t="str">
        <f>IF(LECON!O114="","",LECON!O114)</f>
        <v/>
      </c>
      <c r="P114" s="44" t="str">
        <f>IF(LECON!P114="","",LECON!P114)</f>
        <v/>
      </c>
      <c r="Q114" s="46" t="str">
        <f>IF(LECON!Q114="","",LECON!Q114)</f>
        <v/>
      </c>
      <c r="R114" s="44" t="str">
        <f>IF(LECON!R114="","",LECON!R114)</f>
        <v/>
      </c>
    </row>
    <row r="115" spans="1:18" x14ac:dyDescent="0.25">
      <c r="A115" s="57" t="str">
        <f>IF(LECON!A115="","",LECON!A115)</f>
        <v/>
      </c>
      <c r="B115" s="57" t="str">
        <f>IF(LECON!B115="","",LECON!B115)</f>
        <v/>
      </c>
      <c r="C115" s="57" t="str">
        <f>IF(LECON!C115="","",LECON!C115)</f>
        <v/>
      </c>
      <c r="D115" s="45"/>
      <c r="E115" s="58"/>
      <c r="F115" s="58"/>
      <c r="G115" s="48" t="str">
        <f>IF(LECON!G115="","",LECON!G115)</f>
        <v/>
      </c>
      <c r="H115" s="44" t="str">
        <f>IF(LECON!H115="","",LECON!H115)</f>
        <v/>
      </c>
      <c r="I115" s="48" t="str">
        <f>IF(LECON!I115="","",LECON!I115)</f>
        <v/>
      </c>
      <c r="J115" s="48" t="str">
        <f>IF(LECON!J115="","",LECON!J115)</f>
        <v/>
      </c>
      <c r="K115" s="45"/>
      <c r="L115" s="58"/>
      <c r="M115" s="58"/>
      <c r="N115" s="46" t="str">
        <f>IF(LECON!N115="","",LECON!N115)</f>
        <v/>
      </c>
      <c r="O115" s="44" t="str">
        <f>IF(LECON!O115="","",LECON!O115)</f>
        <v/>
      </c>
      <c r="P115" s="44" t="str">
        <f>IF(LECON!P115="","",LECON!P115)</f>
        <v/>
      </c>
      <c r="Q115" s="46" t="str">
        <f>IF(LECON!Q115="","",LECON!Q115)</f>
        <v/>
      </c>
      <c r="R115" s="44" t="str">
        <f>IF(LECON!R115="","",LECON!R115)</f>
        <v/>
      </c>
    </row>
    <row r="116" spans="1:18" x14ac:dyDescent="0.25">
      <c r="A116" s="57" t="str">
        <f>IF(LECON!A116="","",LECON!A116)</f>
        <v/>
      </c>
      <c r="B116" s="57" t="str">
        <f>IF(LECON!B116="","",LECON!B116)</f>
        <v/>
      </c>
      <c r="C116" s="57" t="str">
        <f>IF(LECON!C116="","",LECON!C116)</f>
        <v/>
      </c>
      <c r="D116" s="44"/>
      <c r="E116" s="57"/>
      <c r="F116" s="57"/>
      <c r="G116" s="48" t="str">
        <f>IF(LECON!G116="","",LECON!G116)</f>
        <v/>
      </c>
      <c r="H116" s="44" t="str">
        <f>IF(LECON!H116="","",LECON!H116)</f>
        <v/>
      </c>
      <c r="I116" s="48" t="str">
        <f>IF(LECON!I116="","",LECON!I116)</f>
        <v/>
      </c>
      <c r="J116" s="48" t="str">
        <f>IF(LECON!J116="","",LECON!J116)</f>
        <v/>
      </c>
      <c r="K116" s="44"/>
      <c r="L116" s="57"/>
      <c r="M116" s="57"/>
      <c r="N116" s="46" t="str">
        <f>IF(LECON!N116="","",LECON!N116)</f>
        <v/>
      </c>
      <c r="O116" s="44" t="str">
        <f>IF(LECON!O116="","",LECON!O116)</f>
        <v/>
      </c>
      <c r="P116" s="44" t="str">
        <f>IF(LECON!P116="","",LECON!P116)</f>
        <v/>
      </c>
      <c r="Q116" s="46" t="str">
        <f>IF(LECON!Q116="","",LECON!Q116)</f>
        <v/>
      </c>
      <c r="R116" s="44" t="str">
        <f>IF(LECON!R116="","",LECON!R116)</f>
        <v/>
      </c>
    </row>
    <row r="117" spans="1:18" x14ac:dyDescent="0.25">
      <c r="A117" s="57" t="str">
        <f>IF(LECON!A117="","",LECON!A117)</f>
        <v/>
      </c>
      <c r="B117" s="57" t="str">
        <f>IF(LECON!B117="","",LECON!B117)</f>
        <v/>
      </c>
      <c r="C117" s="57" t="str">
        <f>IF(LECON!C117="","",LECON!C117)</f>
        <v/>
      </c>
      <c r="D117" s="45"/>
      <c r="E117" s="58"/>
      <c r="F117" s="58"/>
      <c r="G117" s="48" t="str">
        <f>IF(LECON!G117="","",LECON!G117)</f>
        <v/>
      </c>
      <c r="H117" s="44" t="str">
        <f>IF(LECON!H117="","",LECON!H117)</f>
        <v/>
      </c>
      <c r="I117" s="48" t="str">
        <f>IF(LECON!I117="","",LECON!I117)</f>
        <v/>
      </c>
      <c r="J117" s="48" t="str">
        <f>IF(LECON!J117="","",LECON!J117)</f>
        <v/>
      </c>
      <c r="K117" s="45"/>
      <c r="L117" s="58"/>
      <c r="M117" s="58"/>
      <c r="N117" s="46" t="str">
        <f>IF(LECON!N117="","",LECON!N117)</f>
        <v/>
      </c>
      <c r="O117" s="44" t="str">
        <f>IF(LECON!O117="","",LECON!O117)</f>
        <v/>
      </c>
      <c r="P117" s="44" t="str">
        <f>IF(LECON!P117="","",LECON!P117)</f>
        <v/>
      </c>
      <c r="Q117" s="46" t="str">
        <f>IF(LECON!Q117="","",LECON!Q117)</f>
        <v/>
      </c>
      <c r="R117" s="44" t="str">
        <f>IF(LECON!R117="","",LECON!R117)</f>
        <v/>
      </c>
    </row>
    <row r="118" spans="1:18" x14ac:dyDescent="0.25">
      <c r="A118" s="57" t="str">
        <f>IF(LECON!A118="","",LECON!A118)</f>
        <v/>
      </c>
      <c r="B118" s="57" t="str">
        <f>IF(LECON!B118="","",LECON!B118)</f>
        <v/>
      </c>
      <c r="C118" s="57" t="str">
        <f>IF(LECON!C118="","",LECON!C118)</f>
        <v/>
      </c>
      <c r="D118" s="44"/>
      <c r="E118" s="57"/>
      <c r="F118" s="57"/>
      <c r="G118" s="48" t="str">
        <f>IF(LECON!G118="","",LECON!G118)</f>
        <v/>
      </c>
      <c r="H118" s="44" t="str">
        <f>IF(LECON!H118="","",LECON!H118)</f>
        <v/>
      </c>
      <c r="I118" s="48" t="str">
        <f>IF(LECON!I118="","",LECON!I118)</f>
        <v/>
      </c>
      <c r="J118" s="48" t="str">
        <f>IF(LECON!J118="","",LECON!J118)</f>
        <v/>
      </c>
      <c r="K118" s="44"/>
      <c r="L118" s="57"/>
      <c r="M118" s="57"/>
      <c r="N118" s="46" t="str">
        <f>IF(LECON!N118="","",LECON!N118)</f>
        <v/>
      </c>
      <c r="O118" s="44" t="str">
        <f>IF(LECON!O118="","",LECON!O118)</f>
        <v/>
      </c>
      <c r="P118" s="44" t="str">
        <f>IF(LECON!P118="","",LECON!P118)</f>
        <v/>
      </c>
      <c r="Q118" s="46" t="str">
        <f>IF(LECON!Q118="","",LECON!Q118)</f>
        <v/>
      </c>
      <c r="R118" s="44" t="str">
        <f>IF(LECON!R118="","",LECON!R118)</f>
        <v/>
      </c>
    </row>
    <row r="119" spans="1:18" x14ac:dyDescent="0.25">
      <c r="A119" s="57" t="str">
        <f>IF(LECON!A119="","",LECON!A119)</f>
        <v/>
      </c>
      <c r="B119" s="57" t="str">
        <f>IF(LECON!B119="","",LECON!B119)</f>
        <v/>
      </c>
      <c r="C119" s="57" t="str">
        <f>IF(LECON!C119="","",LECON!C119)</f>
        <v/>
      </c>
      <c r="D119" s="45"/>
      <c r="E119" s="58"/>
      <c r="F119" s="58"/>
      <c r="G119" s="48" t="str">
        <f>IF(LECON!G119="","",LECON!G119)</f>
        <v/>
      </c>
      <c r="H119" s="44" t="str">
        <f>IF(LECON!H119="","",LECON!H119)</f>
        <v/>
      </c>
      <c r="I119" s="48" t="str">
        <f>IF(LECON!I119="","",LECON!I119)</f>
        <v/>
      </c>
      <c r="J119" s="48" t="str">
        <f>IF(LECON!J119="","",LECON!J119)</f>
        <v/>
      </c>
      <c r="K119" s="45"/>
      <c r="L119" s="58"/>
      <c r="M119" s="58"/>
      <c r="N119" s="46" t="str">
        <f>IF(LECON!N119="","",LECON!N119)</f>
        <v/>
      </c>
      <c r="O119" s="44" t="str">
        <f>IF(LECON!O119="","",LECON!O119)</f>
        <v/>
      </c>
      <c r="P119" s="44" t="str">
        <f>IF(LECON!P119="","",LECON!P119)</f>
        <v/>
      </c>
      <c r="Q119" s="46" t="str">
        <f>IF(LECON!Q119="","",LECON!Q119)</f>
        <v/>
      </c>
      <c r="R119" s="44" t="str">
        <f>IF(LECON!R119="","",LECON!R119)</f>
        <v/>
      </c>
    </row>
    <row r="120" spans="1:18" x14ac:dyDescent="0.25">
      <c r="A120" s="57" t="str">
        <f>IF(LECON!A120="","",LECON!A120)</f>
        <v/>
      </c>
      <c r="B120" s="57" t="str">
        <f>IF(LECON!B120="","",LECON!B120)</f>
        <v/>
      </c>
      <c r="C120" s="57" t="str">
        <f>IF(LECON!C120="","",LECON!C120)</f>
        <v/>
      </c>
      <c r="D120" s="44"/>
      <c r="E120" s="57"/>
      <c r="F120" s="57"/>
      <c r="G120" s="48" t="str">
        <f>IF(LECON!G120="","",LECON!G120)</f>
        <v/>
      </c>
      <c r="H120" s="44" t="str">
        <f>IF(LECON!H120="","",LECON!H120)</f>
        <v/>
      </c>
      <c r="I120" s="48" t="str">
        <f>IF(LECON!I120="","",LECON!I120)</f>
        <v/>
      </c>
      <c r="J120" s="48" t="str">
        <f>IF(LECON!J120="","",LECON!J120)</f>
        <v/>
      </c>
      <c r="K120" s="44"/>
      <c r="L120" s="57"/>
      <c r="M120" s="57"/>
      <c r="N120" s="46" t="str">
        <f>IF(LECON!N120="","",LECON!N120)</f>
        <v/>
      </c>
      <c r="O120" s="44" t="str">
        <f>IF(LECON!O120="","",LECON!O120)</f>
        <v/>
      </c>
      <c r="P120" s="44" t="str">
        <f>IF(LECON!P120="","",LECON!P120)</f>
        <v/>
      </c>
      <c r="Q120" s="46" t="str">
        <f>IF(LECON!Q120="","",LECON!Q120)</f>
        <v/>
      </c>
      <c r="R120" s="44" t="str">
        <f>IF(LECON!R120="","",LECON!R120)</f>
        <v/>
      </c>
    </row>
    <row r="121" spans="1:18" x14ac:dyDescent="0.25">
      <c r="A121" s="57" t="str">
        <f>IF(LECON!A121="","",LECON!A121)</f>
        <v/>
      </c>
      <c r="B121" s="57" t="str">
        <f>IF(LECON!B121="","",LECON!B121)</f>
        <v/>
      </c>
      <c r="C121" s="57" t="str">
        <f>IF(LECON!C121="","",LECON!C121)</f>
        <v/>
      </c>
      <c r="D121" s="45"/>
      <c r="E121" s="58"/>
      <c r="F121" s="58"/>
      <c r="G121" s="48" t="str">
        <f>IF(LECON!G121="","",LECON!G121)</f>
        <v/>
      </c>
      <c r="H121" s="44" t="str">
        <f>IF(LECON!H121="","",LECON!H121)</f>
        <v/>
      </c>
      <c r="I121" s="48" t="str">
        <f>IF(LECON!I121="","",LECON!I121)</f>
        <v/>
      </c>
      <c r="J121" s="48" t="str">
        <f>IF(LECON!J121="","",LECON!J121)</f>
        <v/>
      </c>
      <c r="K121" s="45"/>
      <c r="L121" s="58"/>
      <c r="M121" s="58"/>
      <c r="N121" s="46" t="str">
        <f>IF(LECON!N121="","",LECON!N121)</f>
        <v/>
      </c>
      <c r="O121" s="44" t="str">
        <f>IF(LECON!O121="","",LECON!O121)</f>
        <v/>
      </c>
      <c r="P121" s="44" t="str">
        <f>IF(LECON!P121="","",LECON!P121)</f>
        <v/>
      </c>
      <c r="Q121" s="46" t="str">
        <f>IF(LECON!Q121="","",LECON!Q121)</f>
        <v/>
      </c>
      <c r="R121" s="44" t="str">
        <f>IF(LECON!R121="","",LECON!R121)</f>
        <v/>
      </c>
    </row>
    <row r="122" spans="1:18" x14ac:dyDescent="0.25">
      <c r="A122" s="57" t="str">
        <f>IF(LECON!A122="","",LECON!A122)</f>
        <v/>
      </c>
      <c r="B122" s="57" t="str">
        <f>IF(LECON!B122="","",LECON!B122)</f>
        <v/>
      </c>
      <c r="C122" s="57" t="str">
        <f>IF(LECON!C122="","",LECON!C122)</f>
        <v/>
      </c>
      <c r="D122" s="44"/>
      <c r="E122" s="57"/>
      <c r="F122" s="57"/>
      <c r="G122" s="48" t="str">
        <f>IF(LECON!G122="","",LECON!G122)</f>
        <v/>
      </c>
      <c r="H122" s="44" t="str">
        <f>IF(LECON!H122="","",LECON!H122)</f>
        <v/>
      </c>
      <c r="I122" s="48" t="str">
        <f>IF(LECON!I122="","",LECON!I122)</f>
        <v/>
      </c>
      <c r="J122" s="48" t="str">
        <f>IF(LECON!J122="","",LECON!J122)</f>
        <v/>
      </c>
      <c r="K122" s="44"/>
      <c r="L122" s="57"/>
      <c r="M122" s="57"/>
      <c r="N122" s="46" t="str">
        <f>IF(LECON!N122="","",LECON!N122)</f>
        <v/>
      </c>
      <c r="O122" s="44" t="str">
        <f>IF(LECON!O122="","",LECON!O122)</f>
        <v/>
      </c>
      <c r="P122" s="44" t="str">
        <f>IF(LECON!P122="","",LECON!P122)</f>
        <v/>
      </c>
      <c r="Q122" s="46" t="str">
        <f>IF(LECON!Q122="","",LECON!Q122)</f>
        <v/>
      </c>
      <c r="R122" s="44" t="str">
        <f>IF(LECON!R122="","",LECON!R122)</f>
        <v/>
      </c>
    </row>
    <row r="123" spans="1:18" x14ac:dyDescent="0.25">
      <c r="A123" s="57" t="str">
        <f>IF(LECON!A123="","",LECON!A123)</f>
        <v/>
      </c>
      <c r="B123" s="57" t="str">
        <f>IF(LECON!B123="","",LECON!B123)</f>
        <v/>
      </c>
      <c r="C123" s="57" t="str">
        <f>IF(LECON!C123="","",LECON!C123)</f>
        <v/>
      </c>
      <c r="D123" s="45"/>
      <c r="E123" s="58"/>
      <c r="F123" s="58"/>
      <c r="G123" s="48" t="str">
        <f>IF(LECON!G123="","",LECON!G123)</f>
        <v/>
      </c>
      <c r="H123" s="44" t="str">
        <f>IF(LECON!H123="","",LECON!H123)</f>
        <v/>
      </c>
      <c r="I123" s="48" t="str">
        <f>IF(LECON!I123="","",LECON!I123)</f>
        <v/>
      </c>
      <c r="J123" s="48" t="str">
        <f>IF(LECON!J123="","",LECON!J123)</f>
        <v/>
      </c>
      <c r="K123" s="45"/>
      <c r="L123" s="58"/>
      <c r="M123" s="58"/>
      <c r="N123" s="46" t="str">
        <f>IF(LECON!N123="","",LECON!N123)</f>
        <v/>
      </c>
      <c r="O123" s="44" t="str">
        <f>IF(LECON!O123="","",LECON!O123)</f>
        <v/>
      </c>
      <c r="P123" s="44" t="str">
        <f>IF(LECON!P123="","",LECON!P123)</f>
        <v/>
      </c>
      <c r="Q123" s="46" t="str">
        <f>IF(LECON!Q123="","",LECON!Q123)</f>
        <v/>
      </c>
      <c r="R123" s="44" t="str">
        <f>IF(LECON!R123="","",LECON!R123)</f>
        <v/>
      </c>
    </row>
    <row r="124" spans="1:18" x14ac:dyDescent="0.25">
      <c r="A124" s="57" t="str">
        <f>IF(LECON!A124="","",LECON!A124)</f>
        <v/>
      </c>
      <c r="B124" s="57" t="str">
        <f>IF(LECON!B124="","",LECON!B124)</f>
        <v/>
      </c>
      <c r="C124" s="57" t="str">
        <f>IF(LECON!C124="","",LECON!C124)</f>
        <v/>
      </c>
      <c r="D124" s="44"/>
      <c r="E124" s="57"/>
      <c r="F124" s="57"/>
      <c r="G124" s="48" t="str">
        <f>IF(LECON!G124="","",LECON!G124)</f>
        <v/>
      </c>
      <c r="H124" s="44" t="str">
        <f>IF(LECON!H124="","",LECON!H124)</f>
        <v/>
      </c>
      <c r="I124" s="48" t="str">
        <f>IF(LECON!I124="","",LECON!I124)</f>
        <v/>
      </c>
      <c r="J124" s="48" t="str">
        <f>IF(LECON!J124="","",LECON!J124)</f>
        <v/>
      </c>
      <c r="K124" s="44"/>
      <c r="L124" s="57"/>
      <c r="M124" s="57"/>
      <c r="N124" s="46" t="str">
        <f>IF(LECON!N124="","",LECON!N124)</f>
        <v/>
      </c>
      <c r="O124" s="44" t="str">
        <f>IF(LECON!O124="","",LECON!O124)</f>
        <v/>
      </c>
      <c r="P124" s="44" t="str">
        <f>IF(LECON!P124="","",LECON!P124)</f>
        <v/>
      </c>
      <c r="Q124" s="46" t="str">
        <f>IF(LECON!Q124="","",LECON!Q124)</f>
        <v/>
      </c>
      <c r="R124" s="44" t="str">
        <f>IF(LECON!R124="","",LECON!R124)</f>
        <v/>
      </c>
    </row>
    <row r="125" spans="1:18" x14ac:dyDescent="0.25">
      <c r="A125" s="57" t="str">
        <f>IF(LECON!A125="","",LECON!A125)</f>
        <v/>
      </c>
      <c r="B125" s="57" t="str">
        <f>IF(LECON!B125="","",LECON!B125)</f>
        <v/>
      </c>
      <c r="C125" s="57" t="str">
        <f>IF(LECON!C125="","",LECON!C125)</f>
        <v/>
      </c>
      <c r="D125" s="45"/>
      <c r="E125" s="58"/>
      <c r="F125" s="58"/>
      <c r="G125" s="48" t="str">
        <f>IF(LECON!G125="","",LECON!G125)</f>
        <v/>
      </c>
      <c r="H125" s="44" t="str">
        <f>IF(LECON!H125="","",LECON!H125)</f>
        <v/>
      </c>
      <c r="I125" s="48" t="str">
        <f>IF(LECON!I125="","",LECON!I125)</f>
        <v/>
      </c>
      <c r="J125" s="48" t="str">
        <f>IF(LECON!J125="","",LECON!J125)</f>
        <v/>
      </c>
      <c r="K125" s="45"/>
      <c r="L125" s="58"/>
      <c r="M125" s="58"/>
      <c r="N125" s="46" t="str">
        <f>IF(LECON!N125="","",LECON!N125)</f>
        <v/>
      </c>
      <c r="O125" s="44" t="str">
        <f>IF(LECON!O125="","",LECON!O125)</f>
        <v/>
      </c>
      <c r="P125" s="44" t="str">
        <f>IF(LECON!P125="","",LECON!P125)</f>
        <v/>
      </c>
      <c r="Q125" s="46" t="str">
        <f>IF(LECON!Q125="","",LECON!Q125)</f>
        <v/>
      </c>
      <c r="R125" s="44" t="str">
        <f>IF(LECON!R125="","",LECON!R125)</f>
        <v/>
      </c>
    </row>
    <row r="126" spans="1:18" x14ac:dyDescent="0.25">
      <c r="A126" s="57" t="str">
        <f>IF(LECON!A126="","",LECON!A126)</f>
        <v/>
      </c>
      <c r="B126" s="57" t="str">
        <f>IF(LECON!B126="","",LECON!B126)</f>
        <v/>
      </c>
      <c r="C126" s="57" t="str">
        <f>IF(LECON!C126="","",LECON!C126)</f>
        <v/>
      </c>
      <c r="D126" s="44"/>
      <c r="E126" s="57"/>
      <c r="F126" s="57"/>
      <c r="G126" s="48" t="str">
        <f>IF(LECON!G126="","",LECON!G126)</f>
        <v/>
      </c>
      <c r="H126" s="44" t="str">
        <f>IF(LECON!H126="","",LECON!H126)</f>
        <v/>
      </c>
      <c r="I126" s="48" t="str">
        <f>IF(LECON!I126="","",LECON!I126)</f>
        <v/>
      </c>
      <c r="J126" s="48" t="str">
        <f>IF(LECON!J126="","",LECON!J126)</f>
        <v/>
      </c>
      <c r="K126" s="44"/>
      <c r="L126" s="57"/>
      <c r="M126" s="57"/>
      <c r="N126" s="46" t="str">
        <f>IF(LECON!N126="","",LECON!N126)</f>
        <v/>
      </c>
      <c r="O126" s="44" t="str">
        <f>IF(LECON!O126="","",LECON!O126)</f>
        <v/>
      </c>
      <c r="P126" s="44" t="str">
        <f>IF(LECON!P126="","",LECON!P126)</f>
        <v/>
      </c>
      <c r="Q126" s="46" t="str">
        <f>IF(LECON!Q126="","",LECON!Q126)</f>
        <v/>
      </c>
      <c r="R126" s="44" t="str">
        <f>IF(LECON!R126="","",LECON!R126)</f>
        <v/>
      </c>
    </row>
    <row r="127" spans="1:18" x14ac:dyDescent="0.25">
      <c r="A127" s="57" t="str">
        <f>IF(LECON!A127="","",LECON!A127)</f>
        <v/>
      </c>
      <c r="B127" s="57" t="str">
        <f>IF(LECON!B127="","",LECON!B127)</f>
        <v/>
      </c>
      <c r="C127" s="57" t="str">
        <f>IF(LECON!C127="","",LECON!C127)</f>
        <v/>
      </c>
      <c r="D127" s="45"/>
      <c r="E127" s="58"/>
      <c r="F127" s="58"/>
      <c r="G127" s="48" t="str">
        <f>IF(LECON!G127="","",LECON!G127)</f>
        <v/>
      </c>
      <c r="H127" s="44" t="str">
        <f>IF(LECON!H127="","",LECON!H127)</f>
        <v/>
      </c>
      <c r="I127" s="48" t="str">
        <f>IF(LECON!I127="","",LECON!I127)</f>
        <v/>
      </c>
      <c r="J127" s="48" t="str">
        <f>IF(LECON!J127="","",LECON!J127)</f>
        <v/>
      </c>
      <c r="K127" s="45"/>
      <c r="L127" s="58"/>
      <c r="M127" s="58"/>
      <c r="N127" s="46" t="str">
        <f>IF(LECON!N127="","",LECON!N127)</f>
        <v/>
      </c>
      <c r="O127" s="44" t="str">
        <f>IF(LECON!O127="","",LECON!O127)</f>
        <v/>
      </c>
      <c r="P127" s="44" t="str">
        <f>IF(LECON!P127="","",LECON!P127)</f>
        <v/>
      </c>
      <c r="Q127" s="46" t="str">
        <f>IF(LECON!Q127="","",LECON!Q127)</f>
        <v/>
      </c>
      <c r="R127" s="44" t="str">
        <f>IF(LECON!R127="","",LECON!R127)</f>
        <v/>
      </c>
    </row>
    <row r="128" spans="1:18" x14ac:dyDescent="0.25">
      <c r="A128" s="57" t="str">
        <f>IF(LECON!A128="","",LECON!A128)</f>
        <v/>
      </c>
      <c r="B128" s="57" t="str">
        <f>IF(LECON!B128="","",LECON!B128)</f>
        <v/>
      </c>
      <c r="C128" s="57" t="str">
        <f>IF(LECON!C128="","",LECON!C128)</f>
        <v/>
      </c>
      <c r="D128" s="44"/>
      <c r="E128" s="57"/>
      <c r="F128" s="57"/>
      <c r="G128" s="48" t="str">
        <f>IF(LECON!G128="","",LECON!G128)</f>
        <v/>
      </c>
      <c r="H128" s="44" t="str">
        <f>IF(LECON!H128="","",LECON!H128)</f>
        <v/>
      </c>
      <c r="I128" s="48" t="str">
        <f>IF(LECON!I128="","",LECON!I128)</f>
        <v/>
      </c>
      <c r="J128" s="48" t="str">
        <f>IF(LECON!J128="","",LECON!J128)</f>
        <v/>
      </c>
      <c r="K128" s="44"/>
      <c r="L128" s="57"/>
      <c r="M128" s="57"/>
      <c r="N128" s="46" t="str">
        <f>IF(LECON!N128="","",LECON!N128)</f>
        <v/>
      </c>
      <c r="O128" s="44" t="str">
        <f>IF(LECON!O128="","",LECON!O128)</f>
        <v/>
      </c>
      <c r="P128" s="44" t="str">
        <f>IF(LECON!P128="","",LECON!P128)</f>
        <v/>
      </c>
      <c r="Q128" s="46" t="str">
        <f>IF(LECON!Q128="","",LECON!Q128)</f>
        <v/>
      </c>
      <c r="R128" s="44" t="str">
        <f>IF(LECON!R128="","",LECON!R128)</f>
        <v/>
      </c>
    </row>
    <row r="129" spans="1:18" x14ac:dyDescent="0.25">
      <c r="A129" s="57" t="str">
        <f>IF(LECON!A129="","",LECON!A129)</f>
        <v/>
      </c>
      <c r="B129" s="57" t="str">
        <f>IF(LECON!B129="","",LECON!B129)</f>
        <v/>
      </c>
      <c r="C129" s="57" t="str">
        <f>IF(LECON!C129="","",LECON!C129)</f>
        <v/>
      </c>
      <c r="D129" s="45"/>
      <c r="E129" s="58"/>
      <c r="F129" s="58"/>
      <c r="G129" s="48" t="str">
        <f>IF(LECON!G129="","",LECON!G129)</f>
        <v/>
      </c>
      <c r="H129" s="44" t="str">
        <f>IF(LECON!H129="","",LECON!H129)</f>
        <v/>
      </c>
      <c r="I129" s="48" t="str">
        <f>IF(LECON!I129="","",LECON!I129)</f>
        <v/>
      </c>
      <c r="J129" s="48" t="str">
        <f>IF(LECON!J129="","",LECON!J129)</f>
        <v/>
      </c>
      <c r="K129" s="45"/>
      <c r="L129" s="58"/>
      <c r="M129" s="58"/>
      <c r="N129" s="46" t="str">
        <f>IF(LECON!N129="","",LECON!N129)</f>
        <v/>
      </c>
      <c r="O129" s="44" t="str">
        <f>IF(LECON!O129="","",LECON!O129)</f>
        <v/>
      </c>
      <c r="P129" s="44" t="str">
        <f>IF(LECON!P129="","",LECON!P129)</f>
        <v/>
      </c>
      <c r="Q129" s="46" t="str">
        <f>IF(LECON!Q129="","",LECON!Q129)</f>
        <v/>
      </c>
      <c r="R129" s="44" t="str">
        <f>IF(LECON!R129="","",LECON!R129)</f>
        <v/>
      </c>
    </row>
    <row r="130" spans="1:18" x14ac:dyDescent="0.25">
      <c r="A130" s="57" t="str">
        <f>IF(LECON!A130="","",LECON!A130)</f>
        <v/>
      </c>
      <c r="B130" s="57" t="str">
        <f>IF(LECON!B130="","",LECON!B130)</f>
        <v/>
      </c>
      <c r="C130" s="57" t="str">
        <f>IF(LECON!C130="","",LECON!C130)</f>
        <v/>
      </c>
      <c r="D130" s="44"/>
      <c r="E130" s="57"/>
      <c r="F130" s="57"/>
      <c r="G130" s="48" t="str">
        <f>IF(LECON!G130="","",LECON!G130)</f>
        <v/>
      </c>
      <c r="H130" s="44" t="str">
        <f>IF(LECON!H130="","",LECON!H130)</f>
        <v/>
      </c>
      <c r="I130" s="48" t="str">
        <f>IF(LECON!I130="","",LECON!I130)</f>
        <v/>
      </c>
      <c r="J130" s="48" t="str">
        <f>IF(LECON!J130="","",LECON!J130)</f>
        <v/>
      </c>
      <c r="K130" s="44"/>
      <c r="L130" s="57"/>
      <c r="M130" s="57"/>
      <c r="N130" s="46" t="str">
        <f>IF(LECON!N130="","",LECON!N130)</f>
        <v/>
      </c>
      <c r="O130" s="44" t="str">
        <f>IF(LECON!O130="","",LECON!O130)</f>
        <v/>
      </c>
      <c r="P130" s="44" t="str">
        <f>IF(LECON!P130="","",LECON!P130)</f>
        <v/>
      </c>
      <c r="Q130" s="46" t="str">
        <f>IF(LECON!Q130="","",LECON!Q130)</f>
        <v/>
      </c>
      <c r="R130" s="44" t="str">
        <f>IF(LECON!R130="","",LECON!R130)</f>
        <v/>
      </c>
    </row>
    <row r="131" spans="1:18" x14ac:dyDescent="0.25">
      <c r="A131" s="57" t="str">
        <f>IF(LECON!A131="","",LECON!A131)</f>
        <v/>
      </c>
      <c r="B131" s="57" t="str">
        <f>IF(LECON!B131="","",LECON!B131)</f>
        <v/>
      </c>
      <c r="C131" s="57" t="str">
        <f>IF(LECON!C131="","",LECON!C131)</f>
        <v/>
      </c>
      <c r="D131" s="45"/>
      <c r="E131" s="58"/>
      <c r="F131" s="58"/>
      <c r="G131" s="48" t="str">
        <f>IF(LECON!G131="","",LECON!G131)</f>
        <v/>
      </c>
      <c r="H131" s="44" t="str">
        <f>IF(LECON!H131="","",LECON!H131)</f>
        <v/>
      </c>
      <c r="I131" s="48" t="str">
        <f>IF(LECON!I131="","",LECON!I131)</f>
        <v/>
      </c>
      <c r="J131" s="48" t="str">
        <f>IF(LECON!J131="","",LECON!J131)</f>
        <v/>
      </c>
      <c r="K131" s="45"/>
      <c r="L131" s="58"/>
      <c r="M131" s="58"/>
      <c r="N131" s="46" t="str">
        <f>IF(LECON!N131="","",LECON!N131)</f>
        <v/>
      </c>
      <c r="O131" s="44" t="str">
        <f>IF(LECON!O131="","",LECON!O131)</f>
        <v/>
      </c>
      <c r="P131" s="44" t="str">
        <f>IF(LECON!P131="","",LECON!P131)</f>
        <v/>
      </c>
      <c r="Q131" s="46" t="str">
        <f>IF(LECON!Q131="","",LECON!Q131)</f>
        <v/>
      </c>
      <c r="R131" s="44" t="str">
        <f>IF(LECON!R131="","",LECON!R131)</f>
        <v/>
      </c>
    </row>
    <row r="132" spans="1:18" x14ac:dyDescent="0.25">
      <c r="A132" s="57" t="str">
        <f>IF(LECON!A132="","",LECON!A132)</f>
        <v/>
      </c>
      <c r="B132" s="57" t="str">
        <f>IF(LECON!B132="","",LECON!B132)</f>
        <v/>
      </c>
      <c r="C132" s="57" t="str">
        <f>IF(LECON!C132="","",LECON!C132)</f>
        <v/>
      </c>
      <c r="D132" s="44"/>
      <c r="E132" s="57"/>
      <c r="F132" s="57"/>
      <c r="G132" s="48" t="str">
        <f>IF(LECON!G132="","",LECON!G132)</f>
        <v/>
      </c>
      <c r="H132" s="44" t="str">
        <f>IF(LECON!H132="","",LECON!H132)</f>
        <v/>
      </c>
      <c r="I132" s="48" t="str">
        <f>IF(LECON!I132="","",LECON!I132)</f>
        <v/>
      </c>
      <c r="J132" s="48" t="str">
        <f>IF(LECON!J132="","",LECON!J132)</f>
        <v/>
      </c>
      <c r="K132" s="44"/>
      <c r="L132" s="57"/>
      <c r="M132" s="57"/>
      <c r="N132" s="46" t="str">
        <f>IF(LECON!N132="","",LECON!N132)</f>
        <v/>
      </c>
      <c r="O132" s="44" t="str">
        <f>IF(LECON!O132="","",LECON!O132)</f>
        <v/>
      </c>
      <c r="P132" s="44" t="str">
        <f>IF(LECON!P132="","",LECON!P132)</f>
        <v/>
      </c>
      <c r="Q132" s="46" t="str">
        <f>IF(LECON!Q132="","",LECON!Q132)</f>
        <v/>
      </c>
      <c r="R132" s="44" t="str">
        <f>IF(LECON!R132="","",LECON!R132)</f>
        <v/>
      </c>
    </row>
    <row r="133" spans="1:18" x14ac:dyDescent="0.25">
      <c r="A133" s="57" t="str">
        <f>IF(LECON!A133="","",LECON!A133)</f>
        <v/>
      </c>
      <c r="B133" s="57" t="str">
        <f>IF(LECON!B133="","",LECON!B133)</f>
        <v/>
      </c>
      <c r="C133" s="57" t="str">
        <f>IF(LECON!C133="","",LECON!C133)</f>
        <v/>
      </c>
      <c r="D133" s="45"/>
      <c r="E133" s="58"/>
      <c r="F133" s="58"/>
      <c r="G133" s="48" t="str">
        <f>IF(LECON!G133="","",LECON!G133)</f>
        <v/>
      </c>
      <c r="H133" s="44" t="str">
        <f>IF(LECON!H133="","",LECON!H133)</f>
        <v/>
      </c>
      <c r="I133" s="48" t="str">
        <f>IF(LECON!I133="","",LECON!I133)</f>
        <v/>
      </c>
      <c r="J133" s="48" t="str">
        <f>IF(LECON!J133="","",LECON!J133)</f>
        <v/>
      </c>
      <c r="K133" s="45"/>
      <c r="L133" s="58"/>
      <c r="M133" s="58"/>
      <c r="N133" s="46" t="str">
        <f>IF(LECON!N133="","",LECON!N133)</f>
        <v/>
      </c>
      <c r="O133" s="44" t="str">
        <f>IF(LECON!O133="","",LECON!O133)</f>
        <v/>
      </c>
      <c r="P133" s="44" t="str">
        <f>IF(LECON!P133="","",LECON!P133)</f>
        <v/>
      </c>
      <c r="Q133" s="46" t="str">
        <f>IF(LECON!Q133="","",LECON!Q133)</f>
        <v/>
      </c>
      <c r="R133" s="44" t="str">
        <f>IF(LECON!R133="","",LECON!R133)</f>
        <v/>
      </c>
    </row>
    <row r="134" spans="1:18" x14ac:dyDescent="0.25">
      <c r="A134" s="57" t="str">
        <f>IF(LECON!A134="","",LECON!A134)</f>
        <v/>
      </c>
      <c r="B134" s="57" t="str">
        <f>IF(LECON!B134="","",LECON!B134)</f>
        <v/>
      </c>
      <c r="C134" s="57" t="str">
        <f>IF(LECON!C134="","",LECON!C134)</f>
        <v/>
      </c>
      <c r="D134" s="44"/>
      <c r="E134" s="57"/>
      <c r="F134" s="57"/>
      <c r="G134" s="48" t="str">
        <f>IF(LECON!G134="","",LECON!G134)</f>
        <v/>
      </c>
      <c r="H134" s="44" t="str">
        <f>IF(LECON!H134="","",LECON!H134)</f>
        <v/>
      </c>
      <c r="I134" s="48" t="str">
        <f>IF(LECON!I134="","",LECON!I134)</f>
        <v/>
      </c>
      <c r="J134" s="48" t="str">
        <f>IF(LECON!J134="","",LECON!J134)</f>
        <v/>
      </c>
      <c r="K134" s="44"/>
      <c r="L134" s="57"/>
      <c r="M134" s="57"/>
      <c r="N134" s="46" t="str">
        <f>IF(LECON!N134="","",LECON!N134)</f>
        <v/>
      </c>
      <c r="O134" s="44" t="str">
        <f>IF(LECON!O134="","",LECON!O134)</f>
        <v/>
      </c>
      <c r="P134" s="44" t="str">
        <f>IF(LECON!P134="","",LECON!P134)</f>
        <v/>
      </c>
      <c r="Q134" s="46" t="str">
        <f>IF(LECON!Q134="","",LECON!Q134)</f>
        <v/>
      </c>
      <c r="R134" s="44" t="str">
        <f>IF(LECON!R134="","",LECON!R134)</f>
        <v/>
      </c>
    </row>
    <row r="135" spans="1:18" x14ac:dyDescent="0.25">
      <c r="A135" s="57" t="str">
        <f>IF(LECON!A135="","",LECON!A135)</f>
        <v/>
      </c>
      <c r="B135" s="57" t="str">
        <f>IF(LECON!B135="","",LECON!B135)</f>
        <v/>
      </c>
      <c r="C135" s="57" t="str">
        <f>IF(LECON!C135="","",LECON!C135)</f>
        <v/>
      </c>
      <c r="D135" s="45"/>
      <c r="E135" s="58"/>
      <c r="F135" s="58"/>
      <c r="G135" s="48" t="str">
        <f>IF(LECON!G135="","",LECON!G135)</f>
        <v/>
      </c>
      <c r="H135" s="44" t="str">
        <f>IF(LECON!H135="","",LECON!H135)</f>
        <v/>
      </c>
      <c r="I135" s="48" t="str">
        <f>IF(LECON!I135="","",LECON!I135)</f>
        <v/>
      </c>
      <c r="J135" s="48" t="str">
        <f>IF(LECON!J135="","",LECON!J135)</f>
        <v/>
      </c>
      <c r="K135" s="45"/>
      <c r="L135" s="58"/>
      <c r="M135" s="58"/>
      <c r="N135" s="46" t="str">
        <f>IF(LECON!N135="","",LECON!N135)</f>
        <v/>
      </c>
      <c r="O135" s="44" t="str">
        <f>IF(LECON!O135="","",LECON!O135)</f>
        <v/>
      </c>
      <c r="P135" s="44" t="str">
        <f>IF(LECON!P135="","",LECON!P135)</f>
        <v/>
      </c>
      <c r="Q135" s="46" t="str">
        <f>IF(LECON!Q135="","",LECON!Q135)</f>
        <v/>
      </c>
      <c r="R135" s="44" t="str">
        <f>IF(LECON!R135="","",LECON!R135)</f>
        <v/>
      </c>
    </row>
    <row r="136" spans="1:18" x14ac:dyDescent="0.25">
      <c r="A136" s="57" t="str">
        <f>IF(LECON!A136="","",LECON!A136)</f>
        <v/>
      </c>
      <c r="B136" s="57" t="str">
        <f>IF(LECON!B136="","",LECON!B136)</f>
        <v/>
      </c>
      <c r="C136" s="57" t="str">
        <f>IF(LECON!C136="","",LECON!C136)</f>
        <v/>
      </c>
      <c r="D136" s="44"/>
      <c r="E136" s="57"/>
      <c r="F136" s="57"/>
      <c r="G136" s="48" t="str">
        <f>IF(LECON!G136="","",LECON!G136)</f>
        <v/>
      </c>
      <c r="H136" s="44" t="str">
        <f>IF(LECON!H136="","",LECON!H136)</f>
        <v/>
      </c>
      <c r="I136" s="48" t="str">
        <f>IF(LECON!I136="","",LECON!I136)</f>
        <v/>
      </c>
      <c r="J136" s="48" t="str">
        <f>IF(LECON!J136="","",LECON!J136)</f>
        <v/>
      </c>
      <c r="K136" s="44"/>
      <c r="L136" s="57"/>
      <c r="M136" s="57"/>
      <c r="N136" s="46" t="str">
        <f>IF(LECON!N136="","",LECON!N136)</f>
        <v/>
      </c>
      <c r="O136" s="44" t="str">
        <f>IF(LECON!O136="","",LECON!O136)</f>
        <v/>
      </c>
      <c r="P136" s="44" t="str">
        <f>IF(LECON!P136="","",LECON!P136)</f>
        <v/>
      </c>
      <c r="Q136" s="46" t="str">
        <f>IF(LECON!Q136="","",LECON!Q136)</f>
        <v/>
      </c>
      <c r="R136" s="44" t="str">
        <f>IF(LECON!R136="","",LECON!R136)</f>
        <v/>
      </c>
    </row>
    <row r="137" spans="1:18" x14ac:dyDescent="0.25">
      <c r="A137" s="57" t="str">
        <f>IF(LECON!A137="","",LECON!A137)</f>
        <v/>
      </c>
      <c r="B137" s="57" t="str">
        <f>IF(LECON!B137="","",LECON!B137)</f>
        <v/>
      </c>
      <c r="C137" s="57" t="str">
        <f>IF(LECON!C137="","",LECON!C137)</f>
        <v/>
      </c>
      <c r="D137" s="45"/>
      <c r="E137" s="58"/>
      <c r="F137" s="58"/>
      <c r="G137" s="48" t="str">
        <f>IF(LECON!G137="","",LECON!G137)</f>
        <v/>
      </c>
      <c r="H137" s="44" t="str">
        <f>IF(LECON!H137="","",LECON!H137)</f>
        <v/>
      </c>
      <c r="I137" s="48" t="str">
        <f>IF(LECON!I137="","",LECON!I137)</f>
        <v/>
      </c>
      <c r="J137" s="48" t="str">
        <f>IF(LECON!J137="","",LECON!J137)</f>
        <v/>
      </c>
      <c r="K137" s="45"/>
      <c r="L137" s="58"/>
      <c r="M137" s="58"/>
      <c r="N137" s="46" t="str">
        <f>IF(LECON!N137="","",LECON!N137)</f>
        <v/>
      </c>
      <c r="O137" s="44" t="str">
        <f>IF(LECON!O137="","",LECON!O137)</f>
        <v/>
      </c>
      <c r="P137" s="44" t="str">
        <f>IF(LECON!P137="","",LECON!P137)</f>
        <v/>
      </c>
      <c r="Q137" s="46" t="str">
        <f>IF(LECON!Q137="","",LECON!Q137)</f>
        <v/>
      </c>
      <c r="R137" s="44" t="str">
        <f>IF(LECON!R137="","",LECON!R137)</f>
        <v/>
      </c>
    </row>
    <row r="138" spans="1:18" x14ac:dyDescent="0.25">
      <c r="A138" s="57" t="str">
        <f>IF(LECON!A138="","",LECON!A138)</f>
        <v/>
      </c>
      <c r="B138" s="57" t="str">
        <f>IF(LECON!B138="","",LECON!B138)</f>
        <v/>
      </c>
      <c r="C138" s="57" t="str">
        <f>IF(LECON!C138="","",LECON!C138)</f>
        <v/>
      </c>
      <c r="D138" s="44"/>
      <c r="E138" s="57"/>
      <c r="F138" s="57"/>
      <c r="G138" s="48" t="str">
        <f>IF(LECON!G138="","",LECON!G138)</f>
        <v/>
      </c>
      <c r="H138" s="44" t="str">
        <f>IF(LECON!H138="","",LECON!H138)</f>
        <v/>
      </c>
      <c r="I138" s="48" t="str">
        <f>IF(LECON!I138="","",LECON!I138)</f>
        <v/>
      </c>
      <c r="J138" s="48" t="str">
        <f>IF(LECON!J138="","",LECON!J138)</f>
        <v/>
      </c>
      <c r="K138" s="44"/>
      <c r="L138" s="57"/>
      <c r="M138" s="57"/>
      <c r="N138" s="46" t="str">
        <f>IF(LECON!N138="","",LECON!N138)</f>
        <v/>
      </c>
      <c r="O138" s="44" t="str">
        <f>IF(LECON!O138="","",LECON!O138)</f>
        <v/>
      </c>
      <c r="P138" s="44" t="str">
        <f>IF(LECON!P138="","",LECON!P138)</f>
        <v/>
      </c>
      <c r="Q138" s="46" t="str">
        <f>IF(LECON!Q138="","",LECON!Q138)</f>
        <v/>
      </c>
      <c r="R138" s="44" t="str">
        <f>IF(LECON!R138="","",LECON!R138)</f>
        <v/>
      </c>
    </row>
    <row r="139" spans="1:18" x14ac:dyDescent="0.25">
      <c r="A139" s="57" t="str">
        <f>IF(LECON!A139="","",LECON!A139)</f>
        <v/>
      </c>
      <c r="B139" s="57" t="str">
        <f>IF(LECON!B139="","",LECON!B139)</f>
        <v/>
      </c>
      <c r="C139" s="57" t="str">
        <f>IF(LECON!C139="","",LECON!C139)</f>
        <v/>
      </c>
      <c r="D139" s="45"/>
      <c r="E139" s="58"/>
      <c r="F139" s="58"/>
      <c r="G139" s="48" t="str">
        <f>IF(LECON!G139="","",LECON!G139)</f>
        <v/>
      </c>
      <c r="H139" s="44" t="str">
        <f>IF(LECON!H139="","",LECON!H139)</f>
        <v/>
      </c>
      <c r="I139" s="48" t="str">
        <f>IF(LECON!I139="","",LECON!I139)</f>
        <v/>
      </c>
      <c r="J139" s="48" t="str">
        <f>IF(LECON!J139="","",LECON!J139)</f>
        <v/>
      </c>
      <c r="K139" s="45"/>
      <c r="L139" s="58"/>
      <c r="M139" s="58"/>
      <c r="N139" s="46" t="str">
        <f>IF(LECON!N139="","",LECON!N139)</f>
        <v/>
      </c>
      <c r="O139" s="44" t="str">
        <f>IF(LECON!O139="","",LECON!O139)</f>
        <v/>
      </c>
      <c r="P139" s="44" t="str">
        <f>IF(LECON!P139="","",LECON!P139)</f>
        <v/>
      </c>
      <c r="Q139" s="46" t="str">
        <f>IF(LECON!Q139="","",LECON!Q139)</f>
        <v/>
      </c>
      <c r="R139" s="44" t="str">
        <f>IF(LECON!R139="","",LECON!R139)</f>
        <v/>
      </c>
    </row>
    <row r="140" spans="1:18" x14ac:dyDescent="0.25">
      <c r="A140" s="57" t="str">
        <f>IF(LECON!A140="","",LECON!A140)</f>
        <v/>
      </c>
      <c r="B140" s="57" t="str">
        <f>IF(LECON!B140="","",LECON!B140)</f>
        <v/>
      </c>
      <c r="C140" s="57" t="str">
        <f>IF(LECON!C140="","",LECON!C140)</f>
        <v/>
      </c>
      <c r="D140" s="44"/>
      <c r="E140" s="57"/>
      <c r="F140" s="57"/>
      <c r="G140" s="48" t="str">
        <f>IF(LECON!G140="","",LECON!G140)</f>
        <v/>
      </c>
      <c r="H140" s="44" t="str">
        <f>IF(LECON!H140="","",LECON!H140)</f>
        <v/>
      </c>
      <c r="I140" s="48" t="str">
        <f>IF(LECON!I140="","",LECON!I140)</f>
        <v/>
      </c>
      <c r="J140" s="48" t="str">
        <f>IF(LECON!J140="","",LECON!J140)</f>
        <v/>
      </c>
      <c r="K140" s="44"/>
      <c r="L140" s="57"/>
      <c r="M140" s="57"/>
      <c r="N140" s="46" t="str">
        <f>IF(LECON!N140="","",LECON!N140)</f>
        <v/>
      </c>
      <c r="O140" s="44" t="str">
        <f>IF(LECON!O140="","",LECON!O140)</f>
        <v/>
      </c>
      <c r="P140" s="44" t="str">
        <f>IF(LECON!P140="","",LECON!P140)</f>
        <v/>
      </c>
      <c r="Q140" s="46" t="str">
        <f>IF(LECON!Q140="","",LECON!Q140)</f>
        <v/>
      </c>
      <c r="R140" s="44" t="str">
        <f>IF(LECON!R140="","",LECON!R140)</f>
        <v/>
      </c>
    </row>
    <row r="141" spans="1:18" x14ac:dyDescent="0.25">
      <c r="A141" s="57" t="str">
        <f>IF(LECON!A141="","",LECON!A141)</f>
        <v/>
      </c>
      <c r="B141" s="57" t="str">
        <f>IF(LECON!B141="","",LECON!B141)</f>
        <v/>
      </c>
      <c r="C141" s="57" t="str">
        <f>IF(LECON!C141="","",LECON!C141)</f>
        <v/>
      </c>
      <c r="D141" s="45"/>
      <c r="E141" s="58"/>
      <c r="F141" s="58"/>
      <c r="G141" s="48" t="str">
        <f>IF(LECON!G141="","",LECON!G141)</f>
        <v/>
      </c>
      <c r="H141" s="44" t="str">
        <f>IF(LECON!H141="","",LECON!H141)</f>
        <v/>
      </c>
      <c r="I141" s="48" t="str">
        <f>IF(LECON!I141="","",LECON!I141)</f>
        <v/>
      </c>
      <c r="J141" s="48" t="str">
        <f>IF(LECON!J141="","",LECON!J141)</f>
        <v/>
      </c>
      <c r="K141" s="45"/>
      <c r="L141" s="58"/>
      <c r="M141" s="58"/>
      <c r="N141" s="46" t="str">
        <f>IF(LECON!N141="","",LECON!N141)</f>
        <v/>
      </c>
      <c r="O141" s="44" t="str">
        <f>IF(LECON!O141="","",LECON!O141)</f>
        <v/>
      </c>
      <c r="P141" s="44" t="str">
        <f>IF(LECON!P141="","",LECON!P141)</f>
        <v/>
      </c>
      <c r="Q141" s="46" t="str">
        <f>IF(LECON!Q141="","",LECON!Q141)</f>
        <v/>
      </c>
      <c r="R141" s="44" t="str">
        <f>IF(LECON!R141="","",LECON!R141)</f>
        <v/>
      </c>
    </row>
    <row r="142" spans="1:18" x14ac:dyDescent="0.25">
      <c r="A142" s="57" t="str">
        <f>IF(LECON!A142="","",LECON!A142)</f>
        <v/>
      </c>
      <c r="B142" s="57" t="str">
        <f>IF(LECON!B142="","",LECON!B142)</f>
        <v/>
      </c>
      <c r="C142" s="57" t="str">
        <f>IF(LECON!C142="","",LECON!C142)</f>
        <v/>
      </c>
      <c r="D142" s="44"/>
      <c r="E142" s="57"/>
      <c r="F142" s="57"/>
      <c r="G142" s="48" t="str">
        <f>IF(LECON!G142="","",LECON!G142)</f>
        <v/>
      </c>
      <c r="H142" s="44" t="str">
        <f>IF(LECON!H142="","",LECON!H142)</f>
        <v/>
      </c>
      <c r="I142" s="48" t="str">
        <f>IF(LECON!I142="","",LECON!I142)</f>
        <v/>
      </c>
      <c r="J142" s="48" t="str">
        <f>IF(LECON!J142="","",LECON!J142)</f>
        <v/>
      </c>
      <c r="K142" s="44"/>
      <c r="L142" s="57"/>
      <c r="M142" s="57"/>
      <c r="N142" s="46" t="str">
        <f>IF(LECON!N142="","",LECON!N142)</f>
        <v/>
      </c>
      <c r="O142" s="44" t="str">
        <f>IF(LECON!O142="","",LECON!O142)</f>
        <v/>
      </c>
      <c r="P142" s="44" t="str">
        <f>IF(LECON!P142="","",LECON!P142)</f>
        <v/>
      </c>
      <c r="Q142" s="46" t="str">
        <f>IF(LECON!Q142="","",LECON!Q142)</f>
        <v/>
      </c>
      <c r="R142" s="44" t="str">
        <f>IF(LECON!R142="","",LECON!R142)</f>
        <v/>
      </c>
    </row>
    <row r="143" spans="1:18" x14ac:dyDescent="0.25">
      <c r="A143" s="57" t="str">
        <f>IF(LECON!A143="","",LECON!A143)</f>
        <v/>
      </c>
      <c r="B143" s="57" t="str">
        <f>IF(LECON!B143="","",LECON!B143)</f>
        <v/>
      </c>
      <c r="C143" s="57" t="str">
        <f>IF(LECON!C143="","",LECON!C143)</f>
        <v/>
      </c>
      <c r="D143" s="45"/>
      <c r="E143" s="58"/>
      <c r="F143" s="58"/>
      <c r="G143" s="48" t="str">
        <f>IF(LECON!G143="","",LECON!G143)</f>
        <v/>
      </c>
      <c r="H143" s="44" t="str">
        <f>IF(LECON!H143="","",LECON!H143)</f>
        <v/>
      </c>
      <c r="I143" s="48" t="str">
        <f>IF(LECON!I143="","",LECON!I143)</f>
        <v/>
      </c>
      <c r="J143" s="48" t="str">
        <f>IF(LECON!J143="","",LECON!J143)</f>
        <v/>
      </c>
      <c r="K143" s="45"/>
      <c r="L143" s="58"/>
      <c r="M143" s="58"/>
      <c r="N143" s="46" t="str">
        <f>IF(LECON!N143="","",LECON!N143)</f>
        <v/>
      </c>
      <c r="O143" s="44" t="str">
        <f>IF(LECON!O143="","",LECON!O143)</f>
        <v/>
      </c>
      <c r="P143" s="44" t="str">
        <f>IF(LECON!P143="","",LECON!P143)</f>
        <v/>
      </c>
      <c r="Q143" s="46" t="str">
        <f>IF(LECON!Q143="","",LECON!Q143)</f>
        <v/>
      </c>
      <c r="R143" s="44" t="str">
        <f>IF(LECON!R143="","",LECON!R143)</f>
        <v/>
      </c>
    </row>
    <row r="144" spans="1:18" x14ac:dyDescent="0.25">
      <c r="A144" s="57" t="str">
        <f>IF(LECON!A144="","",LECON!A144)</f>
        <v/>
      </c>
      <c r="B144" s="57" t="str">
        <f>IF(LECON!B144="","",LECON!B144)</f>
        <v/>
      </c>
      <c r="C144" s="57" t="str">
        <f>IF(LECON!C144="","",LECON!C144)</f>
        <v/>
      </c>
      <c r="D144" s="44"/>
      <c r="E144" s="57"/>
      <c r="F144" s="57"/>
      <c r="G144" s="48" t="str">
        <f>IF(LECON!G144="","",LECON!G144)</f>
        <v/>
      </c>
      <c r="H144" s="44" t="str">
        <f>IF(LECON!H144="","",LECON!H144)</f>
        <v/>
      </c>
      <c r="I144" s="48" t="str">
        <f>IF(LECON!I144="","",LECON!I144)</f>
        <v/>
      </c>
      <c r="J144" s="48" t="str">
        <f>IF(LECON!J144="","",LECON!J144)</f>
        <v/>
      </c>
      <c r="K144" s="44"/>
      <c r="L144" s="57"/>
      <c r="M144" s="57"/>
      <c r="N144" s="46" t="str">
        <f>IF(LECON!N144="","",LECON!N144)</f>
        <v/>
      </c>
      <c r="O144" s="44" t="str">
        <f>IF(LECON!O144="","",LECON!O144)</f>
        <v/>
      </c>
      <c r="P144" s="44" t="str">
        <f>IF(LECON!P144="","",LECON!P144)</f>
        <v/>
      </c>
      <c r="Q144" s="46" t="str">
        <f>IF(LECON!Q144="","",LECON!Q144)</f>
        <v/>
      </c>
      <c r="R144" s="44" t="str">
        <f>IF(LECON!R144="","",LECON!R144)</f>
        <v/>
      </c>
    </row>
    <row r="145" spans="1:18" x14ac:dyDescent="0.25">
      <c r="A145" s="57" t="str">
        <f>IF(LECON!A145="","",LECON!A145)</f>
        <v/>
      </c>
      <c r="B145" s="57" t="str">
        <f>IF(LECON!B145="","",LECON!B145)</f>
        <v/>
      </c>
      <c r="C145" s="57" t="str">
        <f>IF(LECON!C145="","",LECON!C145)</f>
        <v/>
      </c>
      <c r="D145" s="45"/>
      <c r="E145" s="58"/>
      <c r="F145" s="58"/>
      <c r="G145" s="48" t="str">
        <f>IF(LECON!G145="","",LECON!G145)</f>
        <v/>
      </c>
      <c r="H145" s="44" t="str">
        <f>IF(LECON!H145="","",LECON!H145)</f>
        <v/>
      </c>
      <c r="I145" s="48" t="str">
        <f>IF(LECON!I145="","",LECON!I145)</f>
        <v/>
      </c>
      <c r="J145" s="48" t="str">
        <f>IF(LECON!J145="","",LECON!J145)</f>
        <v/>
      </c>
      <c r="K145" s="45"/>
      <c r="L145" s="58"/>
      <c r="M145" s="58"/>
      <c r="N145" s="46" t="str">
        <f>IF(LECON!N145="","",LECON!N145)</f>
        <v/>
      </c>
      <c r="O145" s="44" t="str">
        <f>IF(LECON!O145="","",LECON!O145)</f>
        <v/>
      </c>
      <c r="P145" s="44" t="str">
        <f>IF(LECON!P145="","",LECON!P145)</f>
        <v/>
      </c>
      <c r="Q145" s="46" t="str">
        <f>IF(LECON!Q145="","",LECON!Q145)</f>
        <v/>
      </c>
      <c r="R145" s="44" t="str">
        <f>IF(LECON!R145="","",LECON!R145)</f>
        <v/>
      </c>
    </row>
    <row r="146" spans="1:18" x14ac:dyDescent="0.25">
      <c r="A146" s="57" t="str">
        <f>IF(LECON!A146="","",LECON!A146)</f>
        <v/>
      </c>
      <c r="B146" s="57" t="str">
        <f>IF(LECON!B146="","",LECON!B146)</f>
        <v/>
      </c>
      <c r="C146" s="57" t="str">
        <f>IF(LECON!C146="","",LECON!C146)</f>
        <v/>
      </c>
      <c r="D146" s="44"/>
      <c r="E146" s="57"/>
      <c r="F146" s="57"/>
      <c r="G146" s="48" t="str">
        <f>IF(LECON!G146="","",LECON!G146)</f>
        <v/>
      </c>
      <c r="H146" s="44" t="str">
        <f>IF(LECON!H146="","",LECON!H146)</f>
        <v/>
      </c>
      <c r="I146" s="48" t="str">
        <f>IF(LECON!I146="","",LECON!I146)</f>
        <v/>
      </c>
      <c r="J146" s="48" t="str">
        <f>IF(LECON!J146="","",LECON!J146)</f>
        <v/>
      </c>
      <c r="K146" s="44"/>
      <c r="L146" s="57"/>
      <c r="M146" s="57"/>
      <c r="N146" s="46" t="str">
        <f>IF(LECON!N146="","",LECON!N146)</f>
        <v/>
      </c>
      <c r="O146" s="44" t="str">
        <f>IF(LECON!O146="","",LECON!O146)</f>
        <v/>
      </c>
      <c r="P146" s="44" t="str">
        <f>IF(LECON!P146="","",LECON!P146)</f>
        <v/>
      </c>
      <c r="Q146" s="46" t="str">
        <f>IF(LECON!Q146="","",LECON!Q146)</f>
        <v/>
      </c>
      <c r="R146" s="44" t="str">
        <f>IF(LECON!R146="","",LECON!R146)</f>
        <v/>
      </c>
    </row>
    <row r="147" spans="1:18" x14ac:dyDescent="0.25">
      <c r="A147" s="57" t="str">
        <f>IF(LECON!A147="","",LECON!A147)</f>
        <v/>
      </c>
      <c r="B147" s="57" t="str">
        <f>IF(LECON!B147="","",LECON!B147)</f>
        <v/>
      </c>
      <c r="C147" s="57" t="str">
        <f>IF(LECON!C147="","",LECON!C147)</f>
        <v/>
      </c>
      <c r="D147" s="45"/>
      <c r="E147" s="58"/>
      <c r="F147" s="58"/>
      <c r="G147" s="48" t="str">
        <f>IF(LECON!G147="","",LECON!G147)</f>
        <v/>
      </c>
      <c r="H147" s="44" t="str">
        <f>IF(LECON!H147="","",LECON!H147)</f>
        <v/>
      </c>
      <c r="I147" s="48" t="str">
        <f>IF(LECON!I147="","",LECON!I147)</f>
        <v/>
      </c>
      <c r="J147" s="48" t="str">
        <f>IF(LECON!J147="","",LECON!J147)</f>
        <v/>
      </c>
      <c r="K147" s="45"/>
      <c r="L147" s="58"/>
      <c r="M147" s="58"/>
      <c r="N147" s="46" t="str">
        <f>IF(LECON!N147="","",LECON!N147)</f>
        <v/>
      </c>
      <c r="O147" s="44" t="str">
        <f>IF(LECON!O147="","",LECON!O147)</f>
        <v/>
      </c>
      <c r="P147" s="44" t="str">
        <f>IF(LECON!P147="","",LECON!P147)</f>
        <v/>
      </c>
      <c r="Q147" s="46" t="str">
        <f>IF(LECON!Q147="","",LECON!Q147)</f>
        <v/>
      </c>
      <c r="R147" s="44" t="str">
        <f>IF(LECON!R147="","",LECON!R147)</f>
        <v/>
      </c>
    </row>
    <row r="148" spans="1:18" x14ac:dyDescent="0.25">
      <c r="A148" s="57" t="str">
        <f>IF(LECON!A148="","",LECON!A148)</f>
        <v/>
      </c>
      <c r="B148" s="57" t="str">
        <f>IF(LECON!B148="","",LECON!B148)</f>
        <v/>
      </c>
      <c r="C148" s="57" t="str">
        <f>IF(LECON!C148="","",LECON!C148)</f>
        <v/>
      </c>
      <c r="D148" s="44"/>
      <c r="E148" s="57"/>
      <c r="F148" s="57"/>
      <c r="G148" s="48" t="str">
        <f>IF(LECON!G148="","",LECON!G148)</f>
        <v/>
      </c>
      <c r="H148" s="44" t="str">
        <f>IF(LECON!H148="","",LECON!H148)</f>
        <v/>
      </c>
      <c r="I148" s="48" t="str">
        <f>IF(LECON!I148="","",LECON!I148)</f>
        <v/>
      </c>
      <c r="J148" s="48" t="str">
        <f>IF(LECON!J148="","",LECON!J148)</f>
        <v/>
      </c>
      <c r="K148" s="44"/>
      <c r="L148" s="57"/>
      <c r="M148" s="57"/>
      <c r="N148" s="46" t="str">
        <f>IF(LECON!N148="","",LECON!N148)</f>
        <v/>
      </c>
      <c r="O148" s="44" t="str">
        <f>IF(LECON!O148="","",LECON!O148)</f>
        <v/>
      </c>
      <c r="P148" s="44" t="str">
        <f>IF(LECON!P148="","",LECON!P148)</f>
        <v/>
      </c>
      <c r="Q148" s="46" t="str">
        <f>IF(LECON!Q148="","",LECON!Q148)</f>
        <v/>
      </c>
      <c r="R148" s="44" t="str">
        <f>IF(LECON!R148="","",LECON!R148)</f>
        <v/>
      </c>
    </row>
    <row r="149" spans="1:18" x14ac:dyDescent="0.25">
      <c r="A149" s="57" t="str">
        <f>IF(LECON!A149="","",LECON!A149)</f>
        <v/>
      </c>
      <c r="B149" s="57" t="str">
        <f>IF(LECON!B149="","",LECON!B149)</f>
        <v/>
      </c>
      <c r="C149" s="57" t="str">
        <f>IF(LECON!C149="","",LECON!C149)</f>
        <v/>
      </c>
      <c r="D149" s="45"/>
      <c r="E149" s="58"/>
      <c r="F149" s="58"/>
      <c r="G149" s="48" t="str">
        <f>IF(LECON!G149="","",LECON!G149)</f>
        <v/>
      </c>
      <c r="H149" s="44" t="str">
        <f>IF(LECON!H149="","",LECON!H149)</f>
        <v/>
      </c>
      <c r="I149" s="48" t="str">
        <f>IF(LECON!I149="","",LECON!I149)</f>
        <v/>
      </c>
      <c r="J149" s="48" t="str">
        <f>IF(LECON!J149="","",LECON!J149)</f>
        <v/>
      </c>
      <c r="K149" s="45"/>
      <c r="L149" s="58"/>
      <c r="M149" s="58"/>
      <c r="N149" s="46" t="str">
        <f>IF(LECON!N149="","",LECON!N149)</f>
        <v/>
      </c>
      <c r="O149" s="44" t="str">
        <f>IF(LECON!O149="","",LECON!O149)</f>
        <v/>
      </c>
      <c r="P149" s="44" t="str">
        <f>IF(LECON!P149="","",LECON!P149)</f>
        <v/>
      </c>
      <c r="Q149" s="46" t="str">
        <f>IF(LECON!Q149="","",LECON!Q149)</f>
        <v/>
      </c>
      <c r="R149" s="44" t="str">
        <f>IF(LECON!R149="","",LECON!R149)</f>
        <v/>
      </c>
    </row>
    <row r="150" spans="1:18" x14ac:dyDescent="0.25">
      <c r="A150" s="57" t="str">
        <f>IF(LECON!A150="","",LECON!A150)</f>
        <v/>
      </c>
      <c r="B150" s="57" t="str">
        <f>IF(LECON!B150="","",LECON!B150)</f>
        <v/>
      </c>
      <c r="C150" s="57" t="str">
        <f>IF(LECON!C150="","",LECON!C150)</f>
        <v/>
      </c>
      <c r="D150" s="44"/>
      <c r="E150" s="57"/>
      <c r="F150" s="57"/>
      <c r="G150" s="48" t="str">
        <f>IF(LECON!G150="","",LECON!G150)</f>
        <v/>
      </c>
      <c r="H150" s="44" t="str">
        <f>IF(LECON!H150="","",LECON!H150)</f>
        <v/>
      </c>
      <c r="I150" s="48" t="str">
        <f>IF(LECON!I150="","",LECON!I150)</f>
        <v/>
      </c>
      <c r="J150" s="48" t="str">
        <f>IF(LECON!J150="","",LECON!J150)</f>
        <v/>
      </c>
      <c r="K150" s="44"/>
      <c r="L150" s="57"/>
      <c r="M150" s="57"/>
      <c r="N150" s="46" t="str">
        <f>IF(LECON!N150="","",LECON!N150)</f>
        <v/>
      </c>
      <c r="O150" s="44" t="str">
        <f>IF(LECON!O150="","",LECON!O150)</f>
        <v/>
      </c>
      <c r="P150" s="44" t="str">
        <f>IF(LECON!P150="","",LECON!P150)</f>
        <v/>
      </c>
      <c r="Q150" s="46" t="str">
        <f>IF(LECON!Q150="","",LECON!Q150)</f>
        <v/>
      </c>
      <c r="R150" s="44" t="str">
        <f>IF(LECON!R150="","",LECON!R150)</f>
        <v/>
      </c>
    </row>
    <row r="151" spans="1:18" x14ac:dyDescent="0.25">
      <c r="A151" s="57" t="str">
        <f>IF(LECON!A151="","",LECON!A151)</f>
        <v/>
      </c>
      <c r="B151" s="57" t="str">
        <f>IF(LECON!B151="","",LECON!B151)</f>
        <v/>
      </c>
      <c r="C151" s="57" t="str">
        <f>IF(LECON!C151="","",LECON!C151)</f>
        <v/>
      </c>
      <c r="D151" s="45"/>
      <c r="E151" s="58"/>
      <c r="F151" s="58"/>
      <c r="G151" s="48" t="str">
        <f>IF(LECON!G151="","",LECON!G151)</f>
        <v/>
      </c>
      <c r="H151" s="44" t="str">
        <f>IF(LECON!H151="","",LECON!H151)</f>
        <v/>
      </c>
      <c r="I151" s="48" t="str">
        <f>IF(LECON!I151="","",LECON!I151)</f>
        <v/>
      </c>
      <c r="J151" s="48" t="str">
        <f>IF(LECON!J151="","",LECON!J151)</f>
        <v/>
      </c>
      <c r="K151" s="45"/>
      <c r="L151" s="58"/>
      <c r="M151" s="58"/>
      <c r="N151" s="46" t="str">
        <f>IF(LECON!N151="","",LECON!N151)</f>
        <v/>
      </c>
      <c r="O151" s="44" t="str">
        <f>IF(LECON!O151="","",LECON!O151)</f>
        <v/>
      </c>
      <c r="P151" s="44" t="str">
        <f>IF(LECON!P151="","",LECON!P151)</f>
        <v/>
      </c>
      <c r="Q151" s="46" t="str">
        <f>IF(LECON!Q151="","",LECON!Q151)</f>
        <v/>
      </c>
      <c r="R151" s="44" t="str">
        <f>IF(LECON!R151="","",LECON!R151)</f>
        <v/>
      </c>
    </row>
    <row r="152" spans="1:18" x14ac:dyDescent="0.25">
      <c r="A152" s="57" t="str">
        <f>IF(LECON!A152="","",LECON!A152)</f>
        <v/>
      </c>
      <c r="B152" s="57" t="str">
        <f>IF(LECON!B152="","",LECON!B152)</f>
        <v/>
      </c>
      <c r="C152" s="57" t="str">
        <f>IF(LECON!C152="","",LECON!C152)</f>
        <v/>
      </c>
      <c r="D152" s="44"/>
      <c r="E152" s="57"/>
      <c r="F152" s="57"/>
      <c r="G152" s="48" t="str">
        <f>IF(LECON!G152="","",LECON!G152)</f>
        <v/>
      </c>
      <c r="H152" s="44" t="str">
        <f>IF(LECON!H152="","",LECON!H152)</f>
        <v/>
      </c>
      <c r="I152" s="48" t="str">
        <f>IF(LECON!I152="","",LECON!I152)</f>
        <v/>
      </c>
      <c r="J152" s="48" t="str">
        <f>IF(LECON!J152="","",LECON!J152)</f>
        <v/>
      </c>
      <c r="K152" s="44"/>
      <c r="L152" s="57"/>
      <c r="M152" s="57"/>
      <c r="N152" s="46" t="str">
        <f>IF(LECON!N152="","",LECON!N152)</f>
        <v/>
      </c>
      <c r="O152" s="44" t="str">
        <f>IF(LECON!O152="","",LECON!O152)</f>
        <v/>
      </c>
      <c r="P152" s="44" t="str">
        <f>IF(LECON!P152="","",LECON!P152)</f>
        <v/>
      </c>
      <c r="Q152" s="46" t="str">
        <f>IF(LECON!Q152="","",LECON!Q152)</f>
        <v/>
      </c>
      <c r="R152" s="44" t="str">
        <f>IF(LECON!R152="","",LECON!R152)</f>
        <v/>
      </c>
    </row>
    <row r="153" spans="1:18" x14ac:dyDescent="0.25">
      <c r="A153" s="57" t="str">
        <f>IF(LECON!A153="","",LECON!A153)</f>
        <v/>
      </c>
      <c r="B153" s="57" t="str">
        <f>IF(LECON!B153="","",LECON!B153)</f>
        <v/>
      </c>
      <c r="C153" s="57" t="str">
        <f>IF(LECON!C153="","",LECON!C153)</f>
        <v/>
      </c>
      <c r="D153" s="45"/>
      <c r="E153" s="58"/>
      <c r="F153" s="58"/>
      <c r="G153" s="48" t="str">
        <f>IF(LECON!G153="","",LECON!G153)</f>
        <v/>
      </c>
      <c r="H153" s="44" t="str">
        <f>IF(LECON!H153="","",LECON!H153)</f>
        <v/>
      </c>
      <c r="I153" s="48" t="str">
        <f>IF(LECON!I153="","",LECON!I153)</f>
        <v/>
      </c>
      <c r="J153" s="48" t="str">
        <f>IF(LECON!J153="","",LECON!J153)</f>
        <v/>
      </c>
      <c r="K153" s="45"/>
      <c r="L153" s="58"/>
      <c r="M153" s="58"/>
      <c r="N153" s="46" t="str">
        <f>IF(LECON!N153="","",LECON!N153)</f>
        <v/>
      </c>
      <c r="O153" s="44" t="str">
        <f>IF(LECON!O153="","",LECON!O153)</f>
        <v/>
      </c>
      <c r="P153" s="44" t="str">
        <f>IF(LECON!P153="","",LECON!P153)</f>
        <v/>
      </c>
      <c r="Q153" s="46" t="str">
        <f>IF(LECON!Q153="","",LECON!Q153)</f>
        <v/>
      </c>
      <c r="R153" s="44" t="str">
        <f>IF(LECON!R153="","",LECON!R153)</f>
        <v/>
      </c>
    </row>
    <row r="154" spans="1:18" x14ac:dyDescent="0.25">
      <c r="A154" s="57" t="str">
        <f>IF(LECON!A154="","",LECON!A154)</f>
        <v/>
      </c>
      <c r="B154" s="57" t="str">
        <f>IF(LECON!B154="","",LECON!B154)</f>
        <v/>
      </c>
      <c r="C154" s="57" t="str">
        <f>IF(LECON!C154="","",LECON!C154)</f>
        <v/>
      </c>
      <c r="D154" s="44"/>
      <c r="E154" s="57"/>
      <c r="F154" s="57"/>
      <c r="G154" s="48" t="str">
        <f>IF(LECON!G154="","",LECON!G154)</f>
        <v/>
      </c>
      <c r="H154" s="44" t="str">
        <f>IF(LECON!H154="","",LECON!H154)</f>
        <v/>
      </c>
      <c r="I154" s="48" t="str">
        <f>IF(LECON!I154="","",LECON!I154)</f>
        <v/>
      </c>
      <c r="J154" s="48" t="str">
        <f>IF(LECON!J154="","",LECON!J154)</f>
        <v/>
      </c>
      <c r="K154" s="44"/>
      <c r="L154" s="57"/>
      <c r="M154" s="57"/>
      <c r="N154" s="46" t="str">
        <f>IF(LECON!N154="","",LECON!N154)</f>
        <v/>
      </c>
      <c r="O154" s="44" t="str">
        <f>IF(LECON!O154="","",LECON!O154)</f>
        <v/>
      </c>
      <c r="P154" s="44" t="str">
        <f>IF(LECON!P154="","",LECON!P154)</f>
        <v/>
      </c>
      <c r="Q154" s="46" t="str">
        <f>IF(LECON!Q154="","",LECON!Q154)</f>
        <v/>
      </c>
      <c r="R154" s="44" t="str">
        <f>IF(LECON!R154="","",LECON!R154)</f>
        <v/>
      </c>
    </row>
    <row r="155" spans="1:18" x14ac:dyDescent="0.25">
      <c r="A155" s="57" t="str">
        <f>IF(LECON!A155="","",LECON!A155)</f>
        <v/>
      </c>
      <c r="B155" s="57" t="str">
        <f>IF(LECON!B155="","",LECON!B155)</f>
        <v/>
      </c>
      <c r="C155" s="57" t="str">
        <f>IF(LECON!C155="","",LECON!C155)</f>
        <v/>
      </c>
      <c r="D155" s="45"/>
      <c r="E155" s="58"/>
      <c r="F155" s="58"/>
      <c r="G155" s="48" t="str">
        <f>IF(LECON!G155="","",LECON!G155)</f>
        <v/>
      </c>
      <c r="H155" s="44" t="str">
        <f>IF(LECON!H155="","",LECON!H155)</f>
        <v/>
      </c>
      <c r="I155" s="48" t="str">
        <f>IF(LECON!I155="","",LECON!I155)</f>
        <v/>
      </c>
      <c r="J155" s="48" t="str">
        <f>IF(LECON!J155="","",LECON!J155)</f>
        <v/>
      </c>
      <c r="K155" s="45"/>
      <c r="L155" s="58"/>
      <c r="M155" s="58"/>
      <c r="N155" s="46" t="str">
        <f>IF(LECON!N155="","",LECON!N155)</f>
        <v/>
      </c>
      <c r="O155" s="44" t="str">
        <f>IF(LECON!O155="","",LECON!O155)</f>
        <v/>
      </c>
      <c r="P155" s="44" t="str">
        <f>IF(LECON!P155="","",LECON!P155)</f>
        <v/>
      </c>
      <c r="Q155" s="46" t="str">
        <f>IF(LECON!Q155="","",LECON!Q155)</f>
        <v/>
      </c>
      <c r="R155" s="44" t="str">
        <f>IF(LECON!R155="","",LECON!R155)</f>
        <v/>
      </c>
    </row>
    <row r="156" spans="1:18" x14ac:dyDescent="0.25">
      <c r="A156" s="57" t="str">
        <f>IF(LECON!A156="","",LECON!A156)</f>
        <v/>
      </c>
      <c r="B156" s="57" t="str">
        <f>IF(LECON!B156="","",LECON!B156)</f>
        <v/>
      </c>
      <c r="C156" s="57" t="str">
        <f>IF(LECON!C156="","",LECON!C156)</f>
        <v/>
      </c>
      <c r="D156" s="44"/>
      <c r="E156" s="57"/>
      <c r="F156" s="57"/>
      <c r="G156" s="48" t="str">
        <f>IF(LECON!G156="","",LECON!G156)</f>
        <v/>
      </c>
      <c r="H156" s="44" t="str">
        <f>IF(LECON!H156="","",LECON!H156)</f>
        <v/>
      </c>
      <c r="I156" s="48" t="str">
        <f>IF(LECON!I156="","",LECON!I156)</f>
        <v/>
      </c>
      <c r="J156" s="48" t="str">
        <f>IF(LECON!J156="","",LECON!J156)</f>
        <v/>
      </c>
      <c r="K156" s="44"/>
      <c r="L156" s="57"/>
      <c r="M156" s="57"/>
      <c r="N156" s="46" t="str">
        <f>IF(LECON!N156="","",LECON!N156)</f>
        <v/>
      </c>
      <c r="O156" s="44" t="str">
        <f>IF(LECON!O156="","",LECON!O156)</f>
        <v/>
      </c>
      <c r="P156" s="44" t="str">
        <f>IF(LECON!P156="","",LECON!P156)</f>
        <v/>
      </c>
      <c r="Q156" s="46" t="str">
        <f>IF(LECON!Q156="","",LECON!Q156)</f>
        <v/>
      </c>
      <c r="R156" s="44" t="str">
        <f>IF(LECON!R156="","",LECON!R156)</f>
        <v/>
      </c>
    </row>
    <row r="157" spans="1:18" x14ac:dyDescent="0.25">
      <c r="A157" s="57" t="str">
        <f>IF(LECON!A157="","",LECON!A157)</f>
        <v/>
      </c>
      <c r="B157" s="57" t="str">
        <f>IF(LECON!B157="","",LECON!B157)</f>
        <v/>
      </c>
      <c r="C157" s="57" t="str">
        <f>IF(LECON!C157="","",LECON!C157)</f>
        <v/>
      </c>
      <c r="D157" s="45"/>
      <c r="E157" s="58"/>
      <c r="F157" s="58"/>
      <c r="G157" s="48" t="str">
        <f>IF(LECON!G157="","",LECON!G157)</f>
        <v/>
      </c>
      <c r="H157" s="44" t="str">
        <f>IF(LECON!H157="","",LECON!H157)</f>
        <v/>
      </c>
      <c r="I157" s="48" t="str">
        <f>IF(LECON!I157="","",LECON!I157)</f>
        <v/>
      </c>
      <c r="J157" s="48" t="str">
        <f>IF(LECON!J157="","",LECON!J157)</f>
        <v/>
      </c>
      <c r="K157" s="45"/>
      <c r="L157" s="58"/>
      <c r="M157" s="58"/>
      <c r="N157" s="46" t="str">
        <f>IF(LECON!N157="","",LECON!N157)</f>
        <v/>
      </c>
      <c r="O157" s="44" t="str">
        <f>IF(LECON!O157="","",LECON!O157)</f>
        <v/>
      </c>
      <c r="P157" s="44" t="str">
        <f>IF(LECON!P157="","",LECON!P157)</f>
        <v/>
      </c>
      <c r="Q157" s="46" t="str">
        <f>IF(LECON!Q157="","",LECON!Q157)</f>
        <v/>
      </c>
      <c r="R157" s="44" t="str">
        <f>IF(LECON!R157="","",LECON!R157)</f>
        <v/>
      </c>
    </row>
    <row r="158" spans="1:18" x14ac:dyDescent="0.25">
      <c r="A158" s="57" t="str">
        <f>IF(LECON!A158="","",LECON!A158)</f>
        <v/>
      </c>
      <c r="B158" s="57" t="str">
        <f>IF(LECON!B158="","",LECON!B158)</f>
        <v/>
      </c>
      <c r="C158" s="57" t="str">
        <f>IF(LECON!C158="","",LECON!C158)</f>
        <v/>
      </c>
      <c r="D158" s="44"/>
      <c r="E158" s="57"/>
      <c r="F158" s="57"/>
      <c r="G158" s="48" t="str">
        <f>IF(LECON!G158="","",LECON!G158)</f>
        <v/>
      </c>
      <c r="H158" s="44" t="str">
        <f>IF(LECON!H158="","",LECON!H158)</f>
        <v/>
      </c>
      <c r="I158" s="48" t="str">
        <f>IF(LECON!I158="","",LECON!I158)</f>
        <v/>
      </c>
      <c r="J158" s="48" t="str">
        <f>IF(LECON!J158="","",LECON!J158)</f>
        <v/>
      </c>
      <c r="K158" s="44"/>
      <c r="L158" s="57"/>
      <c r="M158" s="57"/>
      <c r="N158" s="46" t="str">
        <f>IF(LECON!N158="","",LECON!N158)</f>
        <v/>
      </c>
      <c r="O158" s="44" t="str">
        <f>IF(LECON!O158="","",LECON!O158)</f>
        <v/>
      </c>
      <c r="P158" s="44" t="str">
        <f>IF(LECON!P158="","",LECON!P158)</f>
        <v/>
      </c>
      <c r="Q158" s="46" t="str">
        <f>IF(LECON!Q158="","",LECON!Q158)</f>
        <v/>
      </c>
      <c r="R158" s="44" t="str">
        <f>IF(LECON!R158="","",LECON!R158)</f>
        <v/>
      </c>
    </row>
    <row r="159" spans="1:18" x14ac:dyDescent="0.25">
      <c r="A159" s="57" t="str">
        <f>IF(LECON!A159="","",LECON!A159)</f>
        <v/>
      </c>
      <c r="B159" s="57" t="str">
        <f>IF(LECON!B159="","",LECON!B159)</f>
        <v/>
      </c>
      <c r="C159" s="57" t="str">
        <f>IF(LECON!C159="","",LECON!C159)</f>
        <v/>
      </c>
      <c r="D159" s="45"/>
      <c r="E159" s="58"/>
      <c r="F159" s="58"/>
      <c r="G159" s="48" t="str">
        <f>IF(LECON!G159="","",LECON!G159)</f>
        <v/>
      </c>
      <c r="H159" s="44" t="str">
        <f>IF(LECON!H159="","",LECON!H159)</f>
        <v/>
      </c>
      <c r="I159" s="48" t="str">
        <f>IF(LECON!I159="","",LECON!I159)</f>
        <v/>
      </c>
      <c r="J159" s="48" t="str">
        <f>IF(LECON!J159="","",LECON!J159)</f>
        <v/>
      </c>
      <c r="K159" s="45"/>
      <c r="L159" s="58"/>
      <c r="M159" s="58"/>
      <c r="N159" s="46" t="str">
        <f>IF(LECON!N159="","",LECON!N159)</f>
        <v/>
      </c>
      <c r="O159" s="44" t="str">
        <f>IF(LECON!O159="","",LECON!O159)</f>
        <v/>
      </c>
      <c r="P159" s="44" t="str">
        <f>IF(LECON!P159="","",LECON!P159)</f>
        <v/>
      </c>
      <c r="Q159" s="46" t="str">
        <f>IF(LECON!Q159="","",LECON!Q159)</f>
        <v/>
      </c>
      <c r="R159" s="44" t="str">
        <f>IF(LECON!R159="","",LECON!R159)</f>
        <v/>
      </c>
    </row>
    <row r="160" spans="1:18" x14ac:dyDescent="0.25">
      <c r="A160" s="57" t="str">
        <f>IF(LECON!A160="","",LECON!A160)</f>
        <v/>
      </c>
      <c r="B160" s="57" t="str">
        <f>IF(LECON!B160="","",LECON!B160)</f>
        <v/>
      </c>
      <c r="C160" s="57" t="str">
        <f>IF(LECON!C160="","",LECON!C160)</f>
        <v/>
      </c>
      <c r="D160" s="44"/>
      <c r="E160" s="57"/>
      <c r="F160" s="57"/>
      <c r="G160" s="48" t="str">
        <f>IF(LECON!G160="","",LECON!G160)</f>
        <v/>
      </c>
      <c r="H160" s="44" t="str">
        <f>IF(LECON!H160="","",LECON!H160)</f>
        <v/>
      </c>
      <c r="I160" s="48" t="str">
        <f>IF(LECON!I160="","",LECON!I160)</f>
        <v/>
      </c>
      <c r="J160" s="48" t="str">
        <f>IF(LECON!J160="","",LECON!J160)</f>
        <v/>
      </c>
      <c r="K160" s="44"/>
      <c r="L160" s="57"/>
      <c r="M160" s="57"/>
      <c r="N160" s="46" t="str">
        <f>IF(LECON!N160="","",LECON!N160)</f>
        <v/>
      </c>
      <c r="O160" s="44" t="str">
        <f>IF(LECON!O160="","",LECON!O160)</f>
        <v/>
      </c>
      <c r="P160" s="44" t="str">
        <f>IF(LECON!P160="","",LECON!P160)</f>
        <v/>
      </c>
      <c r="Q160" s="46" t="str">
        <f>IF(LECON!Q160="","",LECON!Q160)</f>
        <v/>
      </c>
      <c r="R160" s="44" t="str">
        <f>IF(LECON!R160="","",LECON!R160)</f>
        <v/>
      </c>
    </row>
    <row r="161" spans="1:18" x14ac:dyDescent="0.25">
      <c r="A161" s="57" t="str">
        <f>IF(LECON!A161="","",LECON!A161)</f>
        <v/>
      </c>
      <c r="B161" s="57" t="str">
        <f>IF(LECON!B161="","",LECON!B161)</f>
        <v/>
      </c>
      <c r="C161" s="57" t="str">
        <f>IF(LECON!C161="","",LECON!C161)</f>
        <v/>
      </c>
      <c r="D161" s="45"/>
      <c r="E161" s="58"/>
      <c r="F161" s="58"/>
      <c r="G161" s="48" t="str">
        <f>IF(LECON!G161="","",LECON!G161)</f>
        <v/>
      </c>
      <c r="H161" s="44" t="str">
        <f>IF(LECON!H161="","",LECON!H161)</f>
        <v/>
      </c>
      <c r="I161" s="48" t="str">
        <f>IF(LECON!I161="","",LECON!I161)</f>
        <v/>
      </c>
      <c r="J161" s="48" t="str">
        <f>IF(LECON!J161="","",LECON!J161)</f>
        <v/>
      </c>
      <c r="K161" s="45"/>
      <c r="L161" s="58"/>
      <c r="M161" s="58"/>
      <c r="N161" s="46" t="str">
        <f>IF(LECON!N161="","",LECON!N161)</f>
        <v/>
      </c>
      <c r="O161" s="44" t="str">
        <f>IF(LECON!O161="","",LECON!O161)</f>
        <v/>
      </c>
      <c r="P161" s="44" t="str">
        <f>IF(LECON!P161="","",LECON!P161)</f>
        <v/>
      </c>
      <c r="Q161" s="46" t="str">
        <f>IF(LECON!Q161="","",LECON!Q161)</f>
        <v/>
      </c>
      <c r="R161" s="44" t="str">
        <f>IF(LECON!R161="","",LECON!R161)</f>
        <v/>
      </c>
    </row>
    <row r="162" spans="1:18" x14ac:dyDescent="0.25">
      <c r="A162" s="57" t="str">
        <f>IF(LECON!A162="","",LECON!A162)</f>
        <v/>
      </c>
      <c r="B162" s="57" t="str">
        <f>IF(LECON!B162="","",LECON!B162)</f>
        <v/>
      </c>
      <c r="C162" s="57" t="str">
        <f>IF(LECON!C162="","",LECON!C162)</f>
        <v/>
      </c>
      <c r="D162" s="44"/>
      <c r="E162" s="57"/>
      <c r="F162" s="57"/>
      <c r="G162" s="48" t="str">
        <f>IF(LECON!G162="","",LECON!G162)</f>
        <v/>
      </c>
      <c r="H162" s="44" t="str">
        <f>IF(LECON!H162="","",LECON!H162)</f>
        <v/>
      </c>
      <c r="I162" s="48" t="str">
        <f>IF(LECON!I162="","",LECON!I162)</f>
        <v/>
      </c>
      <c r="J162" s="48" t="str">
        <f>IF(LECON!J162="","",LECON!J162)</f>
        <v/>
      </c>
      <c r="K162" s="44"/>
      <c r="L162" s="57"/>
      <c r="M162" s="57"/>
      <c r="N162" s="46" t="str">
        <f>IF(LECON!N162="","",LECON!N162)</f>
        <v/>
      </c>
      <c r="O162" s="44" t="str">
        <f>IF(LECON!O162="","",LECON!O162)</f>
        <v/>
      </c>
      <c r="P162" s="44" t="str">
        <f>IF(LECON!P162="","",LECON!P162)</f>
        <v/>
      </c>
      <c r="Q162" s="46" t="str">
        <f>IF(LECON!Q162="","",LECON!Q162)</f>
        <v/>
      </c>
      <c r="R162" s="44" t="str">
        <f>IF(LECON!R162="","",LECON!R162)</f>
        <v/>
      </c>
    </row>
    <row r="163" spans="1:18" x14ac:dyDescent="0.25">
      <c r="A163" s="57" t="str">
        <f>IF(LECON!A163="","",LECON!A163)</f>
        <v/>
      </c>
      <c r="B163" s="57" t="str">
        <f>IF(LECON!B163="","",LECON!B163)</f>
        <v/>
      </c>
      <c r="C163" s="57" t="str">
        <f>IF(LECON!C163="","",LECON!C163)</f>
        <v/>
      </c>
      <c r="D163" s="45"/>
      <c r="E163" s="58"/>
      <c r="F163" s="58"/>
      <c r="G163" s="48" t="str">
        <f>IF(LECON!G163="","",LECON!G163)</f>
        <v/>
      </c>
      <c r="H163" s="44" t="str">
        <f>IF(LECON!H163="","",LECON!H163)</f>
        <v/>
      </c>
      <c r="I163" s="48" t="str">
        <f>IF(LECON!I163="","",LECON!I163)</f>
        <v/>
      </c>
      <c r="J163" s="48" t="str">
        <f>IF(LECON!J163="","",LECON!J163)</f>
        <v/>
      </c>
      <c r="K163" s="45"/>
      <c r="L163" s="58"/>
      <c r="M163" s="58"/>
      <c r="N163" s="46" t="str">
        <f>IF(LECON!N163="","",LECON!N163)</f>
        <v/>
      </c>
      <c r="O163" s="44" t="str">
        <f>IF(LECON!O163="","",LECON!O163)</f>
        <v/>
      </c>
      <c r="P163" s="44" t="str">
        <f>IF(LECON!P163="","",LECON!P163)</f>
        <v/>
      </c>
      <c r="Q163" s="46" t="str">
        <f>IF(LECON!Q163="","",LECON!Q163)</f>
        <v/>
      </c>
      <c r="R163" s="44" t="str">
        <f>IF(LECON!R163="","",LECON!R163)</f>
        <v/>
      </c>
    </row>
    <row r="164" spans="1:18" x14ac:dyDescent="0.25">
      <c r="A164" s="57" t="str">
        <f>IF(LECON!A164="","",LECON!A164)</f>
        <v/>
      </c>
      <c r="B164" s="57" t="str">
        <f>IF(LECON!B164="","",LECON!B164)</f>
        <v/>
      </c>
      <c r="C164" s="57" t="str">
        <f>IF(LECON!C164="","",LECON!C164)</f>
        <v/>
      </c>
      <c r="D164" s="44"/>
      <c r="E164" s="57"/>
      <c r="F164" s="57"/>
      <c r="G164" s="48" t="str">
        <f>IF(LECON!G164="","",LECON!G164)</f>
        <v/>
      </c>
      <c r="H164" s="44" t="str">
        <f>IF(LECON!H164="","",LECON!H164)</f>
        <v/>
      </c>
      <c r="I164" s="48" t="str">
        <f>IF(LECON!I164="","",LECON!I164)</f>
        <v/>
      </c>
      <c r="J164" s="48" t="str">
        <f>IF(LECON!J164="","",LECON!J164)</f>
        <v/>
      </c>
      <c r="K164" s="44"/>
      <c r="L164" s="57"/>
      <c r="M164" s="57"/>
      <c r="N164" s="46" t="str">
        <f>IF(LECON!N164="","",LECON!N164)</f>
        <v/>
      </c>
      <c r="O164" s="44" t="str">
        <f>IF(LECON!O164="","",LECON!O164)</f>
        <v/>
      </c>
      <c r="P164" s="44" t="str">
        <f>IF(LECON!P164="","",LECON!P164)</f>
        <v/>
      </c>
      <c r="Q164" s="46" t="str">
        <f>IF(LECON!Q164="","",LECON!Q164)</f>
        <v/>
      </c>
      <c r="R164" s="44" t="str">
        <f>IF(LECON!R164="","",LECON!R164)</f>
        <v/>
      </c>
    </row>
    <row r="165" spans="1:18" x14ac:dyDescent="0.25">
      <c r="A165" s="57" t="str">
        <f>IF(LECON!A165="","",LECON!A165)</f>
        <v/>
      </c>
      <c r="B165" s="57" t="str">
        <f>IF(LECON!B165="","",LECON!B165)</f>
        <v/>
      </c>
      <c r="C165" s="57" t="str">
        <f>IF(LECON!C165="","",LECON!C165)</f>
        <v/>
      </c>
      <c r="D165" s="45"/>
      <c r="E165" s="58"/>
      <c r="F165" s="58"/>
      <c r="G165" s="48" t="str">
        <f>IF(LECON!G165="","",LECON!G165)</f>
        <v/>
      </c>
      <c r="H165" s="44" t="str">
        <f>IF(LECON!H165="","",LECON!H165)</f>
        <v/>
      </c>
      <c r="I165" s="48" t="str">
        <f>IF(LECON!I165="","",LECON!I165)</f>
        <v/>
      </c>
      <c r="J165" s="48" t="str">
        <f>IF(LECON!J165="","",LECON!J165)</f>
        <v/>
      </c>
      <c r="K165" s="45"/>
      <c r="L165" s="58"/>
      <c r="M165" s="58"/>
      <c r="N165" s="46" t="str">
        <f>IF(LECON!N165="","",LECON!N165)</f>
        <v/>
      </c>
      <c r="O165" s="44" t="str">
        <f>IF(LECON!O165="","",LECON!O165)</f>
        <v/>
      </c>
      <c r="P165" s="44" t="str">
        <f>IF(LECON!P165="","",LECON!P165)</f>
        <v/>
      </c>
      <c r="Q165" s="46" t="str">
        <f>IF(LECON!Q165="","",LECON!Q165)</f>
        <v/>
      </c>
      <c r="R165" s="44" t="str">
        <f>IF(LECON!R165="","",LECON!R165)</f>
        <v/>
      </c>
    </row>
    <row r="166" spans="1:18" x14ac:dyDescent="0.25">
      <c r="A166" s="57" t="str">
        <f>IF(LECON!A166="","",LECON!A166)</f>
        <v/>
      </c>
      <c r="B166" s="57" t="str">
        <f>IF(LECON!B166="","",LECON!B166)</f>
        <v/>
      </c>
      <c r="C166" s="57" t="str">
        <f>IF(LECON!C166="","",LECON!C166)</f>
        <v/>
      </c>
      <c r="D166" s="44"/>
      <c r="E166" s="57"/>
      <c r="F166" s="57"/>
      <c r="G166" s="48" t="str">
        <f>IF(LECON!G166="","",LECON!G166)</f>
        <v/>
      </c>
      <c r="H166" s="44" t="str">
        <f>IF(LECON!H166="","",LECON!H166)</f>
        <v/>
      </c>
      <c r="I166" s="48" t="str">
        <f>IF(LECON!I166="","",LECON!I166)</f>
        <v/>
      </c>
      <c r="J166" s="48" t="str">
        <f>IF(LECON!J166="","",LECON!J166)</f>
        <v/>
      </c>
      <c r="K166" s="44"/>
      <c r="L166" s="57"/>
      <c r="M166" s="57"/>
      <c r="N166" s="46" t="str">
        <f>IF(LECON!N166="","",LECON!N166)</f>
        <v/>
      </c>
      <c r="O166" s="44" t="str">
        <f>IF(LECON!O166="","",LECON!O166)</f>
        <v/>
      </c>
      <c r="P166" s="44" t="str">
        <f>IF(LECON!P166="","",LECON!P166)</f>
        <v/>
      </c>
      <c r="Q166" s="46" t="str">
        <f>IF(LECON!Q166="","",LECON!Q166)</f>
        <v/>
      </c>
      <c r="R166" s="44" t="str">
        <f>IF(LECON!R166="","",LECON!R166)</f>
        <v/>
      </c>
    </row>
    <row r="167" spans="1:18" x14ac:dyDescent="0.25">
      <c r="A167" s="57" t="str">
        <f>IF(LECON!A167="","",LECON!A167)</f>
        <v/>
      </c>
      <c r="B167" s="57" t="str">
        <f>IF(LECON!B167="","",LECON!B167)</f>
        <v/>
      </c>
      <c r="C167" s="57" t="str">
        <f>IF(LECON!C167="","",LECON!C167)</f>
        <v/>
      </c>
      <c r="D167" s="45"/>
      <c r="E167" s="58"/>
      <c r="F167" s="58"/>
      <c r="G167" s="48" t="str">
        <f>IF(LECON!G167="","",LECON!G167)</f>
        <v/>
      </c>
      <c r="H167" s="44" t="str">
        <f>IF(LECON!H167="","",LECON!H167)</f>
        <v/>
      </c>
      <c r="I167" s="48" t="str">
        <f>IF(LECON!I167="","",LECON!I167)</f>
        <v/>
      </c>
      <c r="J167" s="48" t="str">
        <f>IF(LECON!J167="","",LECON!J167)</f>
        <v/>
      </c>
      <c r="K167" s="45"/>
      <c r="L167" s="58"/>
      <c r="M167" s="58"/>
      <c r="N167" s="46" t="str">
        <f>IF(LECON!N167="","",LECON!N167)</f>
        <v/>
      </c>
      <c r="O167" s="44" t="str">
        <f>IF(LECON!O167="","",LECON!O167)</f>
        <v/>
      </c>
      <c r="P167" s="44" t="str">
        <f>IF(LECON!P167="","",LECON!P167)</f>
        <v/>
      </c>
      <c r="Q167" s="46" t="str">
        <f>IF(LECON!Q167="","",LECON!Q167)</f>
        <v/>
      </c>
      <c r="R167" s="44" t="str">
        <f>IF(LECON!R167="","",LECON!R167)</f>
        <v/>
      </c>
    </row>
    <row r="168" spans="1:18" x14ac:dyDescent="0.25">
      <c r="A168" s="57" t="str">
        <f>IF(LECON!A168="","",LECON!A168)</f>
        <v/>
      </c>
      <c r="B168" s="57" t="str">
        <f>IF(LECON!B168="","",LECON!B168)</f>
        <v/>
      </c>
      <c r="C168" s="57" t="str">
        <f>IF(LECON!C168="","",LECON!C168)</f>
        <v/>
      </c>
      <c r="D168" s="44"/>
      <c r="E168" s="57"/>
      <c r="F168" s="57"/>
      <c r="G168" s="48" t="str">
        <f>IF(LECON!G168="","",LECON!G168)</f>
        <v/>
      </c>
      <c r="H168" s="44" t="str">
        <f>IF(LECON!H168="","",LECON!H168)</f>
        <v/>
      </c>
      <c r="I168" s="48" t="str">
        <f>IF(LECON!I168="","",LECON!I168)</f>
        <v/>
      </c>
      <c r="J168" s="48" t="str">
        <f>IF(LECON!J168="","",LECON!J168)</f>
        <v/>
      </c>
      <c r="K168" s="44"/>
      <c r="L168" s="57"/>
      <c r="M168" s="57"/>
      <c r="N168" s="46" t="str">
        <f>IF(LECON!N168="","",LECON!N168)</f>
        <v/>
      </c>
      <c r="O168" s="44" t="str">
        <f>IF(LECON!O168="","",LECON!O168)</f>
        <v/>
      </c>
      <c r="P168" s="44" t="str">
        <f>IF(LECON!P168="","",LECON!P168)</f>
        <v/>
      </c>
      <c r="Q168" s="46" t="str">
        <f>IF(LECON!Q168="","",LECON!Q168)</f>
        <v/>
      </c>
      <c r="R168" s="44" t="str">
        <f>IF(LECON!R168="","",LECON!R168)</f>
        <v/>
      </c>
    </row>
    <row r="169" spans="1:18" x14ac:dyDescent="0.25">
      <c r="A169" s="57" t="str">
        <f>IF(LECON!A169="","",LECON!A169)</f>
        <v/>
      </c>
      <c r="B169" s="57" t="str">
        <f>IF(LECON!B169="","",LECON!B169)</f>
        <v/>
      </c>
      <c r="C169" s="57" t="str">
        <f>IF(LECON!C169="","",LECON!C169)</f>
        <v/>
      </c>
      <c r="D169" s="45"/>
      <c r="E169" s="58"/>
      <c r="F169" s="58"/>
      <c r="G169" s="48" t="str">
        <f>IF(LECON!G169="","",LECON!G169)</f>
        <v/>
      </c>
      <c r="H169" s="44" t="str">
        <f>IF(LECON!H169="","",LECON!H169)</f>
        <v/>
      </c>
      <c r="I169" s="48" t="str">
        <f>IF(LECON!I169="","",LECON!I169)</f>
        <v/>
      </c>
      <c r="J169" s="48" t="str">
        <f>IF(LECON!J169="","",LECON!J169)</f>
        <v/>
      </c>
      <c r="K169" s="45"/>
      <c r="L169" s="58"/>
      <c r="M169" s="58"/>
      <c r="N169" s="46" t="str">
        <f>IF(LECON!N169="","",LECON!N169)</f>
        <v/>
      </c>
      <c r="O169" s="44" t="str">
        <f>IF(LECON!O169="","",LECON!O169)</f>
        <v/>
      </c>
      <c r="P169" s="44" t="str">
        <f>IF(LECON!P169="","",LECON!P169)</f>
        <v/>
      </c>
      <c r="Q169" s="46" t="str">
        <f>IF(LECON!Q169="","",LECON!Q169)</f>
        <v/>
      </c>
      <c r="R169" s="44" t="str">
        <f>IF(LECON!R169="","",LECON!R169)</f>
        <v/>
      </c>
    </row>
    <row r="170" spans="1:18" x14ac:dyDescent="0.25">
      <c r="A170" s="57" t="str">
        <f>IF(LECON!A170="","",LECON!A170)</f>
        <v/>
      </c>
      <c r="B170" s="57" t="str">
        <f>IF(LECON!B170="","",LECON!B170)</f>
        <v/>
      </c>
      <c r="C170" s="57" t="str">
        <f>IF(LECON!C170="","",LECON!C170)</f>
        <v/>
      </c>
      <c r="D170" s="44"/>
      <c r="E170" s="57"/>
      <c r="F170" s="57"/>
      <c r="G170" s="48" t="str">
        <f>IF(LECON!G170="","",LECON!G170)</f>
        <v/>
      </c>
      <c r="H170" s="44" t="str">
        <f>IF(LECON!H170="","",LECON!H170)</f>
        <v/>
      </c>
      <c r="I170" s="48" t="str">
        <f>IF(LECON!I170="","",LECON!I170)</f>
        <v/>
      </c>
      <c r="J170" s="48" t="str">
        <f>IF(LECON!J170="","",LECON!J170)</f>
        <v/>
      </c>
      <c r="K170" s="44"/>
      <c r="L170" s="57"/>
      <c r="M170" s="57"/>
      <c r="N170" s="46" t="str">
        <f>IF(LECON!N170="","",LECON!N170)</f>
        <v/>
      </c>
      <c r="O170" s="44" t="str">
        <f>IF(LECON!O170="","",LECON!O170)</f>
        <v/>
      </c>
      <c r="P170" s="44" t="str">
        <f>IF(LECON!P170="","",LECON!P170)</f>
        <v/>
      </c>
      <c r="Q170" s="46" t="str">
        <f>IF(LECON!Q170="","",LECON!Q170)</f>
        <v/>
      </c>
      <c r="R170" s="44" t="str">
        <f>IF(LECON!R170="","",LECON!R170)</f>
        <v/>
      </c>
    </row>
    <row r="171" spans="1:18" x14ac:dyDescent="0.25">
      <c r="A171" s="57" t="str">
        <f>IF(LECON!A171="","",LECON!A171)</f>
        <v/>
      </c>
      <c r="B171" s="57" t="str">
        <f>IF(LECON!B171="","",LECON!B171)</f>
        <v/>
      </c>
      <c r="C171" s="57" t="str">
        <f>IF(LECON!C171="","",LECON!C171)</f>
        <v/>
      </c>
      <c r="D171" s="45"/>
      <c r="E171" s="58"/>
      <c r="F171" s="58"/>
      <c r="G171" s="48" t="str">
        <f>IF(LECON!G171="","",LECON!G171)</f>
        <v/>
      </c>
      <c r="H171" s="44" t="str">
        <f>IF(LECON!H171="","",LECON!H171)</f>
        <v/>
      </c>
      <c r="I171" s="48" t="str">
        <f>IF(LECON!I171="","",LECON!I171)</f>
        <v/>
      </c>
      <c r="J171" s="48" t="str">
        <f>IF(LECON!J171="","",LECON!J171)</f>
        <v/>
      </c>
      <c r="K171" s="45"/>
      <c r="L171" s="58"/>
      <c r="M171" s="58"/>
      <c r="N171" s="46" t="str">
        <f>IF(LECON!N171="","",LECON!N171)</f>
        <v/>
      </c>
      <c r="O171" s="44" t="str">
        <f>IF(LECON!O171="","",LECON!O171)</f>
        <v/>
      </c>
      <c r="P171" s="44" t="str">
        <f>IF(LECON!P171="","",LECON!P171)</f>
        <v/>
      </c>
      <c r="Q171" s="46" t="str">
        <f>IF(LECON!Q171="","",LECON!Q171)</f>
        <v/>
      </c>
      <c r="R171" s="44" t="str">
        <f>IF(LECON!R171="","",LECON!R171)</f>
        <v/>
      </c>
    </row>
    <row r="172" spans="1:18" x14ac:dyDescent="0.25">
      <c r="A172" s="57" t="str">
        <f>IF(LECON!A172="","",LECON!A172)</f>
        <v/>
      </c>
      <c r="B172" s="57" t="str">
        <f>IF(LECON!B172="","",LECON!B172)</f>
        <v/>
      </c>
      <c r="C172" s="57" t="str">
        <f>IF(LECON!C172="","",LECON!C172)</f>
        <v/>
      </c>
      <c r="D172" s="44"/>
      <c r="E172" s="57"/>
      <c r="F172" s="57"/>
      <c r="G172" s="48" t="str">
        <f>IF(LECON!G172="","",LECON!G172)</f>
        <v/>
      </c>
      <c r="H172" s="44" t="str">
        <f>IF(LECON!H172="","",LECON!H172)</f>
        <v/>
      </c>
      <c r="I172" s="48" t="str">
        <f>IF(LECON!I172="","",LECON!I172)</f>
        <v/>
      </c>
      <c r="J172" s="48" t="str">
        <f>IF(LECON!J172="","",LECON!J172)</f>
        <v/>
      </c>
      <c r="K172" s="44"/>
      <c r="L172" s="57"/>
      <c r="M172" s="57"/>
      <c r="N172" s="46" t="str">
        <f>IF(LECON!N172="","",LECON!N172)</f>
        <v/>
      </c>
      <c r="O172" s="44" t="str">
        <f>IF(LECON!O172="","",LECON!O172)</f>
        <v/>
      </c>
      <c r="P172" s="44" t="str">
        <f>IF(LECON!P172="","",LECON!P172)</f>
        <v/>
      </c>
      <c r="Q172" s="46" t="str">
        <f>IF(LECON!Q172="","",LECON!Q172)</f>
        <v/>
      </c>
      <c r="R172" s="44" t="str">
        <f>IF(LECON!R172="","",LECON!R172)</f>
        <v/>
      </c>
    </row>
  </sheetData>
  <sheetProtection password="D1D1" sheet="1" objects="1" scenarios="1" formatCells="0" formatColumns="0" formatRows="0"/>
  <pageMargins left="0.7" right="0.7" top="0.75" bottom="0.75" header="0.3" footer="0.3"/>
  <pageSetup paperSize="9" scale="75" orientation="landscape" r:id="rId1"/>
  <rowBreaks count="1" manualBreakCount="1">
    <brk id="108" max="16383" man="1"/>
  </rowBreaks>
</worksheet>
</file>

<file path=customUI/_rels/customUI14.xml.rels><?xml version="1.0" encoding="UTF-8" standalone="yes"?>
<Relationships xmlns="http://schemas.openxmlformats.org/package/2006/relationships"><Relationship Id="number6" Type="http://schemas.openxmlformats.org/officeDocument/2006/relationships/image" Target="images/number6.png"/><Relationship Id="number1" Type="http://schemas.openxmlformats.org/officeDocument/2006/relationships/image" Target="images/number1.png"/><Relationship Id="number0" Type="http://schemas.openxmlformats.org/officeDocument/2006/relationships/image" Target="images/number0.png"/><Relationship Id="number5" Type="http://schemas.openxmlformats.org/officeDocument/2006/relationships/image" Target="images/number5.png"/><Relationship Id="number4" Type="http://schemas.openxmlformats.org/officeDocument/2006/relationships/image" Target="images/number4.png"/><Relationship Id="number9" Type="http://schemas.openxmlformats.org/officeDocument/2006/relationships/image" Target="images/number9.png"/><Relationship Id="ICP" Type="http://schemas.openxmlformats.org/officeDocument/2006/relationships/image" Target="images/ICP.png"/><Relationship Id="number3" Type="http://schemas.openxmlformats.org/officeDocument/2006/relationships/image" Target="images/number3.png"/><Relationship Id="number8" Type="http://schemas.openxmlformats.org/officeDocument/2006/relationships/image" Target="images/number8.png"/><Relationship Id="number7" Type="http://schemas.openxmlformats.org/officeDocument/2006/relationships/image" Target="images/number7.png"/><Relationship Id="LECO" Type="http://schemas.openxmlformats.org/officeDocument/2006/relationships/image" Target="images/LECO.png"/><Relationship Id="number2" Type="http://schemas.openxmlformats.org/officeDocument/2006/relationships/image" Target="images/number2.png"/></Relationships>
</file>

<file path=customUI/customUI14.xml><?xml version="1.0" encoding="utf-8"?>
<customUI xmlns="http://schemas.microsoft.com/office/2009/07/customui">
  <ribbon>
    <tabs>
      <tab id="FOLIARES" label="FOLIARES" insertBeforeMso="TabHome">
        <group id="customGroup" label="Teclado">
          <button id="boton7" size="normal" image="number7" onAction="Modulo5.Cmd7_Click"/>
          <button id="boton4" size="normal" image="number4" onAction="Modulo5.Cmd4_Click"/>
          <button id="boton1" size="normal" image="number1" onAction="Modulo5.Cmd1_Click"/>
          <button id="boton8" size="normal" image="number8" onAction="Modulo5.Cmd8_Click"/>
          <button id="boton5" size="normal" image="number5" onAction="Modulo5.Cmd5_Click"/>
          <button id="boton2" size="normal" image="number2" onAction="Modulo5.Cmd2_Click"/>
          <button id="boton9" size="normal" image="number9" onAction="Modulo5.Cmd9_Click"/>
          <button id="boton6" size="normal" image="number6" onAction="Modulo5.Cmd6_Click"/>
          <button id="boton3" size="normal" image="number3" onAction="Modulo5.Cmd3_Click"/>
          <button id="boton0" size="normal" image="number0" onAction="Modulo5.Cmd0_Click"/>
        </group>
        <group id="customGroup2" label="Buscar y Borrar">
          <button id="Buscar" label="Buscar" size="large" imageMso="FilePrintPreview" onAction="Modulo1.BuscarCapsula"/>
          <button id="Borrar" label="Borrar" size="large" imageMso="InkEraseMode" onAction="Modulo5.CmdClear_Click"/>
        </group>
        <group id="customGroup3" label="Conectar y Desconectar">
          <button id="Conectar" label="Conectar" size="large" imageMso="AcceptInvitation" onAction="Modulo5.Conectar"/>
          <button id="Reset" label="Desconectar" size="large" imageMso="PrintPreviewClose" onAction="Modulo5.Terminar_Click"/>
        </group>
        <group id="customGroup5" label="Capturar Autoanalizador LECO">
          <button id="CapturarLECO" label="Capturar LECO" size="large" image="LECO" onAction="Modulo5.importarLECO_Click"/>
        </group>
        <group id="customGroup1" label="Capturar ICP Perkin Elmer">
          <button id="CapturarICP" label="Capturar ICP" size="large" image="ICP" onAction="Modulo5.importar_Click"/>
        </group>
        <group id="customGroup4">
          <button id="MostrarFormulario" label="Mostrar Control de muestra" size="large" imageMso="ControlLayoutRemove" onAction="Modulo5.MostrarFormulari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</vt:i4>
      </vt:variant>
    </vt:vector>
  </HeadingPairs>
  <TitlesOfParts>
    <vt:vector size="10" baseType="lpstr">
      <vt:lpstr>Humedad</vt:lpstr>
      <vt:lpstr>LECON</vt:lpstr>
      <vt:lpstr>MACROMICROELEMENTOS</vt:lpstr>
      <vt:lpstr>Datos</vt:lpstr>
      <vt:lpstr>LECOC</vt:lpstr>
      <vt:lpstr>Humedad!Área_de_impresión</vt:lpstr>
      <vt:lpstr>LECOC!Área_de_impresión</vt:lpstr>
      <vt:lpstr>LECON!Área_de_impresión</vt:lpstr>
      <vt:lpstr>MACROMICROELEMENTOS!Área_de_impresión</vt:lpstr>
      <vt:lpstr>MACROMICROELEMENTOS!Títulos_a_imprimir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Suelos</dc:creator>
  <cp:lastModifiedBy>Suelos</cp:lastModifiedBy>
  <cp:lastPrinted>2020-11-30T08:33:38Z</cp:lastPrinted>
  <dcterms:created xsi:type="dcterms:W3CDTF">2015-06-04T10:13:11Z</dcterms:created>
  <dcterms:modified xsi:type="dcterms:W3CDTF">2021-12-17T12:37:15Z</dcterms:modified>
</cp:coreProperties>
</file>