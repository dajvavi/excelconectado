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95ede07aa344bc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1\Desktop\"/>
    </mc:Choice>
  </mc:AlternateContent>
  <xr:revisionPtr revIDLastSave="0" documentId="13_ncr:1_{128E319F-C5F5-4F90-9A16-6993B7D56859}" xr6:coauthVersionLast="36" xr6:coauthVersionMax="36" xr10:uidLastSave="{00000000-0000-0000-0000-000000000000}"/>
  <bookViews>
    <workbookView xWindow="0" yWindow="0" windowWidth="28800" windowHeight="12375" xr2:uid="{629FD0EE-407D-4B91-9F21-240CB8C3912D}"/>
  </bookViews>
  <sheets>
    <sheet name="AC" sheetId="1" r:id="rId1"/>
    <sheet name="Pesada Macros" sheetId="2" r:id="rId2"/>
    <sheet name="MACROS" sheetId="3" r:id="rId3"/>
    <sheet name="Interpolación" sheetId="4" r:id="rId4"/>
    <sheet name="Datos" sheetId="5" r:id="rId5"/>
    <sheet name="NecesidadesK" sheetId="6" r:id="rId6"/>
    <sheet name="NecesidadesMg" sheetId="7" r:id="rId7"/>
  </sheets>
  <functionGroups builtInGroupCount="19"/>
  <definedNames>
    <definedName name="_xlnm.Print_Area" localSheetId="0">AC!$A$1:$P$55</definedName>
    <definedName name="_xlnm.Print_Area" localSheetId="2">MACROS!$A$1:$AR$55</definedName>
    <definedName name="_xlnm.Print_Area" localSheetId="5">NecesidadesK!$A$1:$C$49</definedName>
    <definedName name="_xlnm.Print_Area" localSheetId="6">NecesidadesMg!$A$1:$C$49</definedName>
    <definedName name="_xlnm.Print_Area" localSheetId="1">'Pesada Macros'!$A$1:$I$55</definedName>
    <definedName name="_xlnm.Print_Titles" localSheetId="2">MACROS!$A:$A,MACROS!$1:$1</definedName>
    <definedName name="Z_18118910_0F92_4239_9CBB_E9902E21A24E_.wvu.PrintArea" localSheetId="0" hidden="1">AC!$A$1:$J$49</definedName>
    <definedName name="Z_18118910_0F92_4239_9CBB_E9902E21A24E_.wvu.PrintArea" localSheetId="2" hidden="1">MACROS!$A$1:$AR$49</definedName>
    <definedName name="Z_18118910_0F92_4239_9CBB_E9902E21A24E_.wvu.PrintArea" localSheetId="5" hidden="1">NecesidadesK!$A$1:$C$49</definedName>
    <definedName name="Z_18118910_0F92_4239_9CBB_E9902E21A24E_.wvu.PrintArea" localSheetId="6" hidden="1">NecesidadesMg!$A$1:$C$49</definedName>
    <definedName name="Z_18118910_0F92_4239_9CBB_E9902E21A24E_.wvu.PrintArea" localSheetId="1" hidden="1">'Pesada Macros'!$A$1:$C$49</definedName>
    <definedName name="Z_18118910_0F92_4239_9CBB_E9902E21A24E_.wvu.PrintTitles" localSheetId="2" hidden="1">MACROS!$A:$A,MACROS!$1:$1</definedName>
    <definedName name="Z_23BAAECA_5738_454B_9A9E_D5E66963DE16_.wvu.Cols" localSheetId="0" hidden="1">AC!$B:$B</definedName>
    <definedName name="Z_23BAAECA_5738_454B_9A9E_D5E66963DE16_.wvu.Cols" localSheetId="1" hidden="1">'Pesada Macros'!$B:$B</definedName>
    <definedName name="Z_23BAAECA_5738_454B_9A9E_D5E66963DE16_.wvu.PrintArea" localSheetId="0" hidden="1">AC!$A$1:$P$55</definedName>
    <definedName name="Z_23BAAECA_5738_454B_9A9E_D5E66963DE16_.wvu.PrintArea" localSheetId="2" hidden="1">MACROS!$A$1:$AR$55</definedName>
    <definedName name="Z_23BAAECA_5738_454B_9A9E_D5E66963DE16_.wvu.PrintArea" localSheetId="5" hidden="1">NecesidadesK!$A$1:$C$49</definedName>
    <definedName name="Z_23BAAECA_5738_454B_9A9E_D5E66963DE16_.wvu.PrintArea" localSheetId="6" hidden="1">NecesidadesMg!$A$1:$C$49</definedName>
    <definedName name="Z_23BAAECA_5738_454B_9A9E_D5E66963DE16_.wvu.PrintArea" localSheetId="1" hidden="1">'Pesada Macros'!$A$1:$I$55</definedName>
    <definedName name="Z_23BAAECA_5738_454B_9A9E_D5E66963DE16_.wvu.PrintTitles" localSheetId="2" hidden="1">MACROS!$A:$A,MACROS!$1:$1</definedName>
    <definedName name="Z_35A72F4E_1989_4239_8E79_E165EF90CF44_.wvu.PrintArea" localSheetId="0" hidden="1">AC!$A$1:$J$49</definedName>
    <definedName name="Z_35A72F4E_1989_4239_8E79_E165EF90CF44_.wvu.PrintArea" localSheetId="2" hidden="1">MACROS!$A$1:$AR$49</definedName>
    <definedName name="Z_35A72F4E_1989_4239_8E79_E165EF90CF44_.wvu.PrintArea" localSheetId="5" hidden="1">NecesidadesK!$A$1:$C$49</definedName>
    <definedName name="Z_35A72F4E_1989_4239_8E79_E165EF90CF44_.wvu.PrintArea" localSheetId="6" hidden="1">NecesidadesMg!$A$1:$C$49</definedName>
    <definedName name="Z_35A72F4E_1989_4239_8E79_E165EF90CF44_.wvu.PrintArea" localSheetId="1" hidden="1">'Pesada Macros'!$A$1:$C$49</definedName>
    <definedName name="Z_35A72F4E_1989_4239_8E79_E165EF90CF44_.wvu.PrintTitles" localSheetId="2" hidden="1">MACROS!$A:$A,MACROS!$1:$1</definedName>
    <definedName name="Z_86132A32_9A76_4C6F_A239_31BB5A4348FA_.wvu.Cols" localSheetId="0" hidden="1">AC!$B:$B</definedName>
    <definedName name="Z_86132A32_9A76_4C6F_A239_31BB5A4348FA_.wvu.Cols" localSheetId="1" hidden="1">'Pesada Macros'!$B:$B</definedName>
    <definedName name="Z_86132A32_9A76_4C6F_A239_31BB5A4348FA_.wvu.PrintArea" localSheetId="0" hidden="1">AC!$A$1:$P$55</definedName>
    <definedName name="Z_86132A32_9A76_4C6F_A239_31BB5A4348FA_.wvu.PrintArea" localSheetId="2" hidden="1">MACROS!$A$1:$AR$55</definedName>
    <definedName name="Z_86132A32_9A76_4C6F_A239_31BB5A4348FA_.wvu.PrintArea" localSheetId="5" hidden="1">NecesidadesK!$A$1:$C$49</definedName>
    <definedName name="Z_86132A32_9A76_4C6F_A239_31BB5A4348FA_.wvu.PrintArea" localSheetId="6" hidden="1">NecesidadesMg!$A$1:$C$49</definedName>
    <definedName name="Z_86132A32_9A76_4C6F_A239_31BB5A4348FA_.wvu.PrintArea" localSheetId="1" hidden="1">'Pesada Macros'!$A$1:$I$55</definedName>
    <definedName name="Z_86132A32_9A76_4C6F_A239_31BB5A4348FA_.wvu.PrintTitles" localSheetId="2" hidden="1">MACROS!$A:$A,MACROS!$1:$1</definedName>
    <definedName name="Z_8AD36BF4_320C_466A_B1DE_155DFBFE1A41_.wvu.Cols" localSheetId="0" hidden="1">AC!$B:$B</definedName>
    <definedName name="Z_8AD36BF4_320C_466A_B1DE_155DFBFE1A41_.wvu.Cols" localSheetId="1" hidden="1">'Pesada Macros'!$B:$B</definedName>
    <definedName name="Z_8AD36BF4_320C_466A_B1DE_155DFBFE1A41_.wvu.PrintArea" localSheetId="0" hidden="1">AC!$A$1:$P$55</definedName>
    <definedName name="Z_8AD36BF4_320C_466A_B1DE_155DFBFE1A41_.wvu.PrintArea" localSheetId="2" hidden="1">MACROS!$A$1:$AR$55</definedName>
    <definedName name="Z_8AD36BF4_320C_466A_B1DE_155DFBFE1A41_.wvu.PrintArea" localSheetId="5" hidden="1">NecesidadesK!$A$1:$C$49</definedName>
    <definedName name="Z_8AD36BF4_320C_466A_B1DE_155DFBFE1A41_.wvu.PrintArea" localSheetId="6" hidden="1">NecesidadesMg!$A$1:$C$49</definedName>
    <definedName name="Z_8AD36BF4_320C_466A_B1DE_155DFBFE1A41_.wvu.PrintArea" localSheetId="1" hidden="1">'Pesada Macros'!$A$1:$I$55</definedName>
    <definedName name="Z_8AD36BF4_320C_466A_B1DE_155DFBFE1A41_.wvu.PrintTitles" localSheetId="2" hidden="1">MACROS!$A:$A,MACROS!$1:$1</definedName>
    <definedName name="Z_CE5EABB8_9FC2_4628_8267_295F9D463A9B_.wvu.Cols" localSheetId="0" hidden="1">AC!$B:$B</definedName>
    <definedName name="Z_CE5EABB8_9FC2_4628_8267_295F9D463A9B_.wvu.Cols" localSheetId="1" hidden="1">'Pesada Macros'!$B:$B</definedName>
    <definedName name="Z_CE5EABB8_9FC2_4628_8267_295F9D463A9B_.wvu.PrintArea" localSheetId="0" hidden="1">AC!$A$1:$P$55</definedName>
    <definedName name="Z_CE5EABB8_9FC2_4628_8267_295F9D463A9B_.wvu.PrintArea" localSheetId="2" hidden="1">MACROS!$A$1:$AR$55</definedName>
    <definedName name="Z_CE5EABB8_9FC2_4628_8267_295F9D463A9B_.wvu.PrintArea" localSheetId="5" hidden="1">NecesidadesK!$A$1:$C$49</definedName>
    <definedName name="Z_CE5EABB8_9FC2_4628_8267_295F9D463A9B_.wvu.PrintArea" localSheetId="6" hidden="1">NecesidadesMg!$A$1:$C$49</definedName>
    <definedName name="Z_CE5EABB8_9FC2_4628_8267_295F9D463A9B_.wvu.PrintArea" localSheetId="1" hidden="1">'Pesada Macros'!$A$1:$I$55</definedName>
    <definedName name="Z_CE5EABB8_9FC2_4628_8267_295F9D463A9B_.wvu.PrintTitles" localSheetId="2" hidden="1">MACROS!$A:$A,MACROS!$1:$1</definedName>
  </definedNames>
  <calcPr calcId="191029"/>
  <customWorkbookViews>
    <customWorkbookView name="ms1 - Vista personalizada" guid="{23BAAECA-5738-454B-9A9E-D5E66963DE16}" mergeInterval="0" personalView="1" maximized="1" xWindow="-8" yWindow="-8" windowWidth="1936" windowHeight="106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55" i="3" l="1"/>
  <c r="AJ55" i="3"/>
  <c r="AH55" i="3"/>
  <c r="AG55" i="3"/>
  <c r="AD55" i="3"/>
  <c r="AC55" i="3"/>
  <c r="AA55" i="3"/>
  <c r="Z55" i="3"/>
  <c r="D55" i="3"/>
  <c r="C55" i="3"/>
  <c r="A55" i="3"/>
  <c r="AO55" i="3" s="1"/>
  <c r="AK54" i="3"/>
  <c r="AJ54" i="3"/>
  <c r="AH54" i="3"/>
  <c r="AG54" i="3"/>
  <c r="AD54" i="3"/>
  <c r="AC54" i="3"/>
  <c r="AA54" i="3"/>
  <c r="Z54" i="3"/>
  <c r="D54" i="3"/>
  <c r="C54" i="3"/>
  <c r="A54" i="3"/>
  <c r="AL54" i="3" s="1"/>
  <c r="B54" i="7" s="1"/>
  <c r="C54" i="7" s="1"/>
  <c r="AK53" i="3"/>
  <c r="AJ53" i="3"/>
  <c r="AH53" i="3"/>
  <c r="AG53" i="3"/>
  <c r="AD53" i="3"/>
  <c r="AC53" i="3"/>
  <c r="AA53" i="3"/>
  <c r="Z53" i="3"/>
  <c r="D53" i="3"/>
  <c r="C53" i="3"/>
  <c r="A53" i="3"/>
  <c r="AO53" i="3" s="1"/>
  <c r="AK52" i="3"/>
  <c r="AJ52" i="3"/>
  <c r="AH52" i="3"/>
  <c r="AG52" i="3"/>
  <c r="AD52" i="3"/>
  <c r="AC52" i="3"/>
  <c r="AA52" i="3"/>
  <c r="Z52" i="3"/>
  <c r="D52" i="3"/>
  <c r="C52" i="3"/>
  <c r="A52" i="3"/>
  <c r="AL52" i="3" s="1"/>
  <c r="B52" i="7" s="1"/>
  <c r="C52" i="7" s="1"/>
  <c r="AK51" i="3"/>
  <c r="AJ51" i="3"/>
  <c r="AH51" i="3"/>
  <c r="AG51" i="3"/>
  <c r="AD51" i="3"/>
  <c r="AC51" i="3"/>
  <c r="AA51" i="3"/>
  <c r="Z51" i="3"/>
  <c r="D51" i="3"/>
  <c r="C51" i="3"/>
  <c r="A51" i="3"/>
  <c r="AO51" i="3" s="1"/>
  <c r="AK50" i="3"/>
  <c r="AJ50" i="3"/>
  <c r="AH50" i="3"/>
  <c r="AG50" i="3"/>
  <c r="AD50" i="3"/>
  <c r="AC50" i="3"/>
  <c r="AA50" i="3"/>
  <c r="Z50" i="3"/>
  <c r="D50" i="3"/>
  <c r="C50" i="3"/>
  <c r="A50" i="3"/>
  <c r="AO49" i="3"/>
  <c r="AK49" i="3"/>
  <c r="AJ49" i="3"/>
  <c r="AH49" i="3"/>
  <c r="AG49" i="3"/>
  <c r="AD49" i="3"/>
  <c r="AC49" i="3"/>
  <c r="AA49" i="3"/>
  <c r="Z49" i="3"/>
  <c r="D49" i="3"/>
  <c r="C49" i="3"/>
  <c r="A49" i="3"/>
  <c r="AK48" i="3"/>
  <c r="AJ48" i="3"/>
  <c r="AH48" i="3"/>
  <c r="AG48" i="3"/>
  <c r="AD48" i="3"/>
  <c r="AC48" i="3"/>
  <c r="AA48" i="3"/>
  <c r="Z48" i="3"/>
  <c r="D48" i="3"/>
  <c r="C48" i="3"/>
  <c r="A48" i="3"/>
  <c r="AK47" i="3"/>
  <c r="AJ47" i="3"/>
  <c r="AH47" i="3"/>
  <c r="AG47" i="3"/>
  <c r="AD47" i="3"/>
  <c r="AC47" i="3"/>
  <c r="AA47" i="3"/>
  <c r="Z47" i="3"/>
  <c r="D47" i="3"/>
  <c r="C47" i="3"/>
  <c r="A47" i="3"/>
  <c r="AO47" i="3" s="1"/>
  <c r="AK46" i="3"/>
  <c r="AJ46" i="3"/>
  <c r="AH46" i="3"/>
  <c r="AG46" i="3"/>
  <c r="AD46" i="3"/>
  <c r="AC46" i="3"/>
  <c r="AA46" i="3"/>
  <c r="Z46" i="3"/>
  <c r="D46" i="3"/>
  <c r="C46" i="3"/>
  <c r="A46" i="3"/>
  <c r="A46" i="6" s="1"/>
  <c r="AO45" i="3"/>
  <c r="AK45" i="3"/>
  <c r="AJ45" i="3"/>
  <c r="AH45" i="3"/>
  <c r="AG45" i="3"/>
  <c r="AD45" i="3"/>
  <c r="AC45" i="3"/>
  <c r="AA45" i="3"/>
  <c r="Z45" i="3"/>
  <c r="D45" i="3"/>
  <c r="C45" i="3"/>
  <c r="A45" i="3"/>
  <c r="AO44" i="3"/>
  <c r="AK44" i="3"/>
  <c r="AJ44" i="3"/>
  <c r="AH44" i="3"/>
  <c r="AG44" i="3"/>
  <c r="AD44" i="3"/>
  <c r="AC44" i="3"/>
  <c r="AA44" i="3"/>
  <c r="Z44" i="3"/>
  <c r="D44" i="3"/>
  <c r="C44" i="3"/>
  <c r="A44" i="3"/>
  <c r="AK43" i="3"/>
  <c r="AJ43" i="3"/>
  <c r="AH43" i="3"/>
  <c r="AG43" i="3"/>
  <c r="AD43" i="3"/>
  <c r="AC43" i="3"/>
  <c r="AA43" i="3"/>
  <c r="Z43" i="3"/>
  <c r="D43" i="3"/>
  <c r="C43" i="3"/>
  <c r="A43" i="3"/>
  <c r="AK42" i="3"/>
  <c r="AJ42" i="3"/>
  <c r="AH42" i="3"/>
  <c r="AG42" i="3"/>
  <c r="AD42" i="3"/>
  <c r="AC42" i="3"/>
  <c r="AA42" i="3"/>
  <c r="Z42" i="3"/>
  <c r="D42" i="3"/>
  <c r="C42" i="3"/>
  <c r="A42" i="3"/>
  <c r="AL42" i="3" s="1"/>
  <c r="B42" i="7" s="1"/>
  <c r="C42" i="7" s="1"/>
  <c r="AK41" i="3"/>
  <c r="AJ41" i="3"/>
  <c r="AH41" i="3"/>
  <c r="AG41" i="3"/>
  <c r="AD41" i="3"/>
  <c r="AC41" i="3"/>
  <c r="AA41" i="3"/>
  <c r="Z41" i="3"/>
  <c r="D41" i="3"/>
  <c r="C41" i="3"/>
  <c r="A41" i="3"/>
  <c r="AO41" i="3" s="1"/>
  <c r="AK40" i="3"/>
  <c r="AJ40" i="3"/>
  <c r="AH40" i="3"/>
  <c r="AG40" i="3"/>
  <c r="AD40" i="3"/>
  <c r="AC40" i="3"/>
  <c r="AA40" i="3"/>
  <c r="Z40" i="3"/>
  <c r="D40" i="3"/>
  <c r="C40" i="3"/>
  <c r="A40" i="3"/>
  <c r="A40" i="6" s="1"/>
  <c r="AK39" i="3"/>
  <c r="AJ39" i="3"/>
  <c r="AH39" i="3"/>
  <c r="AG39" i="3"/>
  <c r="AD39" i="3"/>
  <c r="AC39" i="3"/>
  <c r="AA39" i="3"/>
  <c r="Z39" i="3"/>
  <c r="D39" i="3"/>
  <c r="C39" i="3"/>
  <c r="A39" i="3"/>
  <c r="AK38" i="3"/>
  <c r="AJ38" i="3"/>
  <c r="AH38" i="3"/>
  <c r="AG38" i="3"/>
  <c r="AD38" i="3"/>
  <c r="AC38" i="3"/>
  <c r="AA38" i="3"/>
  <c r="Z38" i="3"/>
  <c r="D38" i="3"/>
  <c r="C38" i="3"/>
  <c r="A38" i="3"/>
  <c r="AO37" i="3"/>
  <c r="AK37" i="3"/>
  <c r="AJ37" i="3"/>
  <c r="AH37" i="3"/>
  <c r="AG37" i="3"/>
  <c r="AD37" i="3"/>
  <c r="AC37" i="3"/>
  <c r="AA37" i="3"/>
  <c r="Z37" i="3"/>
  <c r="D37" i="3"/>
  <c r="C37" i="3"/>
  <c r="A37" i="3"/>
  <c r="AO36" i="3"/>
  <c r="AK36" i="3"/>
  <c r="AJ36" i="3"/>
  <c r="AH36" i="3"/>
  <c r="AG36" i="3"/>
  <c r="AD36" i="3"/>
  <c r="AC36" i="3"/>
  <c r="AA36" i="3"/>
  <c r="Z36" i="3"/>
  <c r="D36" i="3"/>
  <c r="C36" i="3"/>
  <c r="A36" i="3"/>
  <c r="AK35" i="3"/>
  <c r="AJ35" i="3"/>
  <c r="AH35" i="3"/>
  <c r="AG35" i="3"/>
  <c r="AD35" i="3"/>
  <c r="AC35" i="3"/>
  <c r="AA35" i="3"/>
  <c r="Z35" i="3"/>
  <c r="D35" i="3"/>
  <c r="C35" i="3"/>
  <c r="A35" i="3"/>
  <c r="AK34" i="3"/>
  <c r="AJ34" i="3"/>
  <c r="AH34" i="3"/>
  <c r="AG34" i="3"/>
  <c r="AD34" i="3"/>
  <c r="AC34" i="3"/>
  <c r="AA34" i="3"/>
  <c r="Z34" i="3"/>
  <c r="D34" i="3"/>
  <c r="C34" i="3"/>
  <c r="A34" i="3"/>
  <c r="AK33" i="3"/>
  <c r="AJ33" i="3"/>
  <c r="AH33" i="3"/>
  <c r="AG33" i="3"/>
  <c r="AD33" i="3"/>
  <c r="AC33" i="3"/>
  <c r="AA33" i="3"/>
  <c r="Z33" i="3"/>
  <c r="D33" i="3"/>
  <c r="C33" i="3"/>
  <c r="A33" i="3"/>
  <c r="AO33" i="3" s="1"/>
  <c r="AK32" i="3"/>
  <c r="AJ32" i="3"/>
  <c r="AH32" i="3"/>
  <c r="AG32" i="3"/>
  <c r="AD32" i="3"/>
  <c r="AC32" i="3"/>
  <c r="AA32" i="3"/>
  <c r="Z32" i="3"/>
  <c r="D32" i="3"/>
  <c r="C32" i="3"/>
  <c r="A32" i="3"/>
  <c r="AO31" i="3"/>
  <c r="AK31" i="3"/>
  <c r="AJ31" i="3"/>
  <c r="AH31" i="3"/>
  <c r="AG31" i="3"/>
  <c r="AD31" i="3"/>
  <c r="AC31" i="3"/>
  <c r="AA31" i="3"/>
  <c r="Z31" i="3"/>
  <c r="D31" i="3"/>
  <c r="C31" i="3"/>
  <c r="A31" i="3"/>
  <c r="AK30" i="3"/>
  <c r="AJ30" i="3"/>
  <c r="AH30" i="3"/>
  <c r="AG30" i="3"/>
  <c r="AD30" i="3"/>
  <c r="AC30" i="3"/>
  <c r="AA30" i="3"/>
  <c r="Z30" i="3"/>
  <c r="D30" i="3"/>
  <c r="C30" i="3"/>
  <c r="A30" i="3"/>
  <c r="A30" i="6" s="1"/>
  <c r="AK29" i="3"/>
  <c r="AJ29" i="3"/>
  <c r="AH29" i="3"/>
  <c r="AG29" i="3"/>
  <c r="AD29" i="3"/>
  <c r="AC29" i="3"/>
  <c r="AA29" i="3"/>
  <c r="Z29" i="3"/>
  <c r="D29" i="3"/>
  <c r="C29" i="3"/>
  <c r="A29" i="3"/>
  <c r="AO29" i="3" s="1"/>
  <c r="AK28" i="3"/>
  <c r="AJ28" i="3"/>
  <c r="AH28" i="3"/>
  <c r="AG28" i="3"/>
  <c r="AD28" i="3"/>
  <c r="AC28" i="3"/>
  <c r="AA28" i="3"/>
  <c r="Z28" i="3"/>
  <c r="D28" i="3"/>
  <c r="C28" i="3"/>
  <c r="A28" i="3"/>
  <c r="AO28" i="3" s="1"/>
  <c r="AK27" i="3"/>
  <c r="AJ27" i="3"/>
  <c r="AH27" i="3"/>
  <c r="AG27" i="3"/>
  <c r="AD27" i="3"/>
  <c r="AC27" i="3"/>
  <c r="AA27" i="3"/>
  <c r="Z27" i="3"/>
  <c r="D27" i="3"/>
  <c r="C27" i="3"/>
  <c r="A27" i="3"/>
  <c r="AK26" i="3"/>
  <c r="AJ26" i="3"/>
  <c r="AH26" i="3"/>
  <c r="AG26" i="3"/>
  <c r="AD26" i="3"/>
  <c r="AC26" i="3"/>
  <c r="AA26" i="3"/>
  <c r="Z26" i="3"/>
  <c r="D26" i="3"/>
  <c r="C26" i="3"/>
  <c r="A26" i="3"/>
  <c r="AK25" i="3"/>
  <c r="AJ25" i="3"/>
  <c r="AH25" i="3"/>
  <c r="AG25" i="3"/>
  <c r="AD25" i="3"/>
  <c r="AC25" i="3"/>
  <c r="AA25" i="3"/>
  <c r="Z25" i="3"/>
  <c r="D25" i="3"/>
  <c r="C25" i="3"/>
  <c r="A25" i="3"/>
  <c r="AO25" i="3" s="1"/>
  <c r="AK24" i="3"/>
  <c r="AJ24" i="3"/>
  <c r="AH24" i="3"/>
  <c r="AG24" i="3"/>
  <c r="AD24" i="3"/>
  <c r="AC24" i="3"/>
  <c r="AA24" i="3"/>
  <c r="Z24" i="3"/>
  <c r="D24" i="3"/>
  <c r="C24" i="3"/>
  <c r="A24" i="3"/>
  <c r="AK23" i="3"/>
  <c r="AJ23" i="3"/>
  <c r="AH23" i="3"/>
  <c r="AG23" i="3"/>
  <c r="AD23" i="3"/>
  <c r="AC23" i="3"/>
  <c r="AA23" i="3"/>
  <c r="Z23" i="3"/>
  <c r="D23" i="3"/>
  <c r="C23" i="3"/>
  <c r="A23" i="3"/>
  <c r="AO23" i="3" s="1"/>
  <c r="AK22" i="3"/>
  <c r="AJ22" i="3"/>
  <c r="AH22" i="3"/>
  <c r="AG22" i="3"/>
  <c r="AD22" i="3"/>
  <c r="AC22" i="3"/>
  <c r="AA22" i="3"/>
  <c r="Z22" i="3"/>
  <c r="D22" i="3"/>
  <c r="C22" i="3"/>
  <c r="A22" i="3"/>
  <c r="AO21" i="3"/>
  <c r="AK21" i="3"/>
  <c r="AJ21" i="3"/>
  <c r="AH21" i="3"/>
  <c r="AG21" i="3"/>
  <c r="AD21" i="3"/>
  <c r="AC21" i="3"/>
  <c r="AA21" i="3"/>
  <c r="Z21" i="3"/>
  <c r="D21" i="3"/>
  <c r="C21" i="3"/>
  <c r="A21" i="3"/>
  <c r="AK20" i="3"/>
  <c r="AJ20" i="3"/>
  <c r="AH20" i="3"/>
  <c r="AG20" i="3"/>
  <c r="AD20" i="3"/>
  <c r="AC20" i="3"/>
  <c r="AA20" i="3"/>
  <c r="Z20" i="3"/>
  <c r="D20" i="3"/>
  <c r="C20" i="3"/>
  <c r="A20" i="3"/>
  <c r="AK19" i="3"/>
  <c r="AJ19" i="3"/>
  <c r="AH19" i="3"/>
  <c r="AG19" i="3"/>
  <c r="AD19" i="3"/>
  <c r="AC19" i="3"/>
  <c r="AA19" i="3"/>
  <c r="Z19" i="3"/>
  <c r="D19" i="3"/>
  <c r="C19" i="3"/>
  <c r="A19" i="3"/>
  <c r="AO19" i="3" s="1"/>
  <c r="AK18" i="3"/>
  <c r="AJ18" i="3"/>
  <c r="AH18" i="3"/>
  <c r="AG18" i="3"/>
  <c r="AD18" i="3"/>
  <c r="AC18" i="3"/>
  <c r="AA18" i="3"/>
  <c r="Z18" i="3"/>
  <c r="D18" i="3"/>
  <c r="C18" i="3"/>
  <c r="A18" i="3"/>
  <c r="AO18" i="3" s="1"/>
  <c r="AK17" i="3"/>
  <c r="AJ17" i="3"/>
  <c r="AH17" i="3"/>
  <c r="AG17" i="3"/>
  <c r="AD17" i="3"/>
  <c r="AC17" i="3"/>
  <c r="AA17" i="3"/>
  <c r="Z17" i="3"/>
  <c r="D17" i="3"/>
  <c r="C17" i="3"/>
  <c r="A17" i="3"/>
  <c r="AO17" i="3" s="1"/>
  <c r="AK16" i="3"/>
  <c r="AJ16" i="3"/>
  <c r="AH16" i="3"/>
  <c r="AG16" i="3"/>
  <c r="AD16" i="3"/>
  <c r="AC16" i="3"/>
  <c r="AA16" i="3"/>
  <c r="Z16" i="3"/>
  <c r="D16" i="3"/>
  <c r="C16" i="3"/>
  <c r="A16" i="3"/>
  <c r="AK15" i="3"/>
  <c r="AJ15" i="3"/>
  <c r="AH15" i="3"/>
  <c r="AG15" i="3"/>
  <c r="AD15" i="3"/>
  <c r="AC15" i="3"/>
  <c r="AA15" i="3"/>
  <c r="Z15" i="3"/>
  <c r="D15" i="3"/>
  <c r="C15" i="3"/>
  <c r="A15" i="3"/>
  <c r="AO15" i="3" s="1"/>
  <c r="AO14" i="3"/>
  <c r="AK14" i="3"/>
  <c r="AJ14" i="3"/>
  <c r="AH14" i="3"/>
  <c r="AG14" i="3"/>
  <c r="AD14" i="3"/>
  <c r="AC14" i="3"/>
  <c r="AA14" i="3"/>
  <c r="Z14" i="3"/>
  <c r="D14" i="3"/>
  <c r="C14" i="3"/>
  <c r="A14" i="3"/>
  <c r="AK13" i="3"/>
  <c r="AJ13" i="3"/>
  <c r="AH13" i="3"/>
  <c r="AG13" i="3"/>
  <c r="AD13" i="3"/>
  <c r="AC13" i="3"/>
  <c r="AA13" i="3"/>
  <c r="Z13" i="3"/>
  <c r="D13" i="3"/>
  <c r="C13" i="3"/>
  <c r="A13" i="3"/>
  <c r="AK12" i="3"/>
  <c r="AJ12" i="3"/>
  <c r="AH12" i="3"/>
  <c r="AG12" i="3"/>
  <c r="AD12" i="3"/>
  <c r="AC12" i="3"/>
  <c r="AA12" i="3"/>
  <c r="Z12" i="3"/>
  <c r="D12" i="3"/>
  <c r="C12" i="3"/>
  <c r="A12" i="3"/>
  <c r="AK11" i="3"/>
  <c r="AJ11" i="3"/>
  <c r="AH11" i="3"/>
  <c r="AG11" i="3"/>
  <c r="AD11" i="3"/>
  <c r="AC11" i="3"/>
  <c r="AA11" i="3"/>
  <c r="Z11" i="3"/>
  <c r="D11" i="3"/>
  <c r="C11" i="3"/>
  <c r="A11" i="3"/>
  <c r="AO10" i="3"/>
  <c r="AK10" i="3"/>
  <c r="AJ10" i="3"/>
  <c r="AH10" i="3"/>
  <c r="AG10" i="3"/>
  <c r="AD10" i="3"/>
  <c r="AC10" i="3"/>
  <c r="AA10" i="3"/>
  <c r="Z10" i="3"/>
  <c r="D10" i="3"/>
  <c r="C10" i="3"/>
  <c r="A10" i="3"/>
  <c r="AO9" i="3"/>
  <c r="AK9" i="3"/>
  <c r="AJ9" i="3"/>
  <c r="AH9" i="3"/>
  <c r="AG9" i="3"/>
  <c r="AD9" i="3"/>
  <c r="AC9" i="3"/>
  <c r="AA9" i="3"/>
  <c r="Z9" i="3"/>
  <c r="D9" i="3"/>
  <c r="C9" i="3"/>
  <c r="A9" i="3"/>
  <c r="AK8" i="3"/>
  <c r="AJ8" i="3"/>
  <c r="AH8" i="3"/>
  <c r="AG8" i="3"/>
  <c r="AD8" i="3"/>
  <c r="AC8" i="3"/>
  <c r="AA8" i="3"/>
  <c r="Z8" i="3"/>
  <c r="D8" i="3"/>
  <c r="C8" i="3"/>
  <c r="A8" i="3"/>
  <c r="AK7" i="3"/>
  <c r="AJ7" i="3"/>
  <c r="AH7" i="3"/>
  <c r="AG7" i="3"/>
  <c r="AD7" i="3"/>
  <c r="AC7" i="3"/>
  <c r="AA7" i="3"/>
  <c r="Z7" i="3"/>
  <c r="D7" i="3"/>
  <c r="C7" i="3"/>
  <c r="A7" i="3"/>
  <c r="AK6" i="3"/>
  <c r="AJ6" i="3"/>
  <c r="AH6" i="3"/>
  <c r="AG6" i="3"/>
  <c r="AD6" i="3"/>
  <c r="AC6" i="3"/>
  <c r="AA6" i="3"/>
  <c r="Z6" i="3"/>
  <c r="D6" i="3"/>
  <c r="C6" i="3"/>
  <c r="A6" i="3"/>
  <c r="AO6" i="3" s="1"/>
  <c r="AK5" i="3"/>
  <c r="AJ5" i="3"/>
  <c r="AH5" i="3"/>
  <c r="AG5" i="3"/>
  <c r="AD5" i="3"/>
  <c r="AC5" i="3"/>
  <c r="AA5" i="3"/>
  <c r="Z5" i="3"/>
  <c r="D5" i="3"/>
  <c r="C5" i="3"/>
  <c r="A5" i="3"/>
  <c r="AO5" i="3" s="1"/>
  <c r="AK4" i="3"/>
  <c r="AJ4" i="3"/>
  <c r="AH4" i="3"/>
  <c r="AG4" i="3"/>
  <c r="AD4" i="3"/>
  <c r="AC4" i="3"/>
  <c r="AA4" i="3"/>
  <c r="Z4" i="3"/>
  <c r="D4" i="3"/>
  <c r="C4" i="3"/>
  <c r="A4" i="3"/>
  <c r="AK3" i="3"/>
  <c r="AJ3" i="3"/>
  <c r="AH3" i="3"/>
  <c r="AG3" i="3"/>
  <c r="AD3" i="3"/>
  <c r="AC3" i="3"/>
  <c r="AA3" i="3"/>
  <c r="Z3" i="3"/>
  <c r="D3" i="3"/>
  <c r="C3" i="3"/>
  <c r="A3" i="3"/>
  <c r="AK2" i="3"/>
  <c r="AJ2" i="3"/>
  <c r="AH2" i="3"/>
  <c r="AG2" i="3"/>
  <c r="AD2" i="3"/>
  <c r="AC2" i="3"/>
  <c r="AA2" i="3"/>
  <c r="Z2" i="3"/>
  <c r="D2" i="3"/>
  <c r="C2" i="3"/>
  <c r="A2" i="3"/>
  <c r="AO2" i="3" s="1"/>
  <c r="B55" i="2"/>
  <c r="B55" i="3" s="1"/>
  <c r="B54" i="2"/>
  <c r="B54" i="3" s="1"/>
  <c r="AB54" i="3" s="1"/>
  <c r="B53" i="2"/>
  <c r="B53" i="3" s="1"/>
  <c r="B52" i="2"/>
  <c r="B52" i="3" s="1"/>
  <c r="AB52" i="3" s="1"/>
  <c r="B51" i="2"/>
  <c r="B51" i="3" s="1"/>
  <c r="AI51" i="3" s="1"/>
  <c r="B50" i="2"/>
  <c r="B50" i="3" s="1"/>
  <c r="AL50" i="3" s="1"/>
  <c r="B50" i="7" s="1"/>
  <c r="C50" i="7" s="1"/>
  <c r="B49" i="2"/>
  <c r="B49" i="3" s="1"/>
  <c r="B48" i="2"/>
  <c r="B48" i="3" s="1"/>
  <c r="B47" i="2"/>
  <c r="B47" i="3" s="1"/>
  <c r="AI47" i="3" s="1"/>
  <c r="B46" i="2"/>
  <c r="B46" i="3" s="1"/>
  <c r="B45" i="2"/>
  <c r="B45" i="3" s="1"/>
  <c r="B44" i="2"/>
  <c r="B44" i="3" s="1"/>
  <c r="B43" i="2"/>
  <c r="B43" i="3" s="1"/>
  <c r="AI43" i="3" s="1"/>
  <c r="B42" i="2"/>
  <c r="B42" i="3" s="1"/>
  <c r="B41" i="2"/>
  <c r="B41" i="3" s="1"/>
  <c r="B40" i="2"/>
  <c r="B40" i="3" s="1"/>
  <c r="AB40" i="3" s="1"/>
  <c r="B39" i="2"/>
  <c r="B39" i="3" s="1"/>
  <c r="AL39" i="3" s="1"/>
  <c r="B39" i="7" s="1"/>
  <c r="C39" i="7" s="1"/>
  <c r="B38" i="2"/>
  <c r="B38" i="3" s="1"/>
  <c r="AI38" i="3" s="1"/>
  <c r="B37" i="2"/>
  <c r="B37" i="3" s="1"/>
  <c r="B36" i="2"/>
  <c r="B36" i="3" s="1"/>
  <c r="AB36" i="3" s="1"/>
  <c r="B35" i="2"/>
  <c r="B35" i="3" s="1"/>
  <c r="B34" i="2"/>
  <c r="B34" i="3" s="1"/>
  <c r="B33" i="2"/>
  <c r="B33" i="3" s="1"/>
  <c r="B32" i="2"/>
  <c r="B32" i="3" s="1"/>
  <c r="B31" i="2"/>
  <c r="B31" i="3" s="1"/>
  <c r="B30" i="2"/>
  <c r="B30" i="3" s="1"/>
  <c r="B29" i="2"/>
  <c r="B29" i="3" s="1"/>
  <c r="B28" i="2"/>
  <c r="B28" i="3" s="1"/>
  <c r="B27" i="2"/>
  <c r="B27" i="3" s="1"/>
  <c r="AI27" i="3" s="1"/>
  <c r="B26" i="2"/>
  <c r="B26" i="3" s="1"/>
  <c r="B25" i="2"/>
  <c r="B25" i="3" s="1"/>
  <c r="AB25" i="3" s="1"/>
  <c r="B24" i="2"/>
  <c r="B24" i="3" s="1"/>
  <c r="B23" i="2"/>
  <c r="B23" i="3" s="1"/>
  <c r="B22" i="2"/>
  <c r="B22" i="3" s="1"/>
  <c r="B21" i="2"/>
  <c r="B21" i="3" s="1"/>
  <c r="B20" i="2"/>
  <c r="B20" i="3" s="1"/>
  <c r="AL20" i="3" s="1"/>
  <c r="B20" i="7" s="1"/>
  <c r="C20" i="7" s="1"/>
  <c r="B19" i="2"/>
  <c r="B19" i="3" s="1"/>
  <c r="B18" i="2"/>
  <c r="B18" i="3" s="1"/>
  <c r="AB18" i="3" s="1"/>
  <c r="B17" i="2"/>
  <c r="B17" i="3" s="1"/>
  <c r="B16" i="2"/>
  <c r="B16" i="3" s="1"/>
  <c r="AL16" i="3" s="1"/>
  <c r="B16" i="7" s="1"/>
  <c r="C16" i="7" s="1"/>
  <c r="B15" i="2"/>
  <c r="B15" i="3" s="1"/>
  <c r="B14" i="2"/>
  <c r="B14" i="3" s="1"/>
  <c r="AB14" i="3" s="1"/>
  <c r="B13" i="2"/>
  <c r="B13" i="3" s="1"/>
  <c r="B12" i="2"/>
  <c r="B12" i="3" s="1"/>
  <c r="AL12" i="3" s="1"/>
  <c r="B12" i="7" s="1"/>
  <c r="C12" i="7" s="1"/>
  <c r="B11" i="2"/>
  <c r="B11" i="3" s="1"/>
  <c r="B10" i="2"/>
  <c r="B10" i="3" s="1"/>
  <c r="B9" i="2"/>
  <c r="B9" i="3" s="1"/>
  <c r="B8" i="2"/>
  <c r="B8" i="3" s="1"/>
  <c r="AI8" i="3" s="1"/>
  <c r="B7" i="2"/>
  <c r="B7" i="3" s="1"/>
  <c r="AB7" i="3" s="1"/>
  <c r="B6" i="2"/>
  <c r="B6" i="3" s="1"/>
  <c r="B5" i="2"/>
  <c r="B5" i="3" s="1"/>
  <c r="AB5" i="3" s="1"/>
  <c r="B4" i="2"/>
  <c r="B4" i="3" s="1"/>
  <c r="B3" i="2"/>
  <c r="B3" i="3" s="1"/>
  <c r="B2" i="2"/>
  <c r="B2" i="3" s="1"/>
  <c r="AB2" i="3" s="1"/>
  <c r="I55" i="1"/>
  <c r="G55" i="1"/>
  <c r="B55" i="1"/>
  <c r="I54" i="1"/>
  <c r="G54" i="1"/>
  <c r="B54" i="1"/>
  <c r="I53" i="1"/>
  <c r="G53" i="1"/>
  <c r="B53" i="1"/>
  <c r="I52" i="1"/>
  <c r="G52" i="1"/>
  <c r="B52" i="1"/>
  <c r="I51" i="1"/>
  <c r="G51" i="1"/>
  <c r="B51" i="1"/>
  <c r="I50" i="1"/>
  <c r="G50" i="1"/>
  <c r="B50" i="1"/>
  <c r="I49" i="1"/>
  <c r="G49" i="1"/>
  <c r="B49" i="1"/>
  <c r="I48" i="1"/>
  <c r="G48" i="1"/>
  <c r="B48" i="1"/>
  <c r="I47" i="1"/>
  <c r="G47" i="1"/>
  <c r="B47" i="1"/>
  <c r="I46" i="1"/>
  <c r="G46" i="1"/>
  <c r="B46" i="1"/>
  <c r="I45" i="1"/>
  <c r="G45" i="1"/>
  <c r="B45" i="1"/>
  <c r="I44" i="1"/>
  <c r="G44" i="1"/>
  <c r="B44" i="1"/>
  <c r="I43" i="1"/>
  <c r="G43" i="1"/>
  <c r="B43" i="1"/>
  <c r="I42" i="1"/>
  <c r="G42" i="1"/>
  <c r="B42" i="1"/>
  <c r="I41" i="1"/>
  <c r="G41" i="1"/>
  <c r="B41" i="1"/>
  <c r="I40" i="1"/>
  <c r="G40" i="1"/>
  <c r="B40" i="1"/>
  <c r="I39" i="1"/>
  <c r="G39" i="1"/>
  <c r="B39" i="1"/>
  <c r="I38" i="1"/>
  <c r="G38" i="1"/>
  <c r="B38" i="1"/>
  <c r="I37" i="1"/>
  <c r="G37" i="1"/>
  <c r="B37" i="1"/>
  <c r="I36" i="1"/>
  <c r="G36" i="1"/>
  <c r="B36" i="1"/>
  <c r="I35" i="1"/>
  <c r="G35" i="1"/>
  <c r="B35" i="1"/>
  <c r="I34" i="1"/>
  <c r="G34" i="1"/>
  <c r="B34" i="1"/>
  <c r="I33" i="1"/>
  <c r="G33" i="1"/>
  <c r="B33" i="1"/>
  <c r="I32" i="1"/>
  <c r="G32" i="1"/>
  <c r="B32" i="1"/>
  <c r="I31" i="1"/>
  <c r="G31" i="1"/>
  <c r="B31" i="1"/>
  <c r="P30" i="1"/>
  <c r="I30" i="1"/>
  <c r="G30" i="1"/>
  <c r="B30" i="1"/>
  <c r="N29" i="1"/>
  <c r="I29" i="1"/>
  <c r="G29" i="1"/>
  <c r="B29" i="1"/>
  <c r="I28" i="1"/>
  <c r="G28" i="1"/>
  <c r="B28" i="1"/>
  <c r="I27" i="1"/>
  <c r="G27" i="1"/>
  <c r="B27" i="1"/>
  <c r="I26" i="1"/>
  <c r="G26" i="1"/>
  <c r="B26" i="1"/>
  <c r="I25" i="1"/>
  <c r="G25" i="1"/>
  <c r="B25" i="1"/>
  <c r="I24" i="1"/>
  <c r="G24" i="1"/>
  <c r="B24" i="1"/>
  <c r="I23" i="1"/>
  <c r="G23" i="1"/>
  <c r="B23" i="1"/>
  <c r="I22" i="1"/>
  <c r="G22" i="1"/>
  <c r="B22" i="1"/>
  <c r="I21" i="1"/>
  <c r="G21" i="1"/>
  <c r="B21" i="1"/>
  <c r="I20" i="1"/>
  <c r="G20" i="1"/>
  <c r="B20" i="1"/>
  <c r="I19" i="1"/>
  <c r="G19" i="1"/>
  <c r="B19" i="1"/>
  <c r="I18" i="1"/>
  <c r="G18" i="1"/>
  <c r="B18" i="1"/>
  <c r="I17" i="1"/>
  <c r="G17" i="1"/>
  <c r="B17" i="1"/>
  <c r="I16" i="1"/>
  <c r="G16" i="1"/>
  <c r="B16" i="1"/>
  <c r="I15" i="1"/>
  <c r="G15" i="1"/>
  <c r="B15" i="1"/>
  <c r="I14" i="1"/>
  <c r="G14" i="1"/>
  <c r="B14" i="1"/>
  <c r="I13" i="1"/>
  <c r="G13" i="1"/>
  <c r="B13" i="1"/>
  <c r="I12" i="1"/>
  <c r="G12" i="1"/>
  <c r="B12" i="1"/>
  <c r="I11" i="1"/>
  <c r="G11" i="1"/>
  <c r="B11" i="1"/>
  <c r="I10" i="1"/>
  <c r="G10" i="1"/>
  <c r="B10" i="1"/>
  <c r="I9" i="1"/>
  <c r="G9" i="1"/>
  <c r="B9" i="1"/>
  <c r="I8" i="1"/>
  <c r="G8" i="1"/>
  <c r="B8" i="1"/>
  <c r="I7" i="1"/>
  <c r="G7" i="1"/>
  <c r="B7" i="1"/>
  <c r="I6" i="1"/>
  <c r="G6" i="1"/>
  <c r="B6" i="1"/>
  <c r="I5" i="1"/>
  <c r="G5" i="1"/>
  <c r="B5" i="1"/>
  <c r="I4" i="1"/>
  <c r="G4" i="1"/>
  <c r="B4" i="1"/>
  <c r="I3" i="1"/>
  <c r="G3" i="1"/>
  <c r="B3" i="1"/>
  <c r="I2" i="1"/>
  <c r="G2" i="1"/>
  <c r="B2" i="1"/>
  <c r="AE7" i="3" l="1"/>
  <c r="AF7" i="3" s="1"/>
  <c r="B7" i="6" s="1"/>
  <c r="C7" i="6" s="1"/>
  <c r="AB6" i="3"/>
  <c r="AI20" i="3"/>
  <c r="AN20" i="3" s="1"/>
  <c r="AO40" i="3"/>
  <c r="AI16" i="3"/>
  <c r="AN16" i="3" s="1"/>
  <c r="AL32" i="3"/>
  <c r="B32" i="7" s="1"/>
  <c r="C32" i="7" s="1"/>
  <c r="AL5" i="3"/>
  <c r="B5" i="7" s="1"/>
  <c r="C5" i="7" s="1"/>
  <c r="AI7" i="3"/>
  <c r="AE2" i="3"/>
  <c r="AF2" i="3" s="1"/>
  <c r="B2" i="6" s="1"/>
  <c r="C2" i="6" s="1"/>
  <c r="AI4" i="3"/>
  <c r="AL35" i="3"/>
  <c r="B35" i="7" s="1"/>
  <c r="C35" i="7" s="1"/>
  <c r="AE47" i="3"/>
  <c r="AF47" i="3" s="1"/>
  <c r="B47" i="6" s="1"/>
  <c r="C47" i="6" s="1"/>
  <c r="A40" i="7"/>
  <c r="A13" i="7"/>
  <c r="A13" i="6"/>
  <c r="AB13" i="3"/>
  <c r="AI13" i="3"/>
  <c r="AE13" i="3"/>
  <c r="AL13" i="3"/>
  <c r="B13" i="7" s="1"/>
  <c r="C13" i="7" s="1"/>
  <c r="O37" i="1"/>
  <c r="AB29" i="3"/>
  <c r="AI29" i="3"/>
  <c r="AE29" i="3"/>
  <c r="AI37" i="3"/>
  <c r="AE37" i="3"/>
  <c r="AB37" i="3"/>
  <c r="AI45" i="3"/>
  <c r="AE45" i="3"/>
  <c r="AB45" i="3"/>
  <c r="AB49" i="3"/>
  <c r="AI49" i="3"/>
  <c r="AE49" i="3"/>
  <c r="AB53" i="3"/>
  <c r="AE53" i="3"/>
  <c r="AI53" i="3"/>
  <c r="AI6" i="3"/>
  <c r="AE6" i="3"/>
  <c r="AI10" i="3"/>
  <c r="AB10" i="3"/>
  <c r="AE10" i="3"/>
  <c r="AB22" i="3"/>
  <c r="AI26" i="3"/>
  <c r="AE38" i="3"/>
  <c r="AL9" i="3"/>
  <c r="B9" i="7" s="1"/>
  <c r="C9" i="7" s="1"/>
  <c r="AI11" i="3"/>
  <c r="A21" i="7"/>
  <c r="A21" i="6"/>
  <c r="AB21" i="3"/>
  <c r="AP21" i="3" s="1"/>
  <c r="AQ21" i="3" s="1"/>
  <c r="AI21" i="3"/>
  <c r="AE21" i="3"/>
  <c r="AL21" i="3"/>
  <c r="B21" i="7" s="1"/>
  <c r="C21" i="7" s="1"/>
  <c r="A24" i="6"/>
  <c r="AI24" i="3"/>
  <c r="AE24" i="3"/>
  <c r="A24" i="7"/>
  <c r="AO24" i="3"/>
  <c r="AL24" i="3"/>
  <c r="B24" i="7" s="1"/>
  <c r="C24" i="7" s="1"/>
  <c r="AB24" i="3"/>
  <c r="AB32" i="3"/>
  <c r="AI25" i="3"/>
  <c r="AE25" i="3"/>
  <c r="AB33" i="3"/>
  <c r="AI33" i="3"/>
  <c r="AE33" i="3"/>
  <c r="AI41" i="3"/>
  <c r="AE41" i="3"/>
  <c r="AB41" i="3"/>
  <c r="AB15" i="3"/>
  <c r="AI15" i="3"/>
  <c r="AE15" i="3"/>
  <c r="AB19" i="3"/>
  <c r="AI19" i="3"/>
  <c r="AE19" i="3"/>
  <c r="AI2" i="3"/>
  <c r="AL4" i="3"/>
  <c r="B4" i="7" s="1"/>
  <c r="C4" i="7" s="1"/>
  <c r="AI12" i="3"/>
  <c r="AN12" i="3" s="1"/>
  <c r="AO13" i="3"/>
  <c r="A17" i="7"/>
  <c r="A17" i="6"/>
  <c r="AB17" i="3"/>
  <c r="AI17" i="3"/>
  <c r="AE17" i="3"/>
  <c r="AL17" i="3"/>
  <c r="B17" i="7" s="1"/>
  <c r="C17" i="7" s="1"/>
  <c r="AL26" i="3"/>
  <c r="B26" i="7" s="1"/>
  <c r="C26" i="7" s="1"/>
  <c r="AI30" i="3"/>
  <c r="AE30" i="3"/>
  <c r="A3" i="6"/>
  <c r="A3" i="7"/>
  <c r="AO3" i="3"/>
  <c r="A8" i="6"/>
  <c r="A8" i="7"/>
  <c r="AB8" i="3"/>
  <c r="AE8" i="3"/>
  <c r="AO8" i="3"/>
  <c r="AL11" i="3"/>
  <c r="B11" i="7" s="1"/>
  <c r="C11" i="7" s="1"/>
  <c r="A42" i="7"/>
  <c r="A42" i="6"/>
  <c r="AO42" i="3"/>
  <c r="AB42" i="3"/>
  <c r="AI42" i="3"/>
  <c r="AN42" i="3" s="1"/>
  <c r="AE42" i="3"/>
  <c r="AE55" i="3"/>
  <c r="AI55" i="3"/>
  <c r="AE3" i="3"/>
  <c r="AI3" i="3"/>
  <c r="AB9" i="3"/>
  <c r="AE11" i="3"/>
  <c r="A26" i="7"/>
  <c r="A26" i="6"/>
  <c r="AO26" i="3"/>
  <c r="AB26" i="3"/>
  <c r="AE26" i="3"/>
  <c r="AL27" i="3"/>
  <c r="B27" i="7" s="1"/>
  <c r="C27" i="7" s="1"/>
  <c r="AB30" i="3"/>
  <c r="A31" i="6"/>
  <c r="A31" i="7"/>
  <c r="AB31" i="3"/>
  <c r="AI31" i="3"/>
  <c r="AL31" i="3"/>
  <c r="B31" i="7" s="1"/>
  <c r="C31" i="7" s="1"/>
  <c r="AE31" i="3"/>
  <c r="A38" i="7"/>
  <c r="A38" i="6"/>
  <c r="AO38" i="3"/>
  <c r="AB38" i="3"/>
  <c r="AL38" i="3"/>
  <c r="B38" i="7" s="1"/>
  <c r="C38" i="7" s="1"/>
  <c r="AL43" i="3"/>
  <c r="B43" i="7" s="1"/>
  <c r="C43" i="7" s="1"/>
  <c r="A50" i="7"/>
  <c r="A50" i="6"/>
  <c r="AO50" i="3"/>
  <c r="AB50" i="3"/>
  <c r="AI50" i="3"/>
  <c r="AN50" i="3" s="1"/>
  <c r="AE50" i="3"/>
  <c r="A48" i="6"/>
  <c r="A48" i="7"/>
  <c r="AI48" i="3"/>
  <c r="AN48" i="3" s="1"/>
  <c r="AE48" i="3"/>
  <c r="AL48" i="3"/>
  <c r="B48" i="7" s="1"/>
  <c r="C48" i="7" s="1"/>
  <c r="AB48" i="3"/>
  <c r="AO48" i="3"/>
  <c r="AI46" i="3"/>
  <c r="AE46" i="3"/>
  <c r="AL3" i="3"/>
  <c r="B3" i="7" s="1"/>
  <c r="C3" i="7" s="1"/>
  <c r="A9" i="7"/>
  <c r="A9" i="6"/>
  <c r="AI9" i="3"/>
  <c r="AN9" i="3" s="1"/>
  <c r="AE9" i="3"/>
  <c r="A11" i="6"/>
  <c r="A11" i="7"/>
  <c r="AO11" i="3"/>
  <c r="AL28" i="3"/>
  <c r="B28" i="7" s="1"/>
  <c r="C28" i="7" s="1"/>
  <c r="AB28" i="3"/>
  <c r="AB44" i="3"/>
  <c r="AL44" i="3"/>
  <c r="B44" i="7" s="1"/>
  <c r="C44" i="7" s="1"/>
  <c r="A2" i="7"/>
  <c r="A2" i="6"/>
  <c r="AL2" i="3"/>
  <c r="B2" i="7" s="1"/>
  <c r="C2" i="7" s="1"/>
  <c r="AB3" i="3"/>
  <c r="A4" i="7"/>
  <c r="A4" i="6"/>
  <c r="AB4" i="3"/>
  <c r="AE4" i="3"/>
  <c r="AO4" i="3"/>
  <c r="A5" i="7"/>
  <c r="A5" i="6"/>
  <c r="AI5" i="3"/>
  <c r="AN5" i="3" s="1"/>
  <c r="AE5" i="3"/>
  <c r="A7" i="6"/>
  <c r="A7" i="7"/>
  <c r="AO7" i="3"/>
  <c r="AL7" i="3"/>
  <c r="AL8" i="3"/>
  <c r="B8" i="7" s="1"/>
  <c r="C8" i="7" s="1"/>
  <c r="AB11" i="3"/>
  <c r="A12" i="6"/>
  <c r="A12" i="7"/>
  <c r="AO12" i="3"/>
  <c r="AB12" i="3"/>
  <c r="AE12" i="3"/>
  <c r="A16" i="6"/>
  <c r="A16" i="7"/>
  <c r="AO16" i="3"/>
  <c r="AB16" i="3"/>
  <c r="AE16" i="3"/>
  <c r="A20" i="6"/>
  <c r="A20" i="7"/>
  <c r="AO20" i="3"/>
  <c r="AB20" i="3"/>
  <c r="AE20" i="3"/>
  <c r="A23" i="6"/>
  <c r="A23" i="7"/>
  <c r="AB23" i="3"/>
  <c r="AI23" i="3"/>
  <c r="AL23" i="3"/>
  <c r="B23" i="7" s="1"/>
  <c r="C23" i="7" s="1"/>
  <c r="AE23" i="3"/>
  <c r="A32" i="6"/>
  <c r="A32" i="7"/>
  <c r="AI32" i="3"/>
  <c r="AN32" i="3" s="1"/>
  <c r="AE32" i="3"/>
  <c r="AO32" i="3"/>
  <c r="A34" i="7"/>
  <c r="A34" i="6"/>
  <c r="AO34" i="3"/>
  <c r="AB34" i="3"/>
  <c r="AI34" i="3"/>
  <c r="AN34" i="3" s="1"/>
  <c r="AL34" i="3"/>
  <c r="B34" i="7" s="1"/>
  <c r="C34" i="7" s="1"/>
  <c r="AE34" i="3"/>
  <c r="A35" i="6"/>
  <c r="A35" i="7"/>
  <c r="AB35" i="3"/>
  <c r="AI35" i="3"/>
  <c r="AN35" i="3" s="1"/>
  <c r="AE35" i="3"/>
  <c r="AO35" i="3"/>
  <c r="AB46" i="3"/>
  <c r="A6" i="7"/>
  <c r="A6" i="6"/>
  <c r="AL6" i="3"/>
  <c r="B6" i="7" s="1"/>
  <c r="C6" i="7" s="1"/>
  <c r="A10" i="7"/>
  <c r="A10" i="6"/>
  <c r="AL10" i="3"/>
  <c r="B10" i="7" s="1"/>
  <c r="C10" i="7" s="1"/>
  <c r="A14" i="7"/>
  <c r="A14" i="6"/>
  <c r="AL14" i="3"/>
  <c r="B14" i="7" s="1"/>
  <c r="C14" i="7" s="1"/>
  <c r="A18" i="7"/>
  <c r="A18" i="6"/>
  <c r="AL18" i="3"/>
  <c r="B18" i="7" s="1"/>
  <c r="C18" i="7" s="1"/>
  <c r="A22" i="7"/>
  <c r="A22" i="6"/>
  <c r="AO22" i="3"/>
  <c r="AL22" i="3"/>
  <c r="B22" i="7" s="1"/>
  <c r="C22" i="7" s="1"/>
  <c r="A27" i="6"/>
  <c r="A27" i="7"/>
  <c r="AB27" i="3"/>
  <c r="AE27" i="3"/>
  <c r="AO27" i="3"/>
  <c r="A28" i="6"/>
  <c r="A28" i="7"/>
  <c r="AI28" i="3"/>
  <c r="AN28" i="3" s="1"/>
  <c r="AE28" i="3"/>
  <c r="A30" i="7"/>
  <c r="AO30" i="3"/>
  <c r="AL30" i="3"/>
  <c r="B30" i="7" s="1"/>
  <c r="C30" i="7" s="1"/>
  <c r="A39" i="6"/>
  <c r="A39" i="7"/>
  <c r="AB39" i="3"/>
  <c r="AI39" i="3"/>
  <c r="AN39" i="3" s="1"/>
  <c r="AE39" i="3"/>
  <c r="AO39" i="3"/>
  <c r="AE14" i="3"/>
  <c r="AI14" i="3"/>
  <c r="AN14" i="3" s="1"/>
  <c r="A15" i="6"/>
  <c r="A15" i="7"/>
  <c r="AL15" i="3"/>
  <c r="B15" i="7" s="1"/>
  <c r="C15" i="7" s="1"/>
  <c r="AE18" i="3"/>
  <c r="AI18" i="3"/>
  <c r="AN18" i="3" s="1"/>
  <c r="A19" i="6"/>
  <c r="A19" i="7"/>
  <c r="AL19" i="3"/>
  <c r="B19" i="7" s="1"/>
  <c r="C19" i="7" s="1"/>
  <c r="AE22" i="3"/>
  <c r="AI22" i="3"/>
  <c r="A47" i="6"/>
  <c r="A47" i="7"/>
  <c r="AB47" i="3"/>
  <c r="AP47" i="3" s="1"/>
  <c r="AQ47" i="3" s="1"/>
  <c r="AL47" i="3"/>
  <c r="B47" i="7" s="1"/>
  <c r="C47" i="7" s="1"/>
  <c r="A36" i="6"/>
  <c r="A36" i="7"/>
  <c r="AL36" i="3"/>
  <c r="B36" i="7" s="1"/>
  <c r="C36" i="7" s="1"/>
  <c r="AL40" i="3"/>
  <c r="B40" i="7" s="1"/>
  <c r="C40" i="7" s="1"/>
  <c r="A25" i="7"/>
  <c r="A25" i="6"/>
  <c r="AL25" i="3"/>
  <c r="B25" i="7" s="1"/>
  <c r="C25" i="7" s="1"/>
  <c r="A29" i="7"/>
  <c r="A29" i="6"/>
  <c r="AL29" i="3"/>
  <c r="B29" i="7" s="1"/>
  <c r="C29" i="7" s="1"/>
  <c r="A33" i="7"/>
  <c r="A33" i="6"/>
  <c r="AL33" i="3"/>
  <c r="B33" i="7" s="1"/>
  <c r="C33" i="7" s="1"/>
  <c r="AE36" i="3"/>
  <c r="AI36" i="3"/>
  <c r="A37" i="7"/>
  <c r="A37" i="6"/>
  <c r="AL37" i="3"/>
  <c r="B37" i="7" s="1"/>
  <c r="C37" i="7" s="1"/>
  <c r="AE40" i="3"/>
  <c r="AI40" i="3"/>
  <c r="A41" i="7"/>
  <c r="A41" i="6"/>
  <c r="AL41" i="3"/>
  <c r="B41" i="7" s="1"/>
  <c r="C41" i="7" s="1"/>
  <c r="A43" i="6"/>
  <c r="A43" i="7"/>
  <c r="AB43" i="3"/>
  <c r="AE43" i="3"/>
  <c r="AO43" i="3"/>
  <c r="A44" i="6"/>
  <c r="A44" i="7"/>
  <c r="AI44" i="3"/>
  <c r="AN44" i="3" s="1"/>
  <c r="AE44" i="3"/>
  <c r="A46" i="7"/>
  <c r="AO46" i="3"/>
  <c r="AL46" i="3"/>
  <c r="B46" i="7" s="1"/>
  <c r="C46" i="7" s="1"/>
  <c r="A51" i="6"/>
  <c r="A51" i="7"/>
  <c r="AL51" i="3"/>
  <c r="B51" i="7" s="1"/>
  <c r="C51" i="7" s="1"/>
  <c r="AB51" i="3"/>
  <c r="AE51" i="3"/>
  <c r="A52" i="6"/>
  <c r="AO52" i="3"/>
  <c r="A52" i="7"/>
  <c r="AI52" i="3"/>
  <c r="AN52" i="3" s="1"/>
  <c r="AE52" i="3"/>
  <c r="A54" i="7"/>
  <c r="AI54" i="3"/>
  <c r="AN54" i="3" s="1"/>
  <c r="AE54" i="3"/>
  <c r="A54" i="6"/>
  <c r="AO54" i="3"/>
  <c r="AB55" i="3"/>
  <c r="A45" i="7"/>
  <c r="A45" i="6"/>
  <c r="AL45" i="3"/>
  <c r="B45" i="7" s="1"/>
  <c r="C45" i="7" s="1"/>
  <c r="A49" i="7"/>
  <c r="A49" i="6"/>
  <c r="AL49" i="3"/>
  <c r="B49" i="7" s="1"/>
  <c r="C49" i="7" s="1"/>
  <c r="A53" i="7"/>
  <c r="A53" i="6"/>
  <c r="AL53" i="3"/>
  <c r="B53" i="7" s="1"/>
  <c r="C53" i="7" s="1"/>
  <c r="A55" i="6"/>
  <c r="AL55" i="3"/>
  <c r="B55" i="7" s="1"/>
  <c r="C55" i="7" s="1"/>
  <c r="A55" i="7"/>
  <c r="AP36" i="3" l="1"/>
  <c r="AQ36" i="3" s="1"/>
  <c r="AP38" i="3"/>
  <c r="AN27" i="3"/>
  <c r="AN53" i="3"/>
  <c r="AN49" i="3"/>
  <c r="AN38" i="3"/>
  <c r="AP43" i="3"/>
  <c r="AN15" i="3"/>
  <c r="AN10" i="3"/>
  <c r="AP16" i="3"/>
  <c r="AP3" i="3"/>
  <c r="AN43" i="3"/>
  <c r="AP41" i="3"/>
  <c r="AQ41" i="3" s="1"/>
  <c r="AS41" i="3" s="1"/>
  <c r="AN33" i="3"/>
  <c r="AM2" i="3"/>
  <c r="AP11" i="3"/>
  <c r="AP24" i="3"/>
  <c r="AP13" i="3"/>
  <c r="AP8" i="3"/>
  <c r="AQ8" i="3" s="1"/>
  <c r="AS36" i="3"/>
  <c r="AR36" i="3"/>
  <c r="AR47" i="3"/>
  <c r="AS47" i="3"/>
  <c r="AR41" i="3"/>
  <c r="AR21" i="3"/>
  <c r="AS21" i="3"/>
  <c r="AM22" i="3"/>
  <c r="AF22" i="3"/>
  <c r="B22" i="6" s="1"/>
  <c r="C22" i="6" s="1"/>
  <c r="AF27" i="3"/>
  <c r="B27" i="6" s="1"/>
  <c r="C27" i="6" s="1"/>
  <c r="AM27" i="3"/>
  <c r="AF23" i="3"/>
  <c r="B23" i="6" s="1"/>
  <c r="C23" i="6" s="1"/>
  <c r="AM23" i="3"/>
  <c r="AF12" i="3"/>
  <c r="B12" i="6" s="1"/>
  <c r="C12" i="6" s="1"/>
  <c r="AM12" i="3"/>
  <c r="AF4" i="3"/>
  <c r="B4" i="6" s="1"/>
  <c r="C4" i="6" s="1"/>
  <c r="AM4" i="3"/>
  <c r="AF31" i="3"/>
  <c r="B31" i="6" s="1"/>
  <c r="C31" i="6" s="1"/>
  <c r="AM31" i="3"/>
  <c r="AN30" i="3"/>
  <c r="AP7" i="3"/>
  <c r="AQ7" i="3" s="1"/>
  <c r="AF15" i="3"/>
  <c r="B15" i="6" s="1"/>
  <c r="C15" i="6" s="1"/>
  <c r="AM15" i="3"/>
  <c r="AP18" i="3"/>
  <c r="AQ18" i="3" s="1"/>
  <c r="AN45" i="3"/>
  <c r="AF29" i="3"/>
  <c r="B29" i="6" s="1"/>
  <c r="C29" i="6" s="1"/>
  <c r="AM29" i="3"/>
  <c r="H52" i="1"/>
  <c r="J52" i="1" s="1"/>
  <c r="H48" i="1"/>
  <c r="J48" i="1" s="1"/>
  <c r="H44" i="1"/>
  <c r="J44" i="1" s="1"/>
  <c r="H40" i="1"/>
  <c r="J40" i="1" s="1"/>
  <c r="H37" i="1"/>
  <c r="J37" i="1" s="1"/>
  <c r="H31" i="1"/>
  <c r="J31" i="1" s="1"/>
  <c r="H29" i="1"/>
  <c r="J29" i="1" s="1"/>
  <c r="H25" i="1"/>
  <c r="J25" i="1" s="1"/>
  <c r="H21" i="1"/>
  <c r="J21" i="1" s="1"/>
  <c r="H17" i="1"/>
  <c r="J17" i="1" s="1"/>
  <c r="H13" i="1"/>
  <c r="J13" i="1" s="1"/>
  <c r="H9" i="1"/>
  <c r="J9" i="1" s="1"/>
  <c r="H5" i="1"/>
  <c r="J5" i="1" s="1"/>
  <c r="H50" i="1"/>
  <c r="J50" i="1" s="1"/>
  <c r="H38" i="1"/>
  <c r="J38" i="1" s="1"/>
  <c r="H35" i="1"/>
  <c r="J35" i="1" s="1"/>
  <c r="H33" i="1"/>
  <c r="J33" i="1" s="1"/>
  <c r="H30" i="1"/>
  <c r="J30" i="1" s="1"/>
  <c r="H19" i="1"/>
  <c r="J19" i="1" s="1"/>
  <c r="H7" i="1"/>
  <c r="J7" i="1" s="1"/>
  <c r="H55" i="1"/>
  <c r="J55" i="1" s="1"/>
  <c r="H51" i="1"/>
  <c r="J51" i="1" s="1"/>
  <c r="H47" i="1"/>
  <c r="J47" i="1" s="1"/>
  <c r="H43" i="1"/>
  <c r="J43" i="1" s="1"/>
  <c r="H39" i="1"/>
  <c r="J39" i="1" s="1"/>
  <c r="H36" i="1"/>
  <c r="J36" i="1" s="1"/>
  <c r="H28" i="1"/>
  <c r="J28" i="1" s="1"/>
  <c r="H24" i="1"/>
  <c r="J24" i="1" s="1"/>
  <c r="H20" i="1"/>
  <c r="J20" i="1" s="1"/>
  <c r="H16" i="1"/>
  <c r="J16" i="1" s="1"/>
  <c r="H12" i="1"/>
  <c r="J12" i="1" s="1"/>
  <c r="H8" i="1"/>
  <c r="J8" i="1" s="1"/>
  <c r="H4" i="1"/>
  <c r="J4" i="1" s="1"/>
  <c r="H54" i="1"/>
  <c r="J54" i="1" s="1"/>
  <c r="H46" i="1"/>
  <c r="J46" i="1" s="1"/>
  <c r="H42" i="1"/>
  <c r="J42" i="1" s="1"/>
  <c r="H27" i="1"/>
  <c r="J27" i="1" s="1"/>
  <c r="H23" i="1"/>
  <c r="J23" i="1" s="1"/>
  <c r="H15" i="1"/>
  <c r="J15" i="1" s="1"/>
  <c r="H11" i="1"/>
  <c r="J11" i="1" s="1"/>
  <c r="H3" i="1"/>
  <c r="J3" i="1" s="1"/>
  <c r="H49" i="1"/>
  <c r="J49" i="1" s="1"/>
  <c r="H41" i="1"/>
  <c r="J41" i="1" s="1"/>
  <c r="H34" i="1"/>
  <c r="J34" i="1" s="1"/>
  <c r="H32" i="1"/>
  <c r="J32" i="1" s="1"/>
  <c r="H22" i="1"/>
  <c r="J22" i="1" s="1"/>
  <c r="H14" i="1"/>
  <c r="J14" i="1" s="1"/>
  <c r="H6" i="1"/>
  <c r="J6" i="1" s="1"/>
  <c r="H53" i="1"/>
  <c r="J53" i="1" s="1"/>
  <c r="H45" i="1"/>
  <c r="J45" i="1" s="1"/>
  <c r="H26" i="1"/>
  <c r="J26" i="1" s="1"/>
  <c r="H18" i="1"/>
  <c r="J18" i="1" s="1"/>
  <c r="N33" i="1"/>
  <c r="H10" i="1"/>
  <c r="J10" i="1" s="1"/>
  <c r="H2" i="1"/>
  <c r="J2" i="1" s="1"/>
  <c r="AM52" i="3"/>
  <c r="AF52" i="3"/>
  <c r="B52" i="6" s="1"/>
  <c r="C52" i="6" s="1"/>
  <c r="AP27" i="3"/>
  <c r="AF35" i="3"/>
  <c r="B35" i="6" s="1"/>
  <c r="C35" i="6" s="1"/>
  <c r="AM35" i="3"/>
  <c r="AQ16" i="3"/>
  <c r="AP12" i="3"/>
  <c r="AQ12" i="3" s="1"/>
  <c r="AP4" i="3"/>
  <c r="AQ4" i="3" s="1"/>
  <c r="AQ11" i="3"/>
  <c r="AM46" i="3"/>
  <c r="AF46" i="3"/>
  <c r="B46" i="6" s="1"/>
  <c r="C46" i="6" s="1"/>
  <c r="AP48" i="3"/>
  <c r="AQ48" i="3" s="1"/>
  <c r="AP50" i="3"/>
  <c r="AQ50" i="3" s="1"/>
  <c r="AQ38" i="3"/>
  <c r="AP26" i="3"/>
  <c r="AF11" i="3"/>
  <c r="B11" i="6" s="1"/>
  <c r="C11" i="6" s="1"/>
  <c r="AM11" i="3"/>
  <c r="AN55" i="3"/>
  <c r="AP42" i="3"/>
  <c r="AQ42" i="3" s="1"/>
  <c r="AF17" i="3"/>
  <c r="B17" i="6" s="1"/>
  <c r="C17" i="6" s="1"/>
  <c r="AM17" i="3"/>
  <c r="AF19" i="3"/>
  <c r="B19" i="6" s="1"/>
  <c r="C19" i="6" s="1"/>
  <c r="AM19" i="3"/>
  <c r="AM41" i="3"/>
  <c r="AF41" i="3"/>
  <c r="B41" i="6" s="1"/>
  <c r="C41" i="6" s="1"/>
  <c r="AP33" i="3"/>
  <c r="AQ33" i="3" s="1"/>
  <c r="AM24" i="3"/>
  <c r="AF24" i="3"/>
  <c r="B24" i="6" s="1"/>
  <c r="C24" i="6" s="1"/>
  <c r="AN11" i="3"/>
  <c r="AF38" i="3"/>
  <c r="B38" i="6" s="1"/>
  <c r="C38" i="6" s="1"/>
  <c r="AM38" i="3"/>
  <c r="AP14" i="3"/>
  <c r="AQ14" i="3" s="1"/>
  <c r="AM6" i="3"/>
  <c r="AF6" i="3"/>
  <c r="B6" i="6" s="1"/>
  <c r="C6" i="6" s="1"/>
  <c r="AF53" i="3"/>
  <c r="B53" i="6" s="1"/>
  <c r="C53" i="6" s="1"/>
  <c r="AM53" i="3"/>
  <c r="AP49" i="3"/>
  <c r="AQ49" i="3" s="1"/>
  <c r="AP37" i="3"/>
  <c r="AQ37" i="3" s="1"/>
  <c r="AN29" i="3"/>
  <c r="AM54" i="3"/>
  <c r="AF54" i="3"/>
  <c r="B54" i="6" s="1"/>
  <c r="C54" i="6" s="1"/>
  <c r="AF51" i="3"/>
  <c r="B51" i="6" s="1"/>
  <c r="C51" i="6" s="1"/>
  <c r="AM51" i="3"/>
  <c r="AM44" i="3"/>
  <c r="AF44" i="3"/>
  <c r="B44" i="6" s="1"/>
  <c r="C44" i="6" s="1"/>
  <c r="AQ43" i="3"/>
  <c r="AN40" i="3"/>
  <c r="AM14" i="3"/>
  <c r="AF14" i="3"/>
  <c r="B14" i="6" s="1"/>
  <c r="C14" i="6" s="1"/>
  <c r="AF34" i="3"/>
  <c r="B34" i="6" s="1"/>
  <c r="C34" i="6" s="1"/>
  <c r="AM34" i="3"/>
  <c r="AM32" i="3"/>
  <c r="AF32" i="3"/>
  <c r="B32" i="6" s="1"/>
  <c r="C32" i="6" s="1"/>
  <c r="AN23" i="3"/>
  <c r="AF20" i="3"/>
  <c r="B20" i="6" s="1"/>
  <c r="C20" i="6" s="1"/>
  <c r="AM20" i="3"/>
  <c r="AP44" i="3"/>
  <c r="AQ44" i="3" s="1"/>
  <c r="AN46" i="3"/>
  <c r="AN31" i="3"/>
  <c r="AP30" i="3"/>
  <c r="AQ30" i="3" s="1"/>
  <c r="AQ26" i="3"/>
  <c r="AP9" i="3"/>
  <c r="AQ9" i="3" s="1"/>
  <c r="AM55" i="3"/>
  <c r="AF55" i="3"/>
  <c r="B55" i="6" s="1"/>
  <c r="C55" i="6" s="1"/>
  <c r="AM47" i="3"/>
  <c r="AP54" i="3"/>
  <c r="AN17" i="3"/>
  <c r="AQ13" i="3"/>
  <c r="AN2" i="3"/>
  <c r="AN19" i="3"/>
  <c r="AP15" i="3"/>
  <c r="AQ15" i="3" s="1"/>
  <c r="AN41" i="3"/>
  <c r="AM25" i="3"/>
  <c r="AF25" i="3"/>
  <c r="B25" i="6" s="1"/>
  <c r="C25" i="6" s="1"/>
  <c r="AN24" i="3"/>
  <c r="AF21" i="3"/>
  <c r="B21" i="6" s="1"/>
  <c r="C21" i="6" s="1"/>
  <c r="AM21" i="3"/>
  <c r="AN26" i="3"/>
  <c r="AF10" i="3"/>
  <c r="B10" i="6" s="1"/>
  <c r="C10" i="6" s="1"/>
  <c r="AM10" i="3"/>
  <c r="AN6" i="3"/>
  <c r="AP53" i="3"/>
  <c r="AQ53" i="3" s="1"/>
  <c r="AP45" i="3"/>
  <c r="AQ45" i="3" s="1"/>
  <c r="AM37" i="3"/>
  <c r="AF37" i="3"/>
  <c r="B37" i="6" s="1"/>
  <c r="C37" i="6" s="1"/>
  <c r="AP29" i="3"/>
  <c r="AQ29" i="3" s="1"/>
  <c r="AF13" i="3"/>
  <c r="B13" i="6" s="1"/>
  <c r="C13" i="6" s="1"/>
  <c r="AM13" i="3"/>
  <c r="AN8" i="3"/>
  <c r="AP6" i="3"/>
  <c r="AQ6" i="3" s="1"/>
  <c r="AQ54" i="3"/>
  <c r="AM36" i="3"/>
  <c r="AF36" i="3"/>
  <c r="B36" i="6" s="1"/>
  <c r="C36" i="6" s="1"/>
  <c r="AP46" i="3"/>
  <c r="AQ46" i="3" s="1"/>
  <c r="AP52" i="3"/>
  <c r="AQ52" i="3" s="1"/>
  <c r="AM9" i="3"/>
  <c r="AF9" i="3"/>
  <c r="B9" i="6" s="1"/>
  <c r="C9" i="6" s="1"/>
  <c r="AF26" i="3"/>
  <c r="B26" i="6" s="1"/>
  <c r="C26" i="6" s="1"/>
  <c r="AM26" i="3"/>
  <c r="AF3" i="3"/>
  <c r="B3" i="6" s="1"/>
  <c r="C3" i="6" s="1"/>
  <c r="AM3" i="3"/>
  <c r="AM18" i="3"/>
  <c r="AF18" i="3"/>
  <c r="B18" i="6" s="1"/>
  <c r="C18" i="6" s="1"/>
  <c r="AP39" i="3"/>
  <c r="AQ39" i="3" s="1"/>
  <c r="AP34" i="3"/>
  <c r="AQ34" i="3" s="1"/>
  <c r="AP55" i="3"/>
  <c r="AQ55" i="3" s="1"/>
  <c r="AP51" i="3"/>
  <c r="AQ51" i="3" s="1"/>
  <c r="AF43" i="3"/>
  <c r="B43" i="6" s="1"/>
  <c r="C43" i="6" s="1"/>
  <c r="AM43" i="3"/>
  <c r="AM40" i="3"/>
  <c r="AF40" i="3"/>
  <c r="B40" i="6" s="1"/>
  <c r="C40" i="6" s="1"/>
  <c r="AN36" i="3"/>
  <c r="AN22" i="3"/>
  <c r="AF39" i="3"/>
  <c r="B39" i="6" s="1"/>
  <c r="C39" i="6" s="1"/>
  <c r="AM39" i="3"/>
  <c r="AM28" i="3"/>
  <c r="AF28" i="3"/>
  <c r="B28" i="6" s="1"/>
  <c r="C28" i="6" s="1"/>
  <c r="AQ27" i="3"/>
  <c r="AP35" i="3"/>
  <c r="AQ35" i="3" s="1"/>
  <c r="AP23" i="3"/>
  <c r="AQ23" i="3" s="1"/>
  <c r="AP20" i="3"/>
  <c r="AQ20" i="3" s="1"/>
  <c r="AF16" i="3"/>
  <c r="B16" i="6" s="1"/>
  <c r="C16" i="6" s="1"/>
  <c r="AM16" i="3"/>
  <c r="B7" i="7"/>
  <c r="C7" i="7" s="1"/>
  <c r="AM7" i="3"/>
  <c r="AM5" i="3"/>
  <c r="AF5" i="3"/>
  <c r="B5" i="6" s="1"/>
  <c r="C5" i="6" s="1"/>
  <c r="AP28" i="3"/>
  <c r="AQ28" i="3" s="1"/>
  <c r="AM48" i="3"/>
  <c r="AF48" i="3"/>
  <c r="B48" i="6" s="1"/>
  <c r="C48" i="6" s="1"/>
  <c r="AF50" i="3"/>
  <c r="B50" i="6" s="1"/>
  <c r="C50" i="6" s="1"/>
  <c r="AM50" i="3"/>
  <c r="AP31" i="3"/>
  <c r="AQ31" i="3" s="1"/>
  <c r="AN3" i="3"/>
  <c r="AN51" i="3"/>
  <c r="AF42" i="3"/>
  <c r="B42" i="6" s="1"/>
  <c r="C42" i="6" s="1"/>
  <c r="AM42" i="3"/>
  <c r="AF8" i="3"/>
  <c r="B8" i="6" s="1"/>
  <c r="C8" i="6" s="1"/>
  <c r="AM8" i="3"/>
  <c r="AQ3" i="3"/>
  <c r="AM30" i="3"/>
  <c r="AF30" i="3"/>
  <c r="B30" i="6" s="1"/>
  <c r="C30" i="6" s="1"/>
  <c r="AP17" i="3"/>
  <c r="AQ17" i="3" s="1"/>
  <c r="AN47" i="3"/>
  <c r="AP19" i="3"/>
  <c r="AQ19" i="3" s="1"/>
  <c r="AP2" i="3"/>
  <c r="AQ2" i="3" s="1"/>
  <c r="AF33" i="3"/>
  <c r="B33" i="6" s="1"/>
  <c r="C33" i="6" s="1"/>
  <c r="AM33" i="3"/>
  <c r="AN25" i="3"/>
  <c r="AP32" i="3"/>
  <c r="AQ32" i="3" s="1"/>
  <c r="AQ24" i="3"/>
  <c r="AP40" i="3"/>
  <c r="AQ40" i="3" s="1"/>
  <c r="AN21" i="3"/>
  <c r="AN4" i="3"/>
  <c r="AP22" i="3"/>
  <c r="AQ22" i="3" s="1"/>
  <c r="AP10" i="3"/>
  <c r="AQ10" i="3" s="1"/>
  <c r="AN7" i="3"/>
  <c r="AF49" i="3"/>
  <c r="B49" i="6" s="1"/>
  <c r="C49" i="6" s="1"/>
  <c r="AM49" i="3"/>
  <c r="AM45" i="3"/>
  <c r="AF45" i="3"/>
  <c r="B45" i="6" s="1"/>
  <c r="C45" i="6" s="1"/>
  <c r="AN37" i="3"/>
  <c r="P33" i="1"/>
  <c r="AN13" i="3"/>
  <c r="AP25" i="3"/>
  <c r="AQ25" i="3" s="1"/>
  <c r="AP5" i="3"/>
  <c r="AQ5" i="3" s="1"/>
  <c r="AS20" i="3" l="1"/>
  <c r="AR20" i="3"/>
  <c r="AS30" i="3"/>
  <c r="AR30" i="3"/>
  <c r="AR39" i="3"/>
  <c r="AS39" i="3"/>
  <c r="AS50" i="3"/>
  <c r="AR50" i="3"/>
  <c r="AS22" i="3"/>
  <c r="AR22" i="3"/>
  <c r="AR35" i="3"/>
  <c r="AS35" i="3"/>
  <c r="AS52" i="3"/>
  <c r="AR52" i="3"/>
  <c r="AS48" i="3"/>
  <c r="AR48" i="3"/>
  <c r="AR4" i="3"/>
  <c r="AS4" i="3"/>
  <c r="AR25" i="3"/>
  <c r="AS25" i="3"/>
  <c r="AS19" i="3"/>
  <c r="AR19" i="3"/>
  <c r="AR27" i="3"/>
  <c r="AS27" i="3"/>
  <c r="AR55" i="3"/>
  <c r="AS55" i="3"/>
  <c r="AS54" i="3"/>
  <c r="AR54" i="3"/>
  <c r="AS45" i="3"/>
  <c r="AR45" i="3"/>
  <c r="AS15" i="3"/>
  <c r="AR15" i="3"/>
  <c r="AS11" i="3"/>
  <c r="AR11" i="3"/>
  <c r="AU21" i="3"/>
  <c r="AT21" i="3"/>
  <c r="AW21" i="3"/>
  <c r="AS10" i="3"/>
  <c r="AR10" i="3"/>
  <c r="AS3" i="3"/>
  <c r="AR3" i="3"/>
  <c r="AR53" i="3"/>
  <c r="AS53" i="3"/>
  <c r="AS44" i="3"/>
  <c r="AR44" i="3"/>
  <c r="AS24" i="3"/>
  <c r="AR24" i="3"/>
  <c r="AR17" i="3"/>
  <c r="AS17" i="3"/>
  <c r="AR23" i="3"/>
  <c r="AS23" i="3"/>
  <c r="AS46" i="3"/>
  <c r="AR46" i="3"/>
  <c r="AR8" i="3"/>
  <c r="AS8" i="3"/>
  <c r="AS12" i="3"/>
  <c r="AR12" i="3"/>
  <c r="AS7" i="3"/>
  <c r="AR7" i="3"/>
  <c r="AR31" i="3"/>
  <c r="AS31" i="3"/>
  <c r="AS26" i="3"/>
  <c r="AR26" i="3"/>
  <c r="AS34" i="3"/>
  <c r="AR34" i="3"/>
  <c r="AS49" i="3"/>
  <c r="AR49" i="3"/>
  <c r="AS32" i="3"/>
  <c r="AR32" i="3"/>
  <c r="AS18" i="3"/>
  <c r="AR18" i="3"/>
  <c r="AW47" i="3"/>
  <c r="AU47" i="3"/>
  <c r="AT47" i="3"/>
  <c r="AR40" i="3"/>
  <c r="AS40" i="3"/>
  <c r="AR28" i="3"/>
  <c r="AS28" i="3"/>
  <c r="AS6" i="3"/>
  <c r="AR6" i="3"/>
  <c r="AS29" i="3"/>
  <c r="AR29" i="3"/>
  <c r="AS14" i="3"/>
  <c r="AR14" i="3"/>
  <c r="AS5" i="3"/>
  <c r="AR5" i="3"/>
  <c r="AS2" i="3"/>
  <c r="AR2" i="3"/>
  <c r="AR51" i="3"/>
  <c r="AS51" i="3"/>
  <c r="AR13" i="3"/>
  <c r="AS13" i="3"/>
  <c r="AS42" i="3"/>
  <c r="AR42" i="3"/>
  <c r="AS9" i="3"/>
  <c r="AR9" i="3"/>
  <c r="AR43" i="3"/>
  <c r="AS43" i="3"/>
  <c r="AS37" i="3"/>
  <c r="AR37" i="3"/>
  <c r="AS33" i="3"/>
  <c r="AR33" i="3"/>
  <c r="AS38" i="3"/>
  <c r="AR38" i="3"/>
  <c r="AS16" i="3"/>
  <c r="AR16" i="3"/>
  <c r="AT41" i="3"/>
  <c r="AU41" i="3"/>
  <c r="AW41" i="3"/>
  <c r="AU36" i="3"/>
  <c r="AT36" i="3"/>
  <c r="AW36" i="3"/>
  <c r="AU13" i="3" l="1"/>
  <c r="AT13" i="3"/>
  <c r="AW13" i="3"/>
  <c r="AU40" i="3"/>
  <c r="AT40" i="3"/>
  <c r="AW40" i="3"/>
  <c r="AW34" i="3"/>
  <c r="AU34" i="3"/>
  <c r="AT34" i="3"/>
  <c r="AW12" i="3"/>
  <c r="AT12" i="3"/>
  <c r="AU12" i="3"/>
  <c r="AW3" i="3"/>
  <c r="AT3" i="3"/>
  <c r="AU3" i="3"/>
  <c r="AU27" i="3"/>
  <c r="AT27" i="3"/>
  <c r="AW27" i="3"/>
  <c r="AX36" i="3"/>
  <c r="AV36" i="3"/>
  <c r="AW38" i="3"/>
  <c r="AT38" i="3"/>
  <c r="AU38" i="3"/>
  <c r="AU9" i="3"/>
  <c r="AW9" i="3"/>
  <c r="AT9" i="3"/>
  <c r="AT2" i="3"/>
  <c r="AU2" i="3"/>
  <c r="AW2" i="3"/>
  <c r="AT6" i="3"/>
  <c r="AW6" i="3"/>
  <c r="AU6" i="3"/>
  <c r="AW8" i="3"/>
  <c r="AU8" i="3"/>
  <c r="AT8" i="3"/>
  <c r="AT15" i="3"/>
  <c r="AW15" i="3"/>
  <c r="AU15" i="3"/>
  <c r="AU54" i="3"/>
  <c r="AW54" i="3"/>
  <c r="AT54" i="3"/>
  <c r="AW30" i="3"/>
  <c r="AU30" i="3"/>
  <c r="AT30" i="3"/>
  <c r="AT43" i="3"/>
  <c r="AU43" i="3"/>
  <c r="AW43" i="3"/>
  <c r="AT51" i="3"/>
  <c r="AW51" i="3"/>
  <c r="AU51" i="3"/>
  <c r="AU28" i="3"/>
  <c r="AW28" i="3"/>
  <c r="AT28" i="3"/>
  <c r="AV47" i="3"/>
  <c r="AX47" i="3"/>
  <c r="AU18" i="3"/>
  <c r="AT18" i="3"/>
  <c r="AW18" i="3"/>
  <c r="AT49" i="3"/>
  <c r="AU49" i="3"/>
  <c r="AW49" i="3"/>
  <c r="AW26" i="3"/>
  <c r="AU26" i="3"/>
  <c r="AT26" i="3"/>
  <c r="AW7" i="3"/>
  <c r="AU7" i="3"/>
  <c r="AT7" i="3"/>
  <c r="AU24" i="3"/>
  <c r="AT24" i="3"/>
  <c r="AW24" i="3"/>
  <c r="AT10" i="3"/>
  <c r="AU10" i="3"/>
  <c r="AW10" i="3"/>
  <c r="AT55" i="3"/>
  <c r="AU55" i="3"/>
  <c r="AW55" i="3"/>
  <c r="AT4" i="3"/>
  <c r="AW4" i="3"/>
  <c r="AU4" i="3"/>
  <c r="AU39" i="3"/>
  <c r="AW39" i="3"/>
  <c r="AT39" i="3"/>
  <c r="AU32" i="3"/>
  <c r="AT32" i="3"/>
  <c r="AW32" i="3"/>
  <c r="AW46" i="3"/>
  <c r="AU46" i="3"/>
  <c r="AT46" i="3"/>
  <c r="AU44" i="3"/>
  <c r="AT44" i="3"/>
  <c r="AW44" i="3"/>
  <c r="AV21" i="3"/>
  <c r="AX21" i="3"/>
  <c r="AT25" i="3"/>
  <c r="AW25" i="3"/>
  <c r="AU25" i="3"/>
  <c r="AU35" i="3"/>
  <c r="AW35" i="3"/>
  <c r="AT35" i="3"/>
  <c r="AX41" i="3"/>
  <c r="AV41" i="3"/>
  <c r="AT37" i="3"/>
  <c r="AW37" i="3"/>
  <c r="AU37" i="3"/>
  <c r="AU14" i="3"/>
  <c r="AT14" i="3"/>
  <c r="AW14" i="3"/>
  <c r="AW23" i="3"/>
  <c r="AU23" i="3"/>
  <c r="AT23" i="3"/>
  <c r="AT53" i="3"/>
  <c r="AW53" i="3"/>
  <c r="AU53" i="3"/>
  <c r="AU48" i="3"/>
  <c r="AW48" i="3"/>
  <c r="AT48" i="3"/>
  <c r="AW50" i="3"/>
  <c r="AT50" i="3"/>
  <c r="AU50" i="3"/>
  <c r="AW16" i="3"/>
  <c r="AU16" i="3"/>
  <c r="AT16" i="3"/>
  <c r="AT33" i="3"/>
  <c r="AW33" i="3"/>
  <c r="AU33" i="3"/>
  <c r="AW42" i="3"/>
  <c r="AT42" i="3"/>
  <c r="AU42" i="3"/>
  <c r="AU5" i="3"/>
  <c r="AT5" i="3"/>
  <c r="AW5" i="3"/>
  <c r="AT29" i="3"/>
  <c r="AU29" i="3"/>
  <c r="AW29" i="3"/>
  <c r="AW31" i="3"/>
  <c r="AU31" i="3"/>
  <c r="AT31" i="3"/>
  <c r="AU17" i="3"/>
  <c r="AT17" i="3"/>
  <c r="AW17" i="3"/>
  <c r="AW11" i="3"/>
  <c r="AT11" i="3"/>
  <c r="AU11" i="3"/>
  <c r="AT45" i="3"/>
  <c r="AW45" i="3"/>
  <c r="AU45" i="3"/>
  <c r="AT19" i="3"/>
  <c r="AW19" i="3"/>
  <c r="AU19" i="3"/>
  <c r="AW52" i="3"/>
  <c r="AU52" i="3"/>
  <c r="AT52" i="3"/>
  <c r="AW22" i="3"/>
  <c r="AU22" i="3"/>
  <c r="AT22" i="3"/>
  <c r="AW20" i="3"/>
  <c r="AU20" i="3"/>
  <c r="AT20" i="3"/>
  <c r="AX29" i="3" l="1"/>
  <c r="AV29" i="3"/>
  <c r="AX48" i="3"/>
  <c r="AV48" i="3"/>
  <c r="AX15" i="3"/>
  <c r="AV15" i="3"/>
  <c r="AV17" i="3"/>
  <c r="AX17" i="3"/>
  <c r="AX42" i="3"/>
  <c r="AV42" i="3"/>
  <c r="AX10" i="3"/>
  <c r="AV10" i="3"/>
  <c r="AV7" i="3"/>
  <c r="AX7" i="3"/>
  <c r="AX49" i="3"/>
  <c r="AV49" i="3"/>
  <c r="AV8" i="3"/>
  <c r="AX8" i="3"/>
  <c r="AX2" i="3"/>
  <c r="AV2" i="3"/>
  <c r="AV12" i="3"/>
  <c r="AX12" i="3"/>
  <c r="AX52" i="3"/>
  <c r="AV52" i="3"/>
  <c r="AX45" i="3"/>
  <c r="AV45" i="3"/>
  <c r="AV46" i="3"/>
  <c r="AX46" i="3"/>
  <c r="AX26" i="3"/>
  <c r="AV26" i="3"/>
  <c r="AX30" i="3"/>
  <c r="AV30" i="3"/>
  <c r="AX22" i="3"/>
  <c r="AV22" i="3"/>
  <c r="AX50" i="3"/>
  <c r="AV50" i="3"/>
  <c r="AV23" i="3"/>
  <c r="AX23" i="3"/>
  <c r="AX14" i="3"/>
  <c r="AV14" i="3"/>
  <c r="AX37" i="3"/>
  <c r="AV37" i="3"/>
  <c r="AX25" i="3"/>
  <c r="AV25" i="3"/>
  <c r="AV44" i="3"/>
  <c r="AX44" i="3"/>
  <c r="AV39" i="3"/>
  <c r="AX39" i="3"/>
  <c r="AX55" i="3"/>
  <c r="AV55" i="3"/>
  <c r="AX6" i="3"/>
  <c r="AV6" i="3"/>
  <c r="AX9" i="3"/>
  <c r="AV9" i="3"/>
  <c r="AV38" i="3"/>
  <c r="AX38" i="3"/>
  <c r="AV3" i="3"/>
  <c r="AX3" i="3"/>
  <c r="AV13" i="3"/>
  <c r="AX13" i="3"/>
  <c r="AX32" i="3"/>
  <c r="AV32" i="3"/>
  <c r="AX51" i="3"/>
  <c r="AV51" i="3"/>
  <c r="AX19" i="3"/>
  <c r="AV19" i="3"/>
  <c r="AX33" i="3"/>
  <c r="AV33" i="3"/>
  <c r="AV53" i="3"/>
  <c r="AX53" i="3"/>
  <c r="AV35" i="3"/>
  <c r="AX35" i="3"/>
  <c r="AV20" i="3"/>
  <c r="AX20" i="3"/>
  <c r="AX11" i="3"/>
  <c r="AV11" i="3"/>
  <c r="AV5" i="3"/>
  <c r="AX5" i="3"/>
  <c r="AV16" i="3"/>
  <c r="AX16" i="3"/>
  <c r="AV31" i="3"/>
  <c r="AX31" i="3"/>
  <c r="AV4" i="3"/>
  <c r="AX4" i="3"/>
  <c r="AX24" i="3"/>
  <c r="AV24" i="3"/>
  <c r="AX18" i="3"/>
  <c r="AV18" i="3"/>
  <c r="AV28" i="3"/>
  <c r="AX28" i="3"/>
  <c r="AV43" i="3"/>
  <c r="AX43" i="3"/>
  <c r="AX54" i="3"/>
  <c r="AV54" i="3"/>
  <c r="AV27" i="3"/>
  <c r="AX27" i="3"/>
  <c r="AV34" i="3"/>
  <c r="AX34" i="3"/>
  <c r="AX40" i="3"/>
  <c r="AV40" i="3"/>
</calcChain>
</file>

<file path=xl/sharedStrings.xml><?xml version="1.0" encoding="utf-8"?>
<sst xmlns="http://schemas.openxmlformats.org/spreadsheetml/2006/main" count="173" uniqueCount="135">
  <si>
    <t>Nº Recepcion</t>
  </si>
  <si>
    <t>Fecha Análisis</t>
  </si>
  <si>
    <t>P
(g)</t>
  </si>
  <si>
    <t>V
(ml)</t>
  </si>
  <si>
    <t>F.C.</t>
  </si>
  <si>
    <t>NaOH
(ml)</t>
  </si>
  <si>
    <t xml:space="preserve">Blanco NaOH
</t>
  </si>
  <si>
    <t>N NaOH</t>
  </si>
  <si>
    <t>V Alic.
(ml)</t>
  </si>
  <si>
    <t>AC
(cmol+/Kg)</t>
  </si>
  <si>
    <t>pH
inicial</t>
  </si>
  <si>
    <t>pH
AGUA</t>
  </si>
  <si>
    <t>Cerrado</t>
  </si>
  <si>
    <t>Fase análisis</t>
  </si>
  <si>
    <t>Fecha realización</t>
  </si>
  <si>
    <t>Analista</t>
  </si>
  <si>
    <t>Firma</t>
  </si>
  <si>
    <t>Pesada</t>
  </si>
  <si>
    <t>Extracción</t>
  </si>
  <si>
    <t>Valoración</t>
  </si>
  <si>
    <t>Equipo</t>
  </si>
  <si>
    <t>Balanza analítica</t>
  </si>
  <si>
    <t>Solución KCl 1 M</t>
  </si>
  <si>
    <t>pH</t>
  </si>
  <si>
    <t>Fecha</t>
  </si>
  <si>
    <t>Tª (ºC)</t>
  </si>
  <si>
    <t>Fecha preparación</t>
  </si>
  <si>
    <t>Calibración del electrodo</t>
  </si>
  <si>
    <t>Pot. Asimetría (mv)</t>
  </si>
  <si>
    <t>Pendiente</t>
  </si>
  <si>
    <t>Blanco</t>
  </si>
  <si>
    <t>Vol NaOH (ml)</t>
  </si>
  <si>
    <t>Aguas</t>
  </si>
  <si>
    <t>Bl1</t>
  </si>
  <si>
    <t>Agua1</t>
  </si>
  <si>
    <t>Bl2</t>
  </si>
  <si>
    <t>Agua2</t>
  </si>
  <si>
    <t>Promedio</t>
  </si>
  <si>
    <t>Agua3</t>
  </si>
  <si>
    <t>Aluminio</t>
  </si>
  <si>
    <t>Hidrógeno</t>
  </si>
  <si>
    <t>NaOH(ml)</t>
  </si>
  <si>
    <t>% recuperación</t>
  </si>
  <si>
    <t>NaOH 0,01 N valorada con BIFTALATO 0,01 N</t>
  </si>
  <si>
    <t>Normalidad NaOH</t>
  </si>
  <si>
    <t>Nº GRADILLA
ICP</t>
  </si>
  <si>
    <t>Observaciones</t>
  </si>
  <si>
    <t>Cuantificación por ICP</t>
  </si>
  <si>
    <t>Solución Acetato amónico 1 M</t>
  </si>
  <si>
    <t>Control QC y anexos (marcar con una X)</t>
  </si>
  <si>
    <t>Datos ICP</t>
  </si>
  <si>
    <t>Rectas calibrado ICP</t>
  </si>
  <si>
    <t>Excel complejo de cambio</t>
  </si>
  <si>
    <t>Cumple QC de control</t>
  </si>
  <si>
    <t>Observaciones
(Indicar si se utilizan equipos diferentes a los indicados en el método PE/LAFIGA/SU06 o cualquier otra diferencia con el método)</t>
  </si>
  <si>
    <t>Na
(mg/l)</t>
  </si>
  <si>
    <t>K
(mg/l)</t>
  </si>
  <si>
    <t>Ca
(mg/l)</t>
  </si>
  <si>
    <t>Mg
(mg/l)</t>
  </si>
  <si>
    <t>B1
Na</t>
  </si>
  <si>
    <t>B2
Na</t>
  </si>
  <si>
    <t>B3
Na</t>
  </si>
  <si>
    <t>B4
Na</t>
  </si>
  <si>
    <t>B1
K</t>
  </si>
  <si>
    <t>B2
K</t>
  </si>
  <si>
    <t>B3
K</t>
  </si>
  <si>
    <t>B4
K</t>
  </si>
  <si>
    <t>B1
Ca</t>
  </si>
  <si>
    <t>B2
Ca</t>
  </si>
  <si>
    <t>B3
Ca</t>
  </si>
  <si>
    <t>B4
Ca</t>
  </si>
  <si>
    <t>B1
Mg</t>
  </si>
  <si>
    <t>B2
Mg</t>
  </si>
  <si>
    <t>B3
Mg</t>
  </si>
  <si>
    <t>B4
Mg</t>
  </si>
  <si>
    <t>B
Na</t>
  </si>
  <si>
    <t>F.D.
Na</t>
  </si>
  <si>
    <t>Na
cmol+/kg</t>
  </si>
  <si>
    <t>B
K</t>
  </si>
  <si>
    <t>F.D.
K</t>
  </si>
  <si>
    <t>K
cmol+/kg</t>
  </si>
  <si>
    <t>K
mg/Kg</t>
  </si>
  <si>
    <t>B
Ca</t>
  </si>
  <si>
    <t>F.D.
Ca</t>
  </si>
  <si>
    <t>Ca
cmol+/kg</t>
  </si>
  <si>
    <t>B
Mg</t>
  </si>
  <si>
    <t>F.D.
Mg</t>
  </si>
  <si>
    <t>Mg
cmol+/kg</t>
  </si>
  <si>
    <t>Relación
K/Mg</t>
  </si>
  <si>
    <t>Relación
Ca/Mg</t>
  </si>
  <si>
    <t>AC
cmol+/kg</t>
  </si>
  <si>
    <t>CIC efectiva</t>
  </si>
  <si>
    <t>Sat.Acid.
%</t>
  </si>
  <si>
    <t>Necesidad
Cal</t>
  </si>
  <si>
    <t>P1</t>
  </si>
  <si>
    <t>P2</t>
  </si>
  <si>
    <t>X</t>
  </si>
  <si>
    <t>X+1</t>
  </si>
  <si>
    <t>Y</t>
  </si>
  <si>
    <t>Y+1</t>
  </si>
  <si>
    <t>Pos</t>
  </si>
  <si>
    <t>DATOS DE CONEXIÓN</t>
  </si>
  <si>
    <t>Acidez teórica aluminio</t>
  </si>
  <si>
    <t>Acidez teórica Hidrógeno</t>
  </si>
  <si>
    <t>Normalidad del Biftalato</t>
  </si>
  <si>
    <t>Com Port</t>
  </si>
  <si>
    <t>Baud Rate</t>
  </si>
  <si>
    <t>Volumen pipeteado del Biftalato (ml)</t>
  </si>
  <si>
    <t>Parity</t>
  </si>
  <si>
    <t>N</t>
  </si>
  <si>
    <t>Data Bits</t>
  </si>
  <si>
    <t>Stop Bits</t>
  </si>
  <si>
    <t>Número de muestra</t>
  </si>
  <si>
    <t>Resultado mg/kg</t>
  </si>
  <si>
    <t>Abonado
Kg/ha K2O
(020)</t>
  </si>
  <si>
    <t>Nivel actual P mg/Kg</t>
  </si>
  <si>
    <t>Indice</t>
  </si>
  <si>
    <t>Abonado necesario Kg/ha de P205</t>
  </si>
  <si>
    <t>0-20</t>
  </si>
  <si>
    <t>21-40</t>
  </si>
  <si>
    <t>41-60</t>
  </si>
  <si>
    <t>61-80</t>
  </si>
  <si>
    <t>81-100</t>
  </si>
  <si>
    <t>101-115</t>
  </si>
  <si>
    <t>116-124</t>
  </si>
  <si>
    <t>&gt;125</t>
  </si>
  <si>
    <t>Abonado
Kg/ha MgO
(021)</t>
  </si>
  <si>
    <t>0-0,10</t>
  </si>
  <si>
    <t>0,11-0,19</t>
  </si>
  <si>
    <t>0,20-0,30</t>
  </si>
  <si>
    <t>0,31-0,39</t>
  </si>
  <si>
    <t>0,40-0,50</t>
  </si>
  <si>
    <t>0,51-0,59</t>
  </si>
  <si>
    <t>0,60-0,70</t>
  </si>
  <si>
    <t>&gt;0,70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</si>
</sst>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rgb="FF0070C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3" borderId="0" applyNumberFormat="0" applyBorder="0" applyAlignment="0" applyProtection="0"/>
  </cellStyleXfs>
  <cellXfs count="145">
    <xf numFmtId="0" fontId="0" fillId="0" borderId="0" xfId="0"/>
    <xf numFmtId="0" fontId="2" fillId="4" borderId="1" xfId="0" applyFont="1" applyFill="1" applyBorder="1" applyAlignment="1">
      <alignment horizontal="center" vertical="top"/>
    </xf>
    <xf numFmtId="14" fontId="2" fillId="4" borderId="2" xfId="0" applyNumberFormat="1" applyFont="1" applyFill="1" applyBorder="1" applyAlignment="1">
      <alignment horizontal="center" vertical="top"/>
    </xf>
    <xf numFmtId="164" fontId="2" fillId="4" borderId="2" xfId="0" applyNumberFormat="1" applyFont="1" applyFill="1" applyBorder="1" applyAlignment="1">
      <alignment horizontal="center" vertical="top" wrapText="1"/>
    </xf>
    <xf numFmtId="1" fontId="2" fillId="4" borderId="2" xfId="0" applyNumberFormat="1" applyFont="1" applyFill="1" applyBorder="1" applyAlignment="1">
      <alignment horizontal="center" vertical="top" wrapText="1"/>
    </xf>
    <xf numFmtId="165" fontId="2" fillId="4" borderId="2" xfId="0" applyNumberFormat="1" applyFont="1" applyFill="1" applyBorder="1" applyAlignment="1">
      <alignment horizontal="center" vertical="top"/>
    </xf>
    <xf numFmtId="2" fontId="2" fillId="4" borderId="2" xfId="0" applyNumberFormat="1" applyFont="1" applyFill="1" applyBorder="1" applyAlignment="1">
      <alignment horizontal="center" vertical="top" wrapText="1"/>
    </xf>
    <xf numFmtId="2" fontId="2" fillId="4" borderId="2" xfId="0" applyNumberFormat="1" applyFont="1" applyFill="1" applyBorder="1" applyAlignment="1">
      <alignment horizontal="center" vertical="top"/>
    </xf>
    <xf numFmtId="166" fontId="2" fillId="4" borderId="2" xfId="0" applyNumberFormat="1" applyFont="1" applyFill="1" applyBorder="1" applyAlignment="1">
      <alignment horizontal="center" vertical="top"/>
    </xf>
    <xf numFmtId="167" fontId="2" fillId="4" borderId="3" xfId="0" applyNumberFormat="1" applyFont="1" applyFill="1" applyBorder="1" applyAlignment="1">
      <alignment horizontal="center" vertical="top" wrapText="1"/>
    </xf>
    <xf numFmtId="167" fontId="2" fillId="4" borderId="3" xfId="0" applyNumberFormat="1" applyFont="1" applyFill="1" applyBorder="1" applyAlignment="1" applyProtection="1">
      <alignment horizontal="center" vertical="top" wrapText="1"/>
    </xf>
    <xf numFmtId="167" fontId="2" fillId="4" borderId="0" xfId="0" applyNumberFormat="1" applyFont="1" applyFill="1" applyBorder="1" applyAlignment="1" applyProtection="1">
      <alignment horizontal="center" vertical="top" wrapText="1"/>
    </xf>
    <xf numFmtId="0" fontId="0" fillId="0" borderId="0" xfId="0" applyFont="1" applyProtection="1">
      <protection locked="0"/>
    </xf>
    <xf numFmtId="0" fontId="0" fillId="0" borderId="4" xfId="0" applyNumberFormat="1" applyFont="1" applyFill="1" applyBorder="1" applyAlignment="1" applyProtection="1">
      <alignment horizontal="center"/>
      <protection locked="0"/>
    </xf>
    <xf numFmtId="14" fontId="0" fillId="0" borderId="4" xfId="0" applyNumberFormat="1" applyFont="1" applyFill="1" applyBorder="1" applyAlignment="1" applyProtection="1">
      <alignment horizontal="center" vertical="center"/>
    </xf>
    <xf numFmtId="1" fontId="0" fillId="0" borderId="4" xfId="0" applyNumberFormat="1" applyFont="1" applyFill="1" applyBorder="1" applyProtection="1">
      <protection locked="0"/>
    </xf>
    <xf numFmtId="164" fontId="0" fillId="0" borderId="4" xfId="0" applyNumberFormat="1" applyFont="1" applyFill="1" applyBorder="1" applyProtection="1">
      <protection locked="0"/>
    </xf>
    <xf numFmtId="2" fontId="0" fillId="0" borderId="0" xfId="0" applyNumberFormat="1" applyProtection="1">
      <protection locked="0"/>
    </xf>
    <xf numFmtId="2" fontId="0" fillId="0" borderId="4" xfId="0" applyNumberFormat="1" applyFont="1" applyFill="1" applyBorder="1" applyProtection="1"/>
    <xf numFmtId="166" fontId="0" fillId="0" borderId="4" xfId="0" applyNumberFormat="1" applyFont="1" applyFill="1" applyBorder="1" applyProtection="1"/>
    <xf numFmtId="167" fontId="0" fillId="0" borderId="4" xfId="0" applyNumberFormat="1" applyFont="1" applyFill="1" applyBorder="1"/>
    <xf numFmtId="2" fontId="0" fillId="0" borderId="4" xfId="0" applyNumberFormat="1" applyFont="1" applyFill="1" applyBorder="1" applyProtection="1">
      <protection locked="0"/>
    </xf>
    <xf numFmtId="2" fontId="0" fillId="0" borderId="4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4" borderId="4" xfId="0" applyFont="1" applyFill="1" applyBorder="1" applyAlignment="1">
      <alignment horizontal="center" vertical="top"/>
    </xf>
    <xf numFmtId="0" fontId="3" fillId="0" borderId="4" xfId="0" applyFont="1" applyFill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center"/>
      <protection locked="0"/>
    </xf>
    <xf numFmtId="0" fontId="0" fillId="0" borderId="4" xfId="0" applyFont="1" applyFill="1" applyBorder="1" applyAlignment="1" applyProtection="1">
      <alignment horizontal="center"/>
      <protection locked="0"/>
    </xf>
    <xf numFmtId="2" fontId="0" fillId="0" borderId="5" xfId="0" applyNumberFormat="1" applyFont="1" applyFill="1" applyBorder="1" applyAlignment="1" applyProtection="1">
      <alignment horizontal="center"/>
      <protection locked="0"/>
    </xf>
    <xf numFmtId="167" fontId="0" fillId="0" borderId="4" xfId="0" applyNumberFormat="1" applyFont="1" applyFill="1" applyBorder="1" applyAlignment="1" applyProtection="1">
      <alignment horizontal="center"/>
      <protection locked="0"/>
    </xf>
    <xf numFmtId="14" fontId="3" fillId="0" borderId="4" xfId="0" applyNumberFormat="1" applyFont="1" applyFill="1" applyBorder="1" applyAlignment="1" applyProtection="1">
      <alignment horizontal="center"/>
      <protection locked="0"/>
    </xf>
    <xf numFmtId="14" fontId="2" fillId="4" borderId="7" xfId="0" applyNumberFormat="1" applyFont="1" applyFill="1" applyBorder="1" applyAlignment="1" applyProtection="1">
      <alignment horizontal="center" vertical="center"/>
    </xf>
    <xf numFmtId="14" fontId="2" fillId="4" borderId="4" xfId="0" applyNumberFormat="1" applyFont="1" applyFill="1" applyBorder="1" applyAlignment="1" applyProtection="1">
      <alignment horizontal="center" vertical="center" wrapText="1"/>
    </xf>
    <xf numFmtId="14" fontId="2" fillId="4" borderId="4" xfId="0" applyNumberFormat="1" applyFont="1" applyFill="1" applyBorder="1" applyAlignment="1" applyProtection="1">
      <alignment horizontal="center" vertical="center"/>
    </xf>
    <xf numFmtId="14" fontId="3" fillId="0" borderId="7" xfId="0" applyNumberFormat="1" applyFont="1" applyFill="1" applyBorder="1" applyAlignment="1" applyProtection="1">
      <alignment horizontal="center" vertical="center"/>
    </xf>
    <xf numFmtId="2" fontId="0" fillId="0" borderId="4" xfId="0" applyNumberFormat="1" applyFont="1" applyFill="1" applyBorder="1" applyAlignment="1" applyProtection="1">
      <alignment horizontal="center" vertical="center"/>
      <protection locked="0"/>
    </xf>
    <xf numFmtId="14" fontId="3" fillId="0" borderId="4" xfId="0" applyNumberFormat="1" applyFont="1" applyFill="1" applyBorder="1" applyAlignment="1" applyProtection="1">
      <alignment horizontal="center" vertical="center"/>
    </xf>
    <xf numFmtId="164" fontId="0" fillId="0" borderId="4" xfId="0" applyNumberFormat="1" applyFont="1" applyFill="1" applyBorder="1" applyAlignment="1" applyProtection="1">
      <alignment horizontal="center" vertical="center"/>
      <protection locked="0"/>
    </xf>
    <xf numFmtId="14" fontId="3" fillId="0" borderId="7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14" fontId="3" fillId="0" borderId="4" xfId="0" applyNumberFormat="1" applyFont="1" applyBorder="1" applyAlignment="1" applyProtection="1">
      <alignment horizontal="center" vertical="center"/>
    </xf>
    <xf numFmtId="164" fontId="0" fillId="0" borderId="4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Font="1" applyAlignment="1" applyProtection="1">
      <alignment horizontal="center" vertical="center"/>
    </xf>
    <xf numFmtId="164" fontId="0" fillId="0" borderId="0" xfId="0" applyNumberFormat="1" applyFont="1" applyProtection="1"/>
    <xf numFmtId="14" fontId="2" fillId="4" borderId="7" xfId="0" applyNumberFormat="1" applyFont="1" applyFill="1" applyBorder="1" applyAlignment="1" applyProtection="1">
      <alignment horizontal="center" vertical="center" wrapText="1"/>
    </xf>
    <xf numFmtId="2" fontId="0" fillId="0" borderId="7" xfId="0" applyNumberFormat="1" applyFont="1" applyFill="1" applyBorder="1" applyAlignment="1" applyProtection="1">
      <alignment horizontal="center" vertical="center"/>
      <protection locked="0"/>
    </xf>
    <xf numFmtId="2" fontId="3" fillId="0" borderId="4" xfId="0" applyNumberFormat="1" applyFont="1" applyFill="1" applyBorder="1" applyAlignment="1" applyProtection="1">
      <alignment horizontal="center" vertical="center"/>
    </xf>
    <xf numFmtId="167" fontId="0" fillId="0" borderId="4" xfId="0" applyNumberFormat="1" applyFont="1" applyFill="1" applyBorder="1" applyProtection="1"/>
    <xf numFmtId="0" fontId="0" fillId="0" borderId="0" xfId="0" applyFont="1" applyProtection="1"/>
    <xf numFmtId="1" fontId="0" fillId="0" borderId="0" xfId="0" applyNumberFormat="1" applyFont="1" applyProtection="1"/>
    <xf numFmtId="165" fontId="0" fillId="0" borderId="0" xfId="0" applyNumberFormat="1" applyFont="1" applyProtection="1"/>
    <xf numFmtId="2" fontId="0" fillId="0" borderId="0" xfId="0" applyNumberFormat="1" applyFont="1" applyProtection="1"/>
    <xf numFmtId="166" fontId="0" fillId="0" borderId="0" xfId="0" applyNumberFormat="1" applyFont="1" applyProtection="1"/>
    <xf numFmtId="167" fontId="0" fillId="0" borderId="0" xfId="0" applyNumberFormat="1" applyFont="1" applyProtection="1"/>
    <xf numFmtId="0" fontId="2" fillId="4" borderId="1" xfId="0" applyNumberFormat="1" applyFont="1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horizontal="center" vertical="center"/>
    </xf>
    <xf numFmtId="164" fontId="2" fillId="4" borderId="2" xfId="0" applyNumberFormat="1" applyFont="1" applyFill="1" applyBorder="1" applyAlignment="1">
      <alignment horizontal="center" vertical="center" wrapText="1"/>
    </xf>
    <xf numFmtId="164" fontId="2" fillId="4" borderId="2" xfId="0" applyNumberFormat="1" applyFont="1" applyFill="1" applyBorder="1" applyAlignment="1" applyProtection="1">
      <alignment horizontal="center" vertical="center" wrapText="1"/>
    </xf>
    <xf numFmtId="164" fontId="2" fillId="4" borderId="0" xfId="0" applyNumberFormat="1" applyFont="1" applyFill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protection locked="0"/>
    </xf>
    <xf numFmtId="0" fontId="0" fillId="0" borderId="0" xfId="0" applyBorder="1"/>
    <xf numFmtId="14" fontId="0" fillId="0" borderId="4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2" fillId="4" borderId="7" xfId="0" applyFont="1" applyFill="1" applyBorder="1" applyAlignment="1">
      <alignment horizontal="center" vertical="top"/>
    </xf>
    <xf numFmtId="0" fontId="3" fillId="0" borderId="7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0" fillId="0" borderId="0" xfId="0" applyNumberFormat="1" applyFont="1" applyProtection="1"/>
    <xf numFmtId="14" fontId="0" fillId="0" borderId="0" xfId="0" applyNumberFormat="1" applyFont="1" applyAlignment="1" applyProtection="1">
      <alignment horizontal="center"/>
    </xf>
    <xf numFmtId="0" fontId="2" fillId="4" borderId="1" xfId="0" applyNumberFormat="1" applyFont="1" applyFill="1" applyBorder="1" applyAlignment="1">
      <alignment horizontal="center" vertical="top"/>
    </xf>
    <xf numFmtId="165" fontId="2" fillId="4" borderId="2" xfId="0" applyNumberFormat="1" applyFont="1" applyFill="1" applyBorder="1" applyAlignment="1">
      <alignment horizontal="center" vertical="top" wrapText="1"/>
    </xf>
    <xf numFmtId="167" fontId="2" fillId="4" borderId="2" xfId="0" applyNumberFormat="1" applyFont="1" applyFill="1" applyBorder="1" applyAlignment="1">
      <alignment horizontal="center" vertical="top" wrapText="1"/>
    </xf>
    <xf numFmtId="0" fontId="2" fillId="4" borderId="2" xfId="0" applyFont="1" applyFill="1" applyBorder="1" applyAlignment="1">
      <alignment horizontal="center" vertical="top" wrapText="1"/>
    </xf>
    <xf numFmtId="0" fontId="2" fillId="4" borderId="2" xfId="0" applyFont="1" applyFill="1" applyBorder="1" applyAlignment="1">
      <alignment horizontal="center" vertical="top"/>
    </xf>
    <xf numFmtId="0" fontId="2" fillId="4" borderId="3" xfId="0" applyFont="1" applyFill="1" applyBorder="1" applyAlignment="1">
      <alignment horizontal="center" vertical="top"/>
    </xf>
    <xf numFmtId="0" fontId="0" fillId="0" borderId="0" xfId="0" applyFont="1" applyAlignment="1" applyProtection="1">
      <alignment vertical="top"/>
      <protection locked="0"/>
    </xf>
    <xf numFmtId="0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64" fontId="0" fillId="0" borderId="4" xfId="0" applyNumberFormat="1" applyFont="1" applyFill="1" applyBorder="1" applyAlignment="1">
      <alignment horizontal="center"/>
    </xf>
    <xf numFmtId="164" fontId="0" fillId="0" borderId="4" xfId="0" applyNumberFormat="1" applyFont="1" applyFill="1" applyBorder="1"/>
    <xf numFmtId="2" fontId="0" fillId="0" borderId="4" xfId="0" applyNumberFormat="1" applyFont="1" applyFill="1" applyBorder="1"/>
    <xf numFmtId="1" fontId="0" fillId="0" borderId="4" xfId="0" applyNumberFormat="1" applyFont="1" applyFill="1" applyBorder="1"/>
    <xf numFmtId="0" fontId="0" fillId="0" borderId="0" xfId="0" applyNumberFormat="1" applyFont="1" applyProtection="1">
      <protection locked="0"/>
    </xf>
    <xf numFmtId="14" fontId="0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  <xf numFmtId="165" fontId="0" fillId="0" borderId="0" xfId="0" applyNumberFormat="1" applyFont="1" applyProtection="1">
      <protection locked="0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6" fillId="0" borderId="4" xfId="0" applyFont="1" applyBorder="1" applyAlignment="1">
      <alignment horizontal="center"/>
    </xf>
    <xf numFmtId="0" fontId="7" fillId="6" borderId="4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5" xfId="0" applyNumberFormat="1" applyBorder="1" applyProtection="1">
      <protection locked="0"/>
    </xf>
    <xf numFmtId="0" fontId="3" fillId="3" borderId="4" xfId="2" applyFont="1" applyBorder="1" applyAlignment="1">
      <alignment horizontal="center" vertical="center"/>
    </xf>
    <xf numFmtId="0" fontId="3" fillId="3" borderId="4" xfId="2" applyFont="1" applyBorder="1" applyAlignment="1">
      <alignment horizontal="center" vertical="center" wrapText="1"/>
    </xf>
    <xf numFmtId="0" fontId="0" fillId="0" borderId="4" xfId="0" applyBorder="1"/>
    <xf numFmtId="0" fontId="8" fillId="0" borderId="4" xfId="0" applyFont="1" applyBorder="1"/>
    <xf numFmtId="0" fontId="3" fillId="2" borderId="4" xfId="1" applyFont="1" applyBorder="1"/>
    <xf numFmtId="49" fontId="8" fillId="0" borderId="4" xfId="0" applyNumberFormat="1" applyFont="1" applyBorder="1"/>
    <xf numFmtId="1" fontId="8" fillId="0" borderId="4" xfId="0" applyNumberFormat="1" applyFont="1" applyBorder="1"/>
    <xf numFmtId="1" fontId="0" fillId="0" borderId="4" xfId="0" applyNumberFormat="1" applyBorder="1"/>
    <xf numFmtId="14" fontId="2" fillId="4" borderId="5" xfId="0" applyNumberFormat="1" applyFont="1" applyFill="1" applyBorder="1" applyAlignment="1" applyProtection="1">
      <alignment horizontal="center" vertical="center"/>
    </xf>
    <xf numFmtId="14" fontId="2" fillId="4" borderId="6" xfId="0" applyNumberFormat="1" applyFont="1" applyFill="1" applyBorder="1" applyAlignment="1" applyProtection="1">
      <alignment horizontal="center" vertical="center"/>
    </xf>
    <xf numFmtId="14" fontId="2" fillId="4" borderId="7" xfId="0" applyNumberFormat="1" applyFont="1" applyFill="1" applyBorder="1" applyAlignment="1" applyProtection="1">
      <alignment horizontal="center" vertical="center"/>
    </xf>
    <xf numFmtId="0" fontId="2" fillId="4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0" fontId="3" fillId="0" borderId="5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7" xfId="0" applyFont="1" applyFill="1" applyBorder="1" applyAlignment="1" applyProtection="1">
      <alignment horizontal="center"/>
      <protection locked="0"/>
    </xf>
    <xf numFmtId="14" fontId="0" fillId="0" borderId="5" xfId="0" applyNumberFormat="1" applyFont="1" applyFill="1" applyBorder="1" applyAlignment="1" applyProtection="1">
      <alignment horizontal="center"/>
      <protection locked="0"/>
    </xf>
    <xf numFmtId="14" fontId="0" fillId="0" borderId="7" xfId="0" applyNumberFormat="1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 vertical="top"/>
    </xf>
    <xf numFmtId="0" fontId="2" fillId="4" borderId="6" xfId="0" applyFont="1" applyFill="1" applyBorder="1" applyAlignment="1" applyProtection="1">
      <alignment horizontal="center" vertical="top"/>
    </xf>
    <xf numFmtId="14" fontId="3" fillId="0" borderId="5" xfId="0" applyNumberFormat="1" applyFont="1" applyFill="1" applyBorder="1" applyAlignment="1" applyProtection="1">
      <alignment horizontal="center"/>
    </xf>
    <xf numFmtId="14" fontId="3" fillId="0" borderId="7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  <protection locked="0"/>
    </xf>
    <xf numFmtId="0" fontId="0" fillId="0" borderId="7" xfId="0" applyNumberFormat="1" applyFont="1" applyFill="1" applyBorder="1" applyAlignment="1" applyProtection="1">
      <alignment horizontal="center"/>
      <protection locked="0"/>
    </xf>
    <xf numFmtId="14" fontId="2" fillId="4" borderId="5" xfId="0" applyNumberFormat="1" applyFont="1" applyFill="1" applyBorder="1" applyAlignment="1" applyProtection="1">
      <alignment horizontal="center" vertical="center" wrapText="1"/>
    </xf>
    <xf numFmtId="14" fontId="2" fillId="4" borderId="7" xfId="0" applyNumberFormat="1" applyFont="1" applyFill="1" applyBorder="1" applyAlignment="1" applyProtection="1">
      <alignment horizontal="center" vertical="center" wrapText="1"/>
    </xf>
    <xf numFmtId="2" fontId="0" fillId="0" borderId="5" xfId="0" applyNumberFormat="1" applyFont="1" applyFill="1" applyBorder="1" applyAlignment="1" applyProtection="1">
      <alignment horizontal="center" vertical="center"/>
      <protection locked="0"/>
    </xf>
    <xf numFmtId="2" fontId="0" fillId="0" borderId="7" xfId="0" applyNumberFormat="1" applyFont="1" applyFill="1" applyBorder="1" applyAlignment="1" applyProtection="1">
      <alignment horizontal="center" vertical="center"/>
      <protection locked="0"/>
    </xf>
    <xf numFmtId="166" fontId="0" fillId="0" borderId="5" xfId="0" applyNumberFormat="1" applyFont="1" applyFill="1" applyBorder="1" applyAlignment="1" applyProtection="1">
      <alignment horizontal="center" vertical="center"/>
    </xf>
    <xf numFmtId="166" fontId="0" fillId="0" borderId="7" xfId="0" applyNumberFormat="1" applyFont="1" applyFill="1" applyBorder="1" applyAlignment="1" applyProtection="1">
      <alignment horizontal="center" vertical="center"/>
    </xf>
    <xf numFmtId="14" fontId="0" fillId="0" borderId="5" xfId="0" applyNumberFormat="1" applyFont="1" applyFill="1" applyBorder="1" applyAlignment="1" applyProtection="1">
      <alignment horizontal="center" vertical="center"/>
      <protection locked="0"/>
    </xf>
    <xf numFmtId="14" fontId="0" fillId="0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 vertical="top" wrapText="1"/>
    </xf>
    <xf numFmtId="0" fontId="2" fillId="4" borderId="8" xfId="0" applyFont="1" applyFill="1" applyBorder="1" applyAlignment="1" applyProtection="1">
      <alignment horizontal="center" vertical="top"/>
    </xf>
    <xf numFmtId="0" fontId="2" fillId="4" borderId="0" xfId="0" applyFont="1" applyFill="1" applyBorder="1" applyAlignment="1" applyProtection="1">
      <alignment horizontal="center" vertical="top"/>
    </xf>
    <xf numFmtId="0" fontId="6" fillId="0" borderId="4" xfId="0" applyFont="1" applyBorder="1" applyAlignment="1">
      <alignment horizontal="center"/>
    </xf>
  </cellXfs>
  <cellStyles count="3">
    <cellStyle name="40% - Énfasis2" xfId="1" builtinId="35"/>
    <cellStyle name="60% - Énfasis2 2" xfId="2" xr:uid="{69246E49-468C-4A61-9E65-B9D386A8688B}"/>
    <cellStyle name="Normal" xfId="0" builtinId="0"/>
  </cellStyles>
  <dxfs count="17">
    <dxf>
      <fill>
        <patternFill>
          <bgColor indexed="42"/>
        </patternFill>
      </fill>
    </dxf>
    <dxf>
      <fill>
        <patternFill>
          <bgColor indexed="26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usernames" Target="revisions/userNames.xml"/></Relationships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A4F39EC5-0910-4032-9FD0-6C0397E72113}">
  <header guid="{A4F39EC5-0910-4032-9FD0-6C0397E72113}" dateTime="2021-12-16T13:12:23" maxSheetId="8" userName="ms1" r:id="rId1">
    <sheetIdMap count="7">
      <sheetId val="1"/>
      <sheetId val="2"/>
      <sheetId val="3"/>
      <sheetId val="4"/>
      <sheetId val="5"/>
      <sheetId val="6"/>
      <sheetId val="7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5E74-E714-4551-B624-336CB4FCB631}">
  <sheetPr codeName="Hoja1"/>
  <dimension ref="A1:P55"/>
  <sheetViews>
    <sheetView tabSelected="1" zoomScaleNormal="100" workbookViewId="0">
      <selection activeCell="A2" sqref="A2"/>
    </sheetView>
  </sheetViews>
  <sheetFormatPr baseColWidth="10" defaultColWidth="11.42578125" defaultRowHeight="15" x14ac:dyDescent="0.25"/>
  <cols>
    <col min="1" max="1" width="11.85546875" style="48" bestFit="1" customWidth="1"/>
    <col min="2" max="2" width="12.28515625" style="42" hidden="1" customWidth="1"/>
    <col min="3" max="3" width="11.140625" style="43" customWidth="1"/>
    <col min="4" max="4" width="11.42578125" style="49"/>
    <col min="5" max="5" width="11.42578125" style="50"/>
    <col min="6" max="6" width="11.42578125" style="51"/>
    <col min="7" max="7" width="13.85546875" style="51" customWidth="1"/>
    <col min="8" max="8" width="11.42578125" style="52"/>
    <col min="9" max="9" width="14.140625" style="49" customWidth="1"/>
    <col min="10" max="10" width="15.5703125" style="53" customWidth="1"/>
    <col min="11" max="13" width="11.42578125" style="12"/>
    <col min="14" max="14" width="15.28515625" style="12" bestFit="1" customWidth="1"/>
    <col min="15" max="15" width="11.42578125" style="12"/>
    <col min="16" max="16" width="22.140625" style="12" customWidth="1"/>
    <col min="17" max="16384" width="11.42578125" style="12"/>
  </cols>
  <sheetData>
    <row r="1" spans="1:16" ht="30" x14ac:dyDescent="0.25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 t="s">
        <v>5</v>
      </c>
      <c r="G1" s="7" t="s">
        <v>6</v>
      </c>
      <c r="H1" s="8" t="s">
        <v>7</v>
      </c>
      <c r="I1" s="4" t="s">
        <v>8</v>
      </c>
      <c r="J1" s="9" t="s">
        <v>9</v>
      </c>
      <c r="K1" s="10" t="s">
        <v>10</v>
      </c>
      <c r="L1" s="11" t="s">
        <v>11</v>
      </c>
    </row>
    <row r="2" spans="1:16" x14ac:dyDescent="0.25">
      <c r="A2" s="13"/>
      <c r="B2" s="14" t="str">
        <f t="shared" ref="B2:B55" si="0">IF(OR(A2="",$N$12=""),"",$N$12)</f>
        <v/>
      </c>
      <c r="C2" s="13"/>
      <c r="D2" s="15">
        <v>50</v>
      </c>
      <c r="E2" s="16"/>
      <c r="F2" s="17"/>
      <c r="G2" s="18" t="str">
        <f>IF(AND($N$27="",$N$28=""),"",$N$29)</f>
        <v/>
      </c>
      <c r="H2" s="19" t="str">
        <f>IF(OR($O$37="",A2=""),"",$O$37)</f>
        <v/>
      </c>
      <c r="I2" s="15">
        <f>10</f>
        <v>10</v>
      </c>
      <c r="J2" s="20" t="str">
        <f>IF(OR(AC!A2:A2="",AC!B2:B2="",AC!C2:C2="",AC!D2:D2="",AC!E2:E2="",AC!F2:F2="",AC!G2:G2="",AC!H2:H2="",AC!I2:I2=""),"",IF(AC!F2:F2&lt;AC!G2:G2,0,((AC!F2:F2-AC!G2:G2)*(AC!H2:H2*AC!D2:D2*1000)/(AC!I2:I2*AC!C2:C2*10))*AC!E2:E2))</f>
        <v/>
      </c>
      <c r="K2" s="21"/>
      <c r="L2" s="22"/>
    </row>
    <row r="3" spans="1:16" x14ac:dyDescent="0.25">
      <c r="A3" s="13"/>
      <c r="B3" s="14" t="str">
        <f t="shared" si="0"/>
        <v/>
      </c>
      <c r="C3" s="13"/>
      <c r="D3" s="15">
        <v>50</v>
      </c>
      <c r="E3" s="16"/>
      <c r="F3" s="21"/>
      <c r="G3" s="18" t="str">
        <f t="shared" ref="G3:G55" si="1">IF(AND($N$27="",$N$28=""),"",$N$29)</f>
        <v/>
      </c>
      <c r="H3" s="19" t="str">
        <f t="shared" ref="H3:H55" si="2">IF(OR($O$37="",A3=""),"",$O$37)</f>
        <v/>
      </c>
      <c r="I3" s="15">
        <f>10</f>
        <v>10</v>
      </c>
      <c r="J3" s="20" t="str">
        <f>IF(OR(AC!A3:A3="",AC!B3:B3="",AC!C3:C3="",AC!D3:D3="",AC!E3:E3="",AC!F3:F3="",AC!G3:G3="",AC!H3:H3="",AC!I3:I3=""),"",IF(AC!F3:F3&lt;AC!G3:G3,0,((AC!F3:F3-AC!G3:G3)*(AC!H3:H3*AC!D3:D3*1000)/(AC!I3:I3*AC!C3:C3*10))*AC!E3:E3))</f>
        <v/>
      </c>
      <c r="K3" s="21"/>
      <c r="L3" s="22"/>
    </row>
    <row r="4" spans="1:16" x14ac:dyDescent="0.25">
      <c r="A4" s="13"/>
      <c r="B4" s="14" t="str">
        <f t="shared" si="0"/>
        <v/>
      </c>
      <c r="C4" s="13"/>
      <c r="D4" s="15">
        <v>50</v>
      </c>
      <c r="E4" s="16"/>
      <c r="F4" s="21"/>
      <c r="G4" s="18" t="str">
        <f t="shared" si="1"/>
        <v/>
      </c>
      <c r="H4" s="19" t="str">
        <f t="shared" si="2"/>
        <v/>
      </c>
      <c r="I4" s="15">
        <f>10</f>
        <v>10</v>
      </c>
      <c r="J4" s="20" t="str">
        <f>IF(OR(AC!A4:A4="",AC!B4:B4="",AC!C4:C4="",AC!D4:D4="",AC!E4:E4="",AC!F4:F4="",AC!G4:G4="",AC!H4:H4="",AC!I4:I4=""),"",IF(AC!F4:F4&lt;AC!G4:G4,0,((AC!F4:F4-AC!G4:G4)*(AC!H4:H4*AC!D4:D4*1000)/(AC!I4:I4*AC!C4:C4*10))*AC!E4:E4))</f>
        <v/>
      </c>
      <c r="K4" s="21"/>
      <c r="L4" s="22"/>
    </row>
    <row r="5" spans="1:16" x14ac:dyDescent="0.25">
      <c r="A5" s="13"/>
      <c r="B5" s="14" t="str">
        <f t="shared" si="0"/>
        <v/>
      </c>
      <c r="C5" s="13"/>
      <c r="D5" s="15">
        <v>50</v>
      </c>
      <c r="E5" s="16"/>
      <c r="F5" s="21"/>
      <c r="G5" s="18" t="str">
        <f t="shared" si="1"/>
        <v/>
      </c>
      <c r="H5" s="19" t="str">
        <f t="shared" si="2"/>
        <v/>
      </c>
      <c r="I5" s="15">
        <f>10</f>
        <v>10</v>
      </c>
      <c r="J5" s="20" t="str">
        <f>IF(OR(AC!A5:A5="",AC!B5:B5="",AC!C5:C5="",AC!D5:D5="",AC!E5:E5="",AC!F5:F5="",AC!G5:G5="",AC!H5:H5="",AC!I5:I5=""),"",IF(AC!F5:F5&lt;AC!G5:G5,0,((AC!F5:F5-AC!G5:G5)*(AC!H5:H5*AC!D5:D5*1000)/(AC!I5:I5*AC!C5:C5*10))*AC!E5:E5))</f>
        <v/>
      </c>
      <c r="K5" s="21"/>
      <c r="L5" s="22"/>
    </row>
    <row r="6" spans="1:16" x14ac:dyDescent="0.25">
      <c r="A6" s="13"/>
      <c r="B6" s="14" t="str">
        <f t="shared" si="0"/>
        <v/>
      </c>
      <c r="C6" s="13"/>
      <c r="D6" s="15">
        <v>50</v>
      </c>
      <c r="E6" s="16"/>
      <c r="F6" s="21"/>
      <c r="G6" s="18" t="str">
        <f t="shared" si="1"/>
        <v/>
      </c>
      <c r="H6" s="19" t="str">
        <f t="shared" si="2"/>
        <v/>
      </c>
      <c r="I6" s="15">
        <f>10</f>
        <v>10</v>
      </c>
      <c r="J6" s="20" t="str">
        <f>IF(OR(AC!A6:A6="",AC!B6:B6="",AC!C6:C6="",AC!D6:D6="",AC!E6:E6="",AC!F6:F6="",AC!G6:G6="",AC!H6:H6="",AC!I6:I6=""),"",IF(AC!F6:F6&lt;AC!G6:G6,0,((AC!F6:F6-AC!G6:G6)*(AC!H6:H6*AC!D6:D6*1000)/(AC!I6:I6*AC!C6:C6*10))*AC!E6:E6))</f>
        <v/>
      </c>
      <c r="K6" s="21"/>
      <c r="L6" s="22"/>
    </row>
    <row r="7" spans="1:16" x14ac:dyDescent="0.25">
      <c r="A7" s="13"/>
      <c r="B7" s="14" t="str">
        <f t="shared" si="0"/>
        <v/>
      </c>
      <c r="C7" s="13"/>
      <c r="D7" s="15">
        <v>50</v>
      </c>
      <c r="E7" s="16"/>
      <c r="F7" s="21"/>
      <c r="G7" s="18" t="str">
        <f t="shared" si="1"/>
        <v/>
      </c>
      <c r="H7" s="19" t="str">
        <f t="shared" si="2"/>
        <v/>
      </c>
      <c r="I7" s="15">
        <f>10</f>
        <v>10</v>
      </c>
      <c r="J7" s="20" t="str">
        <f>IF(OR(AC!A7:A7="",AC!B7:B7="",AC!C7:C7="",AC!D7:D7="",AC!E7:E7="",AC!F7:F7="",AC!G7:G7="",AC!H7:H7="",AC!I7:I7=""),"",IF(AC!F7:F7&lt;AC!G7:G7,0,((AC!F7:F7-AC!G7:G7)*(AC!H7:H7*AC!D7:D7*1000)/(AC!I7:I7*AC!C7:C7*10))*AC!E7:E7))</f>
        <v/>
      </c>
      <c r="K7" s="21"/>
      <c r="L7" s="22"/>
    </row>
    <row r="8" spans="1:16" x14ac:dyDescent="0.25">
      <c r="A8" s="13"/>
      <c r="B8" s="14" t="str">
        <f t="shared" si="0"/>
        <v/>
      </c>
      <c r="C8" s="13"/>
      <c r="D8" s="15">
        <v>50</v>
      </c>
      <c r="E8" s="16"/>
      <c r="F8" s="21"/>
      <c r="G8" s="18" t="str">
        <f t="shared" si="1"/>
        <v/>
      </c>
      <c r="H8" s="19" t="str">
        <f t="shared" si="2"/>
        <v/>
      </c>
      <c r="I8" s="15">
        <f>10</f>
        <v>10</v>
      </c>
      <c r="J8" s="20" t="str">
        <f>IF(OR(AC!A8:A8="",AC!B8:B8="",AC!C8:C8="",AC!D8:D8="",AC!E8:E8="",AC!F8:F8="",AC!G8:G8="",AC!H8:H8="",AC!I8:I8=""),"",IF(AC!F8:F8&lt;AC!G8:G8,0,((AC!F8:F8-AC!G8:G8)*(AC!H8:H8*AC!D8:D8*1000)/(AC!I8:I8*AC!C8:C8*10))*AC!E8:E8))</f>
        <v/>
      </c>
      <c r="K8" s="21"/>
      <c r="L8" s="22"/>
    </row>
    <row r="9" spans="1:16" x14ac:dyDescent="0.25">
      <c r="A9" s="13"/>
      <c r="B9" s="14" t="str">
        <f t="shared" si="0"/>
        <v/>
      </c>
      <c r="C9" s="13"/>
      <c r="D9" s="15">
        <v>50</v>
      </c>
      <c r="E9" s="16"/>
      <c r="F9" s="21"/>
      <c r="G9" s="18" t="str">
        <f t="shared" si="1"/>
        <v/>
      </c>
      <c r="H9" s="19" t="str">
        <f t="shared" si="2"/>
        <v/>
      </c>
      <c r="I9" s="15">
        <f>10</f>
        <v>10</v>
      </c>
      <c r="J9" s="20" t="str">
        <f>IF(OR(AC!A9:A9="",AC!B9:B9="",AC!C9:C9="",AC!D9:D9="",AC!E9:E9="",AC!F9:F9="",AC!G9:G9="",AC!H9:H9="",AC!I9:I9=""),"",IF(AC!F9:F9&lt;AC!G9:G9,0,((AC!F9:F9-AC!G9:G9)*(AC!H9:H9*AC!D9:D9*1000)/(AC!I9:I9*AC!C9:C9*10))*AC!E9:E9))</f>
        <v/>
      </c>
      <c r="K9" s="21"/>
      <c r="L9" s="22"/>
      <c r="M9" s="23" t="s">
        <v>12</v>
      </c>
      <c r="N9" s="23"/>
    </row>
    <row r="10" spans="1:16" x14ac:dyDescent="0.25">
      <c r="A10" s="13"/>
      <c r="B10" s="14" t="str">
        <f t="shared" si="0"/>
        <v/>
      </c>
      <c r="C10" s="13"/>
      <c r="D10" s="15">
        <v>50</v>
      </c>
      <c r="E10" s="16"/>
      <c r="F10" s="21"/>
      <c r="G10" s="18" t="str">
        <f t="shared" si="1"/>
        <v/>
      </c>
      <c r="H10" s="19" t="str">
        <f t="shared" si="2"/>
        <v/>
      </c>
      <c r="I10" s="15">
        <f>10</f>
        <v>10</v>
      </c>
      <c r="J10" s="20" t="str">
        <f>IF(OR(AC!A10:A10="",AC!B10:B10="",AC!C10:C10="",AC!D10:D10="",AC!E10:E10="",AC!F10:F10="",AC!G10:G10="",AC!H10:H10="",AC!I10:I10=""),"",IF(AC!F10:F10&lt;AC!G10:G10,0,((AC!F10:F10-AC!G10:G10)*(AC!H10:H10*AC!D10:D10*1000)/(AC!I10:I10*AC!C10:C10*10))*AC!E10:E10))</f>
        <v/>
      </c>
      <c r="K10" s="21"/>
      <c r="L10" s="22"/>
    </row>
    <row r="11" spans="1:16" x14ac:dyDescent="0.25">
      <c r="A11" s="13"/>
      <c r="B11" s="14" t="str">
        <f t="shared" si="0"/>
        <v/>
      </c>
      <c r="C11" s="13"/>
      <c r="D11" s="15">
        <v>50</v>
      </c>
      <c r="E11" s="16"/>
      <c r="F11" s="21"/>
      <c r="G11" s="18" t="str">
        <f t="shared" si="1"/>
        <v/>
      </c>
      <c r="H11" s="19" t="str">
        <f t="shared" si="2"/>
        <v/>
      </c>
      <c r="I11" s="15">
        <f>10</f>
        <v>10</v>
      </c>
      <c r="J11" s="20" t="str">
        <f>IF(OR(AC!A11:A11="",AC!B11:B11="",AC!C11:C11="",AC!D11:D11="",AC!E11:E11="",AC!F11:F11="",AC!G11:G11="",AC!H11:H11="",AC!I11:I11=""),"",IF(AC!F11:F11&lt;AC!G11:G11,0,((AC!F11:F11-AC!G11:G11)*(AC!H11:H11*AC!D11:D11*1000)/(AC!I11:I11*AC!C11:C11*10))*AC!E11:E11))</f>
        <v/>
      </c>
      <c r="K11" s="21"/>
      <c r="L11" s="22"/>
      <c r="M11" s="24" t="s">
        <v>13</v>
      </c>
      <c r="N11" s="24" t="s">
        <v>14</v>
      </c>
      <c r="O11" s="24" t="s">
        <v>15</v>
      </c>
      <c r="P11" s="24" t="s">
        <v>16</v>
      </c>
    </row>
    <row r="12" spans="1:16" x14ac:dyDescent="0.25">
      <c r="A12" s="13"/>
      <c r="B12" s="14" t="str">
        <f t="shared" si="0"/>
        <v/>
      </c>
      <c r="C12" s="13"/>
      <c r="D12" s="15">
        <v>50</v>
      </c>
      <c r="E12" s="16"/>
      <c r="F12" s="21"/>
      <c r="G12" s="18" t="str">
        <f t="shared" si="1"/>
        <v/>
      </c>
      <c r="H12" s="19" t="str">
        <f t="shared" si="2"/>
        <v/>
      </c>
      <c r="I12" s="15">
        <f>10</f>
        <v>10</v>
      </c>
      <c r="J12" s="20" t="str">
        <f>IF(OR(AC!A12:A12="",AC!B12:B12="",AC!C12:C12="",AC!D12:D12="",AC!E12:E12="",AC!F12:F12="",AC!G12:G12="",AC!H12:H12="",AC!I12:I12=""),"",IF(AC!F12:F12&lt;AC!G12:G12,0,((AC!F12:F12-AC!G12:G12)*(AC!H12:H12*AC!D12:D12*1000)/(AC!I12:I12*AC!C12:C12*10))*AC!E12:E12))</f>
        <v/>
      </c>
      <c r="K12" s="21"/>
      <c r="L12" s="22"/>
      <c r="M12" s="25" t="s">
        <v>17</v>
      </c>
      <c r="N12" s="26"/>
      <c r="O12" s="27"/>
      <c r="P12" s="27"/>
    </row>
    <row r="13" spans="1:16" x14ac:dyDescent="0.25">
      <c r="A13" s="13"/>
      <c r="B13" s="14" t="str">
        <f t="shared" si="0"/>
        <v/>
      </c>
      <c r="C13" s="13"/>
      <c r="D13" s="15">
        <v>50</v>
      </c>
      <c r="E13" s="16"/>
      <c r="F13" s="21"/>
      <c r="G13" s="18" t="str">
        <f t="shared" si="1"/>
        <v/>
      </c>
      <c r="H13" s="19" t="str">
        <f t="shared" si="2"/>
        <v/>
      </c>
      <c r="I13" s="15">
        <f>10</f>
        <v>10</v>
      </c>
      <c r="J13" s="20" t="str">
        <f>IF(OR(AC!A13:A13="",AC!B13:B13="",AC!C13:C13="",AC!D13:D13="",AC!E13:E13="",AC!F13:F13="",AC!G13:G13="",AC!H13:H13="",AC!I13:I13=""),"",IF(AC!F13:F13&lt;AC!G13:G13,0,((AC!F13:F13-AC!G13:G13)*(AC!H13:H13*AC!D13:D13*1000)/(AC!I13:I13*AC!C13:C13*10))*AC!E13:E13))</f>
        <v/>
      </c>
      <c r="K13" s="21"/>
      <c r="L13" s="22"/>
      <c r="M13" s="25" t="s">
        <v>18</v>
      </c>
      <c r="N13" s="26"/>
      <c r="O13" s="27"/>
      <c r="P13" s="27"/>
    </row>
    <row r="14" spans="1:16" x14ac:dyDescent="0.25">
      <c r="A14" s="13"/>
      <c r="B14" s="14" t="str">
        <f t="shared" si="0"/>
        <v/>
      </c>
      <c r="C14" s="13"/>
      <c r="D14" s="15">
        <v>50</v>
      </c>
      <c r="E14" s="16"/>
      <c r="F14" s="21"/>
      <c r="G14" s="18" t="str">
        <f t="shared" si="1"/>
        <v/>
      </c>
      <c r="H14" s="19" t="str">
        <f t="shared" si="2"/>
        <v/>
      </c>
      <c r="I14" s="15">
        <f>10</f>
        <v>10</v>
      </c>
      <c r="J14" s="20" t="str">
        <f>IF(OR(AC!A14:A14="",AC!B14:B14="",AC!C14:C14="",AC!D14:D14="",AC!E14:E14="",AC!F14:F14="",AC!G14:G14="",AC!H14:H14="",AC!I14:I14=""),"",IF(AC!F14:F14&lt;AC!G14:G14,0,((AC!F14:F14-AC!G14:G14)*(AC!H14:H14*AC!D14:D14*1000)/(AC!I14:I14*AC!C14:C14*10))*AC!E14:E14))</f>
        <v/>
      </c>
      <c r="K14" s="21"/>
      <c r="L14" s="22"/>
      <c r="M14" s="25" t="s">
        <v>19</v>
      </c>
      <c r="N14" s="26"/>
      <c r="O14" s="27"/>
      <c r="P14" s="27"/>
    </row>
    <row r="15" spans="1:16" x14ac:dyDescent="0.25">
      <c r="A15" s="13"/>
      <c r="B15" s="14" t="str">
        <f t="shared" si="0"/>
        <v/>
      </c>
      <c r="C15" s="13"/>
      <c r="D15" s="15">
        <v>50</v>
      </c>
      <c r="E15" s="16"/>
      <c r="F15" s="21"/>
      <c r="G15" s="18" t="str">
        <f t="shared" si="1"/>
        <v/>
      </c>
      <c r="H15" s="19" t="str">
        <f t="shared" si="2"/>
        <v/>
      </c>
      <c r="I15" s="15">
        <f>10</f>
        <v>10</v>
      </c>
      <c r="J15" s="20" t="str">
        <f>IF(OR(AC!A15:A15="",AC!B15:B15="",AC!C15:C15="",AC!D15:D15="",AC!E15:E15="",AC!F15:F15="",AC!G15:G15="",AC!H15:H15="",AC!I15:I15=""),"",IF(AC!F15:F15&lt;AC!G15:G15,0,((AC!F15:F15-AC!G15:G15)*(AC!H15:H15*AC!D15:D15*1000)/(AC!I15:I15*AC!C15:C15*10))*AC!E15:E15))</f>
        <v/>
      </c>
      <c r="K15" s="21"/>
      <c r="L15" s="28"/>
      <c r="M15" s="115" t="s">
        <v>20</v>
      </c>
      <c r="N15" s="116"/>
      <c r="O15" s="116"/>
      <c r="P15" s="116"/>
    </row>
    <row r="16" spans="1:16" x14ac:dyDescent="0.25">
      <c r="A16" s="13"/>
      <c r="B16" s="14" t="str">
        <f t="shared" si="0"/>
        <v/>
      </c>
      <c r="C16" s="13"/>
      <c r="D16" s="15">
        <v>50</v>
      </c>
      <c r="E16" s="16"/>
      <c r="F16" s="21"/>
      <c r="G16" s="18" t="str">
        <f t="shared" si="1"/>
        <v/>
      </c>
      <c r="H16" s="19" t="str">
        <f t="shared" si="2"/>
        <v/>
      </c>
      <c r="I16" s="15">
        <f>10</f>
        <v>10</v>
      </c>
      <c r="J16" s="20" t="str">
        <f>IF(OR(AC!A16:A16="",AC!B16:B16="",AC!C16:C16="",AC!D16:D16="",AC!E16:E16="",AC!F16:F16="",AC!G16:G16="",AC!H16:H16="",AC!I16:I16=""),"",IF(AC!F16:F16&lt;AC!G16:G16,0,((AC!F16:F16-AC!G16:G16)*(AC!H16:H16*AC!D16:D16*1000)/(AC!I16:I16*AC!C16:C16*10))*AC!E16:E16))</f>
        <v/>
      </c>
      <c r="K16" s="21"/>
      <c r="L16" s="28"/>
      <c r="M16" s="117" t="s">
        <v>21</v>
      </c>
      <c r="N16" s="118"/>
      <c r="O16" s="119"/>
      <c r="P16" s="120"/>
    </row>
    <row r="17" spans="1:16" x14ac:dyDescent="0.25">
      <c r="A17" s="13"/>
      <c r="B17" s="14" t="str">
        <f t="shared" si="0"/>
        <v/>
      </c>
      <c r="C17" s="13"/>
      <c r="D17" s="15">
        <v>50</v>
      </c>
      <c r="E17" s="16"/>
      <c r="F17" s="21"/>
      <c r="G17" s="18" t="str">
        <f t="shared" si="1"/>
        <v/>
      </c>
      <c r="H17" s="19" t="str">
        <f t="shared" si="2"/>
        <v/>
      </c>
      <c r="I17" s="15">
        <f>10</f>
        <v>10</v>
      </c>
      <c r="J17" s="20" t="str">
        <f>IF(OR(AC!A17:A17="",AC!B17:B17="",AC!C17:C17="",AC!D17:D17="",AC!E17:E17="",AC!F17:F17="",AC!G17:G17="",AC!H17:H17="",AC!I17:I17=""),"",IF(AC!F17:F17&lt;AC!G17:G17,0,((AC!F17:F17-AC!G17:G17)*(AC!H17:H17*AC!D17:D17*1000)/(AC!I17:I17*AC!C17:C17*10))*AC!E17:E17))</f>
        <v/>
      </c>
      <c r="K17" s="21"/>
      <c r="L17" s="28"/>
      <c r="M17" s="115" t="s">
        <v>22</v>
      </c>
      <c r="N17" s="116"/>
      <c r="O17" s="116"/>
      <c r="P17" s="116"/>
    </row>
    <row r="18" spans="1:16" x14ac:dyDescent="0.25">
      <c r="A18" s="13"/>
      <c r="B18" s="14" t="str">
        <f t="shared" si="0"/>
        <v/>
      </c>
      <c r="C18" s="13"/>
      <c r="D18" s="15">
        <v>50</v>
      </c>
      <c r="E18" s="16"/>
      <c r="F18" s="21"/>
      <c r="G18" s="18" t="str">
        <f t="shared" si="1"/>
        <v/>
      </c>
      <c r="H18" s="19" t="str">
        <f t="shared" si="2"/>
        <v/>
      </c>
      <c r="I18" s="15">
        <f>10</f>
        <v>10</v>
      </c>
      <c r="J18" s="20" t="str">
        <f>IF(OR(AC!A18:A18="",AC!B18:B18="",AC!C18:C18="",AC!D18:D18="",AC!E18:E18="",AC!F18:F18="",AC!G18:G18="",AC!H18:H18="",AC!I18:I18=""),"",IF(AC!F18:F18&lt;AC!G18:G18,0,((AC!F18:F18-AC!G18:G18)*(AC!H18:H18*AC!D18:D18*1000)/(AC!I18:I18*AC!C18:C18*10))*AC!E18:E18))</f>
        <v/>
      </c>
      <c r="K18" s="21"/>
      <c r="L18" s="22"/>
      <c r="M18" s="25" t="s">
        <v>23</v>
      </c>
      <c r="N18" s="22"/>
      <c r="O18" s="25" t="s">
        <v>24</v>
      </c>
      <c r="P18" s="25" t="s">
        <v>15</v>
      </c>
    </row>
    <row r="19" spans="1:16" x14ac:dyDescent="0.25">
      <c r="A19" s="13"/>
      <c r="B19" s="14" t="str">
        <f t="shared" si="0"/>
        <v/>
      </c>
      <c r="C19" s="13"/>
      <c r="D19" s="15">
        <v>50</v>
      </c>
      <c r="E19" s="16"/>
      <c r="F19" s="21"/>
      <c r="G19" s="18" t="str">
        <f t="shared" si="1"/>
        <v/>
      </c>
      <c r="H19" s="19" t="str">
        <f t="shared" si="2"/>
        <v/>
      </c>
      <c r="I19" s="15">
        <f>10</f>
        <v>10</v>
      </c>
      <c r="J19" s="20" t="str">
        <f>IF(OR(AC!A19:A19="",AC!B19:B19="",AC!C19:C19="",AC!D19:D19="",AC!E19:E19="",AC!F19:F19="",AC!G19:G19="",AC!H19:H19="",AC!I19:I19=""),"",IF(AC!F19:F19&lt;AC!G19:G19,0,((AC!F19:F19-AC!G19:G19)*(AC!H19:H19*AC!D19:D19*1000)/(AC!I19:I19*AC!C19:C19*10))*AC!E19:E19))</f>
        <v/>
      </c>
      <c r="K19" s="21"/>
      <c r="L19" s="22"/>
      <c r="M19" s="25" t="s">
        <v>25</v>
      </c>
      <c r="N19" s="29"/>
      <c r="O19" s="26"/>
      <c r="P19" s="27"/>
    </row>
    <row r="20" spans="1:16" ht="14.65" customHeight="1" x14ac:dyDescent="0.25">
      <c r="A20" s="13"/>
      <c r="B20" s="14" t="str">
        <f t="shared" si="0"/>
        <v/>
      </c>
      <c r="C20" s="13"/>
      <c r="D20" s="15">
        <v>50</v>
      </c>
      <c r="E20" s="16"/>
      <c r="F20" s="21"/>
      <c r="G20" s="18" t="str">
        <f t="shared" si="1"/>
        <v/>
      </c>
      <c r="H20" s="19" t="str">
        <f t="shared" si="2"/>
        <v/>
      </c>
      <c r="I20" s="15">
        <f>10</f>
        <v>10</v>
      </c>
      <c r="J20" s="20" t="str">
        <f>IF(OR(AC!A20:A20="",AC!B20:B20="",AC!C20:C20="",AC!D20:D20="",AC!E20:E20="",AC!F20:F20="",AC!G20:G20="",AC!H20:H20="",AC!I20:I20=""),"",IF(AC!F20:F20&lt;AC!G20:G20,0,((AC!F20:F20-AC!G20:G20)*(AC!H20:H20*AC!D20:D20*1000)/(AC!I20:I20*AC!C20:C20*10))*AC!E20:E20))</f>
        <v/>
      </c>
      <c r="K20" s="21"/>
      <c r="L20" s="28"/>
      <c r="M20" s="117" t="s">
        <v>26</v>
      </c>
      <c r="N20" s="118"/>
      <c r="O20" s="121"/>
      <c r="P20" s="122"/>
    </row>
    <row r="21" spans="1:16" ht="14.65" customHeight="1" x14ac:dyDescent="0.25">
      <c r="A21" s="13"/>
      <c r="B21" s="14" t="str">
        <f t="shared" si="0"/>
        <v/>
      </c>
      <c r="C21" s="13"/>
      <c r="D21" s="15">
        <v>50</v>
      </c>
      <c r="E21" s="16"/>
      <c r="F21" s="21"/>
      <c r="G21" s="18" t="str">
        <f t="shared" si="1"/>
        <v/>
      </c>
      <c r="H21" s="19" t="str">
        <f t="shared" si="2"/>
        <v/>
      </c>
      <c r="I21" s="15">
        <f>10</f>
        <v>10</v>
      </c>
      <c r="J21" s="20" t="str">
        <f>IF(OR(AC!A21:A21="",AC!B21:B21="",AC!C21:C21="",AC!D21:D21="",AC!E21:E21="",AC!F21:F21="",AC!G21:G21="",AC!H21:H21="",AC!I21:I21=""),"",IF(AC!F21:F21&lt;AC!G21:G21,0,((AC!F21:F21-AC!G21:G21)*(AC!H21:H21*AC!D21:D21*1000)/(AC!I21:I21*AC!C21:C21*10))*AC!E21:E21))</f>
        <v/>
      </c>
      <c r="K21" s="21"/>
      <c r="L21" s="28"/>
      <c r="M21" s="123" t="s">
        <v>27</v>
      </c>
      <c r="N21" s="124"/>
      <c r="O21" s="124"/>
      <c r="P21" s="124"/>
    </row>
    <row r="22" spans="1:16" ht="14.65" customHeight="1" x14ac:dyDescent="0.25">
      <c r="A22" s="13"/>
      <c r="B22" s="14" t="str">
        <f t="shared" si="0"/>
        <v/>
      </c>
      <c r="C22" s="13"/>
      <c r="D22" s="15">
        <v>50</v>
      </c>
      <c r="E22" s="16"/>
      <c r="F22" s="21"/>
      <c r="G22" s="18" t="str">
        <f t="shared" si="1"/>
        <v/>
      </c>
      <c r="H22" s="19" t="str">
        <f t="shared" si="2"/>
        <v/>
      </c>
      <c r="I22" s="15">
        <f>10</f>
        <v>10</v>
      </c>
      <c r="J22" s="20" t="str">
        <f>IF(OR(AC!A22:A22="",AC!B22:B22="",AC!C22:C22="",AC!D22:D22="",AC!E22:E22="",AC!F22:F22="",AC!G22:G22="",AC!H22:H22="",AC!I22:I22=""),"",IF(AC!F22:F22&lt;AC!G22:G22,0,((AC!F22:F22-AC!G22:G22)*(AC!H22:H22*AC!D22:D22*1000)/(AC!I22:I22*AC!C22:C22*10))*AC!E22:E22))</f>
        <v/>
      </c>
      <c r="K22" s="21"/>
      <c r="L22" s="22"/>
      <c r="M22" s="25" t="s">
        <v>24</v>
      </c>
      <c r="N22" s="125" t="s">
        <v>28</v>
      </c>
      <c r="O22" s="126"/>
      <c r="P22" s="25" t="s">
        <v>29</v>
      </c>
    </row>
    <row r="23" spans="1:16" x14ac:dyDescent="0.25">
      <c r="A23" s="13"/>
      <c r="B23" s="14" t="str">
        <f t="shared" si="0"/>
        <v/>
      </c>
      <c r="C23" s="13"/>
      <c r="D23" s="15">
        <v>50</v>
      </c>
      <c r="E23" s="16"/>
      <c r="F23" s="21"/>
      <c r="G23" s="18" t="str">
        <f t="shared" si="1"/>
        <v/>
      </c>
      <c r="H23" s="19" t="str">
        <f t="shared" si="2"/>
        <v/>
      </c>
      <c r="I23" s="15">
        <f>10</f>
        <v>10</v>
      </c>
      <c r="J23" s="20" t="str">
        <f>IF(OR(AC!A23:A23="",AC!B23:B23="",AC!C23:C23="",AC!D23:D23="",AC!E23:E23="",AC!F23:F23="",AC!G23:G23="",AC!H23:H23="",AC!I23:I23=""),"",IF(AC!F23:F23&lt;AC!G23:G23,0,((AC!F23:F23-AC!G23:G23)*(AC!H23:H23*AC!D23:D23*1000)/(AC!I23:I23*AC!C23:C23*10))*AC!E23:E23))</f>
        <v/>
      </c>
      <c r="K23" s="21"/>
      <c r="L23" s="22"/>
      <c r="M23" s="30"/>
      <c r="N23" s="127"/>
      <c r="O23" s="128"/>
      <c r="P23" s="29"/>
    </row>
    <row r="24" spans="1:16" x14ac:dyDescent="0.25">
      <c r="A24" s="13"/>
      <c r="B24" s="14" t="str">
        <f t="shared" si="0"/>
        <v/>
      </c>
      <c r="C24" s="13"/>
      <c r="D24" s="15">
        <v>50</v>
      </c>
      <c r="E24" s="16"/>
      <c r="F24" s="21"/>
      <c r="G24" s="18" t="str">
        <f t="shared" si="1"/>
        <v/>
      </c>
      <c r="H24" s="19" t="str">
        <f t="shared" si="2"/>
        <v/>
      </c>
      <c r="I24" s="15">
        <f>10</f>
        <v>10</v>
      </c>
      <c r="J24" s="20" t="str">
        <f>IF(OR(AC!A24:A24="",AC!B24:B24="",AC!C24:C24="",AC!D24:D24="",AC!E24:E24="",AC!F24:F24="",AC!G24:G24="",AC!H24:H24="",AC!I24:I24=""),"",IF(AC!F24:F24&lt;AC!G24:G24,0,((AC!F24:F24-AC!G24:G24)*(AC!H24:H24*AC!D24:D24*1000)/(AC!I24:I24*AC!C24:C24*10))*AC!E24:E24))</f>
        <v/>
      </c>
      <c r="K24" s="21"/>
      <c r="L24" s="22"/>
    </row>
    <row r="25" spans="1:16" x14ac:dyDescent="0.25">
      <c r="A25" s="13"/>
      <c r="B25" s="14" t="str">
        <f t="shared" si="0"/>
        <v/>
      </c>
      <c r="C25" s="13"/>
      <c r="D25" s="15">
        <v>50</v>
      </c>
      <c r="E25" s="16"/>
      <c r="F25" s="21"/>
      <c r="G25" s="18" t="str">
        <f t="shared" si="1"/>
        <v/>
      </c>
      <c r="H25" s="19" t="str">
        <f t="shared" si="2"/>
        <v/>
      </c>
      <c r="I25" s="15">
        <f>10</f>
        <v>10</v>
      </c>
      <c r="J25" s="20" t="str">
        <f>IF(OR(AC!A25:A25="",AC!B25:B25="",AC!C25:C25="",AC!D25:D25="",AC!E25:E25="",AC!F25:F25="",AC!G25:G25="",AC!H25:H25="",AC!I25:I25=""),"",IF(AC!F25:F25&lt;AC!G25:G25,0,((AC!F25:F25-AC!G25:G25)*(AC!H25:H25*AC!D25:D25*1000)/(AC!I25:I25*AC!C25:C25*10))*AC!E25:E25))</f>
        <v/>
      </c>
      <c r="K25" s="21"/>
      <c r="L25" s="22"/>
    </row>
    <row r="26" spans="1:16" x14ac:dyDescent="0.25">
      <c r="A26" s="13"/>
      <c r="B26" s="14" t="str">
        <f t="shared" si="0"/>
        <v/>
      </c>
      <c r="C26" s="13"/>
      <c r="D26" s="15">
        <v>50</v>
      </c>
      <c r="E26" s="16"/>
      <c r="F26" s="21"/>
      <c r="G26" s="18" t="str">
        <f t="shared" si="1"/>
        <v/>
      </c>
      <c r="H26" s="19" t="str">
        <f t="shared" si="2"/>
        <v/>
      </c>
      <c r="I26" s="15">
        <f>10</f>
        <v>10</v>
      </c>
      <c r="J26" s="20" t="str">
        <f>IF(OR(AC!A26:A26="",AC!B26:B26="",AC!C26:C26="",AC!D26:D26="",AC!E26:E26="",AC!F26:F26="",AC!G26:G26="",AC!H26:H26="",AC!I26:I26=""),"",IF(AC!F26:F26&lt;AC!G26:G26,0,((AC!F26:F26-AC!G26:G26)*(AC!H26:H26*AC!D26:D26*1000)/(AC!I26:I26*AC!C26:C26*10))*AC!E26:E26))</f>
        <v/>
      </c>
      <c r="K26" s="21"/>
      <c r="L26" s="22"/>
      <c r="M26" s="31" t="s">
        <v>30</v>
      </c>
      <c r="N26" s="32" t="s">
        <v>31</v>
      </c>
      <c r="O26" s="33" t="s">
        <v>32</v>
      </c>
      <c r="P26" s="32" t="s">
        <v>31</v>
      </c>
    </row>
    <row r="27" spans="1:16" x14ac:dyDescent="0.25">
      <c r="A27" s="13"/>
      <c r="B27" s="14" t="str">
        <f t="shared" si="0"/>
        <v/>
      </c>
      <c r="C27" s="13"/>
      <c r="D27" s="15">
        <v>50</v>
      </c>
      <c r="E27" s="16"/>
      <c r="F27" s="21"/>
      <c r="G27" s="18" t="str">
        <f t="shared" si="1"/>
        <v/>
      </c>
      <c r="H27" s="19" t="str">
        <f t="shared" si="2"/>
        <v/>
      </c>
      <c r="I27" s="15">
        <f>10</f>
        <v>10</v>
      </c>
      <c r="J27" s="20" t="str">
        <f>IF(OR(AC!A27:A27="",AC!B27:B27="",AC!C27:C27="",AC!D27:D27="",AC!E27:E27="",AC!F27:F27="",AC!G27:G27="",AC!H27:H27="",AC!I27:I27=""),"",IF(AC!F27:F27&lt;AC!G27:G27,0,((AC!F27:F27-AC!G27:G27)*(AC!H27:H27*AC!D27:D27*1000)/(AC!I27:I27*AC!C27:C27*10))*AC!E27:E27))</f>
        <v/>
      </c>
      <c r="K27" s="21"/>
      <c r="L27" s="22"/>
      <c r="M27" s="34" t="s">
        <v>33</v>
      </c>
      <c r="N27" s="35"/>
      <c r="O27" s="36" t="s">
        <v>34</v>
      </c>
      <c r="P27" s="37"/>
    </row>
    <row r="28" spans="1:16" x14ac:dyDescent="0.25">
      <c r="A28" s="13"/>
      <c r="B28" s="14" t="str">
        <f t="shared" si="0"/>
        <v/>
      </c>
      <c r="C28" s="13"/>
      <c r="D28" s="15">
        <v>50</v>
      </c>
      <c r="E28" s="16"/>
      <c r="F28" s="21"/>
      <c r="G28" s="18" t="str">
        <f t="shared" si="1"/>
        <v/>
      </c>
      <c r="H28" s="19" t="str">
        <f t="shared" si="2"/>
        <v/>
      </c>
      <c r="I28" s="15">
        <f>10</f>
        <v>10</v>
      </c>
      <c r="J28" s="20" t="str">
        <f>IF(OR(AC!A28:A28="",AC!B28:B28="",AC!C28:C28="",AC!D28:D28="",AC!E28:E28="",AC!F28:F28="",AC!G28:G28="",AC!H28:H28="",AC!I28:I28=""),"",IF(AC!F28:F28&lt;AC!G28:G28,0,((AC!F28:F28-AC!G28:G28)*(AC!H28:H28*AC!D28:D28*1000)/(AC!I28:I28*AC!C28:C28*10))*AC!E28:E28))</f>
        <v/>
      </c>
      <c r="K28" s="21"/>
      <c r="L28" s="22"/>
      <c r="M28" s="34" t="s">
        <v>35</v>
      </c>
      <c r="N28" s="35"/>
      <c r="O28" s="36" t="s">
        <v>36</v>
      </c>
      <c r="P28" s="37"/>
    </row>
    <row r="29" spans="1:16" x14ac:dyDescent="0.25">
      <c r="A29" s="13"/>
      <c r="B29" s="14" t="str">
        <f t="shared" si="0"/>
        <v/>
      </c>
      <c r="C29" s="13"/>
      <c r="D29" s="15">
        <v>50</v>
      </c>
      <c r="E29" s="16"/>
      <c r="F29" s="21"/>
      <c r="G29" s="18" t="str">
        <f t="shared" si="1"/>
        <v/>
      </c>
      <c r="H29" s="19" t="str">
        <f t="shared" si="2"/>
        <v/>
      </c>
      <c r="I29" s="15">
        <f>10</f>
        <v>10</v>
      </c>
      <c r="J29" s="20" t="str">
        <f>IF(OR(AC!A29:A29="",AC!B29:B29="",AC!C29:C29="",AC!D29:D29="",AC!E29:E29="",AC!F29:F29="",AC!G29:G29="",AC!H29:H29="",AC!I29:I29=""),"",IF(AC!F29:F29&lt;AC!G29:G29,0,((AC!F29:F29-AC!G29:G29)*(AC!H29:H29*AC!D29:D29*1000)/(AC!I29:I29*AC!C29:C29*10))*AC!E29:E29))</f>
        <v/>
      </c>
      <c r="K29" s="21"/>
      <c r="L29" s="22"/>
      <c r="M29" s="38" t="s">
        <v>37</v>
      </c>
      <c r="N29" s="39" t="str">
        <f>IF(AND(N27="",N28=""),"",Mediapar(AVERAGE(N27:N28),2))</f>
        <v/>
      </c>
      <c r="O29" s="40" t="s">
        <v>38</v>
      </c>
      <c r="P29" s="41"/>
    </row>
    <row r="30" spans="1:16" x14ac:dyDescent="0.25">
      <c r="A30" s="13"/>
      <c r="B30" s="14" t="str">
        <f t="shared" si="0"/>
        <v/>
      </c>
      <c r="C30" s="13"/>
      <c r="D30" s="15">
        <v>50</v>
      </c>
      <c r="E30" s="16"/>
      <c r="F30" s="21"/>
      <c r="G30" s="18" t="str">
        <f t="shared" si="1"/>
        <v/>
      </c>
      <c r="H30" s="19" t="str">
        <f t="shared" si="2"/>
        <v/>
      </c>
      <c r="I30" s="15">
        <f>10</f>
        <v>10</v>
      </c>
      <c r="J30" s="20" t="str">
        <f>IF(OR(AC!A30:A30="",AC!B30:B30="",AC!C30:C30="",AC!D30:D30="",AC!E30:E30="",AC!F30:F30="",AC!G30:G30="",AC!H30:H30="",AC!I30:I30=""),"",IF(AC!F30:F30&lt;AC!G30:G30,0,((AC!F30:F30-AC!G30:G30)*(AC!H30:H30*AC!D30:D30*1000)/(AC!I30:I30*AC!C30:C30*10))*AC!E30:E30))</f>
        <v/>
      </c>
      <c r="K30" s="21"/>
      <c r="L30" s="22"/>
      <c r="M30" s="42"/>
      <c r="N30" s="43"/>
      <c r="O30" s="40" t="s">
        <v>37</v>
      </c>
      <c r="P30" s="39" t="str">
        <f>IF(AND(P27="",P28="",P29=""),"",AVERAGE(P27:P29))</f>
        <v/>
      </c>
    </row>
    <row r="31" spans="1:16" x14ac:dyDescent="0.25">
      <c r="A31" s="13"/>
      <c r="B31" s="14" t="str">
        <f t="shared" si="0"/>
        <v/>
      </c>
      <c r="C31" s="13"/>
      <c r="D31" s="15">
        <v>50</v>
      </c>
      <c r="E31" s="16"/>
      <c r="F31" s="21"/>
      <c r="G31" s="18" t="str">
        <f t="shared" si="1"/>
        <v/>
      </c>
      <c r="H31" s="19" t="str">
        <f t="shared" si="2"/>
        <v/>
      </c>
      <c r="I31" s="15">
        <f>10</f>
        <v>10</v>
      </c>
      <c r="J31" s="20" t="str">
        <f>IF(OR(AC!A31:A31="",AC!B31:B31="",AC!C31:C31="",AC!D31:D31="",AC!E31:E31="",AC!F31:F31="",AC!G31:G31="",AC!H31:H31="",AC!I31:I31=""),"",IF(AC!F31:F31&lt;AC!G31:G31,0,((AC!F31:F31-AC!G31:G31)*(AC!H31:H31*AC!D31:D31*1000)/(AC!I31:I31*AC!C31:C31*10))*AC!E31:E31))</f>
        <v/>
      </c>
      <c r="K31" s="21"/>
      <c r="L31" s="22"/>
      <c r="M31" s="113" t="s">
        <v>39</v>
      </c>
      <c r="N31" s="114"/>
      <c r="O31" s="112" t="s">
        <v>40</v>
      </c>
      <c r="P31" s="114"/>
    </row>
    <row r="32" spans="1:16" x14ac:dyDescent="0.25">
      <c r="A32" s="13"/>
      <c r="B32" s="14" t="str">
        <f t="shared" si="0"/>
        <v/>
      </c>
      <c r="C32" s="13"/>
      <c r="D32" s="15">
        <v>50</v>
      </c>
      <c r="E32" s="16"/>
      <c r="F32" s="21"/>
      <c r="G32" s="18" t="str">
        <f t="shared" si="1"/>
        <v/>
      </c>
      <c r="H32" s="19" t="str">
        <f t="shared" si="2"/>
        <v/>
      </c>
      <c r="I32" s="15">
        <f>10</f>
        <v>10</v>
      </c>
      <c r="J32" s="20" t="str">
        <f>IF(OR(AC!A32:A32="",AC!B32:B32="",AC!C32:C32="",AC!D32:D32="",AC!E32:E32="",AC!F32:F32="",AC!G32:G32="",AC!H32:H32="",AC!I32:I32=""),"",IF(AC!F32:F32&lt;AC!G32:G32,0,((AC!F32:F32-AC!G32:G32)*(AC!H32:H32*AC!D32:D32*1000)/(AC!I32:I32*AC!C32:C32*10))*AC!E32:E32))</f>
        <v/>
      </c>
      <c r="K32" s="21"/>
      <c r="L32" s="22"/>
      <c r="M32" s="44" t="s">
        <v>41</v>
      </c>
      <c r="N32" s="32" t="s">
        <v>42</v>
      </c>
      <c r="O32" s="32" t="s">
        <v>41</v>
      </c>
      <c r="P32" s="32" t="s">
        <v>42</v>
      </c>
    </row>
    <row r="33" spans="1:16" x14ac:dyDescent="0.25">
      <c r="A33" s="13"/>
      <c r="B33" s="14" t="str">
        <f t="shared" si="0"/>
        <v/>
      </c>
      <c r="C33" s="13"/>
      <c r="D33" s="15">
        <v>50</v>
      </c>
      <c r="E33" s="16"/>
      <c r="F33" s="21"/>
      <c r="G33" s="18" t="str">
        <f t="shared" si="1"/>
        <v/>
      </c>
      <c r="H33" s="19" t="str">
        <f t="shared" si="2"/>
        <v/>
      </c>
      <c r="I33" s="15">
        <f>10</f>
        <v>10</v>
      </c>
      <c r="J33" s="20" t="str">
        <f>IF(OR(AC!A33:A33="",AC!B33:B33="",AC!C33:C33="",AC!D33:D33="",AC!E33:E33="",AC!F33:F33="",AC!G33:G33="",AC!H33:H33="",AC!I33:I33=""),"",IF(AC!F33:F33&lt;AC!G33:G33,0,((AC!F33:F33-AC!G33:G33)*(AC!H33:H33*AC!D33:D33*1000)/(AC!I33:I33*AC!C33:C33*10))*AC!E33:E33))</f>
        <v/>
      </c>
      <c r="K33" s="21"/>
      <c r="L33" s="22"/>
      <c r="M33" s="45"/>
      <c r="N33" s="46" t="str">
        <f>IF(OR(M33="",P30="",$O$37="",Datos!E2=""),"",((M33-P30)*$O$37*100)/Datos!E2)</f>
        <v/>
      </c>
      <c r="O33" s="35"/>
      <c r="P33" s="46" t="str">
        <f>IF(OR(O33="",P30="",$O$37="",Datos!F2=""),"",((O33-P30)*$O$37*100)/Datos!F2)</f>
        <v/>
      </c>
    </row>
    <row r="34" spans="1:16" x14ac:dyDescent="0.25">
      <c r="A34" s="13"/>
      <c r="B34" s="14" t="str">
        <f t="shared" si="0"/>
        <v/>
      </c>
      <c r="C34" s="13"/>
      <c r="D34" s="15">
        <v>50</v>
      </c>
      <c r="E34" s="16"/>
      <c r="F34" s="21"/>
      <c r="G34" s="18" t="str">
        <f t="shared" si="1"/>
        <v/>
      </c>
      <c r="H34" s="19" t="str">
        <f t="shared" si="2"/>
        <v/>
      </c>
      <c r="I34" s="15">
        <f>10</f>
        <v>10</v>
      </c>
      <c r="J34" s="20" t="str">
        <f>IF(OR(AC!A34:A34="",AC!B34:B34="",AC!C34:C34="",AC!D34:D34="",AC!E34:E34="",AC!F34:F34="",AC!G34:G34="",AC!H34:H34="",AC!I34:I34=""),"",IF(AC!F34:F34&lt;AC!G34:G34,0,((AC!F34:F34-AC!G34:G34)*(AC!H34:H34*AC!D34:D34*1000)/(AC!I34:I34*AC!C34:C34*10))*AC!E34:E34))</f>
        <v/>
      </c>
      <c r="K34" s="21"/>
      <c r="L34" s="22"/>
    </row>
    <row r="35" spans="1:16" x14ac:dyDescent="0.25">
      <c r="A35" s="13"/>
      <c r="B35" s="14" t="str">
        <f t="shared" si="0"/>
        <v/>
      </c>
      <c r="C35" s="13"/>
      <c r="D35" s="15">
        <v>50</v>
      </c>
      <c r="E35" s="16"/>
      <c r="F35" s="21"/>
      <c r="G35" s="18" t="str">
        <f t="shared" si="1"/>
        <v/>
      </c>
      <c r="H35" s="19" t="str">
        <f t="shared" si="2"/>
        <v/>
      </c>
      <c r="I35" s="15">
        <f>10</f>
        <v>10</v>
      </c>
      <c r="J35" s="20" t="str">
        <f>IF(OR(AC!A35:A35="",AC!B35:B35="",AC!C35:C35="",AC!D35:D35="",AC!E35:E35="",AC!F35:F35="",AC!G35:G35="",AC!H35:H35="",AC!I35:I35=""),"",IF(AC!F35:F35&lt;AC!G35:G35,0,((AC!F35:F35-AC!G35:G35)*(AC!H35:H35*AC!D35:D35*1000)/(AC!I35:I35*AC!C35:C35*10))*AC!E35:E35))</f>
        <v/>
      </c>
      <c r="K35" s="21"/>
      <c r="L35" s="22"/>
      <c r="M35" s="112" t="s">
        <v>43</v>
      </c>
      <c r="N35" s="113"/>
      <c r="O35" s="113"/>
      <c r="P35" s="114"/>
    </row>
    <row r="36" spans="1:16" x14ac:dyDescent="0.25">
      <c r="A36" s="13"/>
      <c r="B36" s="14" t="str">
        <f t="shared" si="0"/>
        <v/>
      </c>
      <c r="C36" s="13"/>
      <c r="D36" s="15">
        <v>50</v>
      </c>
      <c r="E36" s="16"/>
      <c r="F36" s="21"/>
      <c r="G36" s="18" t="str">
        <f t="shared" si="1"/>
        <v/>
      </c>
      <c r="H36" s="19" t="str">
        <f t="shared" si="2"/>
        <v/>
      </c>
      <c r="I36" s="15">
        <f>10</f>
        <v>10</v>
      </c>
      <c r="J36" s="20" t="str">
        <f>IF(OR(AC!A36:A36="",AC!B36:B36="",AC!C36:C36="",AC!D36:D36="",AC!E36:E36="",AC!F36:F36="",AC!G36:G36="",AC!H36:H36="",AC!I36:I36=""),"",IF(AC!F36:F36&lt;AC!G36:G36,0,((AC!F36:F36-AC!G36:G36)*(AC!H36:H36*AC!D36:D36*1000)/(AC!I36:I36*AC!C36:C36*10))*AC!E36:E36))</f>
        <v/>
      </c>
      <c r="K36" s="21"/>
      <c r="L36" s="22"/>
      <c r="M36" s="129" t="s">
        <v>41</v>
      </c>
      <c r="N36" s="130"/>
      <c r="O36" s="129" t="s">
        <v>44</v>
      </c>
      <c r="P36" s="130"/>
    </row>
    <row r="37" spans="1:16" x14ac:dyDescent="0.25">
      <c r="A37" s="13"/>
      <c r="B37" s="14" t="str">
        <f t="shared" si="0"/>
        <v/>
      </c>
      <c r="C37" s="13"/>
      <c r="D37" s="15">
        <v>50</v>
      </c>
      <c r="E37" s="16"/>
      <c r="F37" s="21"/>
      <c r="G37" s="18" t="str">
        <f t="shared" si="1"/>
        <v/>
      </c>
      <c r="H37" s="19" t="str">
        <f t="shared" si="2"/>
        <v/>
      </c>
      <c r="I37" s="15">
        <f>10</f>
        <v>10</v>
      </c>
      <c r="J37" s="20" t="str">
        <f>IF(OR(AC!A37:A37="",AC!B37:B37="",AC!C37:C37="",AC!D37:D37="",AC!E37:E37="",AC!F37:F37="",AC!G37:G37="",AC!H37:H37="",AC!I37:I37=""),"",IF(AC!F37:F37&lt;AC!G37:G37,0,((AC!F37:F37-AC!G37:G37)*(AC!H37:H37*AC!D37:D37*1000)/(AC!I37:I37*AC!C37:C37*10))*AC!E37:E37))</f>
        <v/>
      </c>
      <c r="K37" s="21"/>
      <c r="L37" s="22"/>
      <c r="M37" s="131"/>
      <c r="N37" s="132"/>
      <c r="O37" s="133" t="str">
        <f>IF(OR(P30="",M37=""),"",(Datos!G2*Datos!G4)/(M37-P30))</f>
        <v/>
      </c>
      <c r="P37" s="134"/>
    </row>
    <row r="38" spans="1:16" x14ac:dyDescent="0.25">
      <c r="A38" s="13"/>
      <c r="B38" s="14" t="str">
        <f t="shared" si="0"/>
        <v/>
      </c>
      <c r="C38" s="13"/>
      <c r="D38" s="15">
        <v>50</v>
      </c>
      <c r="E38" s="16"/>
      <c r="F38" s="21"/>
      <c r="G38" s="18" t="str">
        <f t="shared" si="1"/>
        <v/>
      </c>
      <c r="H38" s="19" t="str">
        <f t="shared" si="2"/>
        <v/>
      </c>
      <c r="I38" s="15">
        <f>10</f>
        <v>10</v>
      </c>
      <c r="J38" s="20" t="str">
        <f>IF(OR(AC!A38:A38="",AC!B38:B38="",AC!C38:C38="",AC!D38:D38="",AC!E38:E38="",AC!F38:F38="",AC!G38:G38="",AC!H38:H38="",AC!I38:I38=""),"",IF(AC!F38:F38&lt;AC!G38:G38,0,((AC!F38:F38-AC!G38:G38)*(AC!H38:H38*AC!D38:D38*1000)/(AC!I38:I38*AC!C38:C38*10))*AC!E38:E38))</f>
        <v/>
      </c>
      <c r="K38" s="21"/>
      <c r="L38" s="22"/>
      <c r="M38" s="117" t="s">
        <v>26</v>
      </c>
      <c r="N38" s="118"/>
      <c r="O38" s="135"/>
      <c r="P38" s="136"/>
    </row>
    <row r="39" spans="1:16" x14ac:dyDescent="0.25">
      <c r="A39" s="13"/>
      <c r="B39" s="14" t="str">
        <f t="shared" si="0"/>
        <v/>
      </c>
      <c r="C39" s="13"/>
      <c r="D39" s="15">
        <v>50</v>
      </c>
      <c r="E39" s="16"/>
      <c r="F39" s="21"/>
      <c r="G39" s="18" t="str">
        <f t="shared" si="1"/>
        <v/>
      </c>
      <c r="H39" s="19" t="str">
        <f t="shared" si="2"/>
        <v/>
      </c>
      <c r="I39" s="15">
        <f>10</f>
        <v>10</v>
      </c>
      <c r="J39" s="20" t="str">
        <f>IF(OR(AC!A39:A39="",AC!B39:B39="",AC!C39:C39="",AC!D39:D39="",AC!E39:E39="",AC!F39:F39="",AC!G39:G39="",AC!H39:H39="",AC!I39:I39=""),"",IF(AC!F39:F39&lt;AC!G39:G39,0,((AC!F39:F39-AC!G39:G39)*(AC!H39:H39*AC!D39:D39*1000)/(AC!I39:I39*AC!C39:C39*10))*AC!E39:E39))</f>
        <v/>
      </c>
      <c r="K39" s="21"/>
      <c r="L39" s="22"/>
    </row>
    <row r="40" spans="1:16" x14ac:dyDescent="0.25">
      <c r="A40" s="13"/>
      <c r="B40" s="14" t="str">
        <f t="shared" si="0"/>
        <v/>
      </c>
      <c r="C40" s="13"/>
      <c r="D40" s="15">
        <v>50</v>
      </c>
      <c r="E40" s="16"/>
      <c r="F40" s="21"/>
      <c r="G40" s="18" t="str">
        <f t="shared" si="1"/>
        <v/>
      </c>
      <c r="H40" s="19" t="str">
        <f t="shared" si="2"/>
        <v/>
      </c>
      <c r="I40" s="15">
        <f>10</f>
        <v>10</v>
      </c>
      <c r="J40" s="47" t="str">
        <f>IF(OR(AC!A40:A40="",AC!B40:B40="",AC!C40:C40="",AC!D40:D40="",AC!E40:E40="",AC!F40:F40="",AC!G40:G40="",AC!H40:H40="",AC!I40:I40=""),"",IF(AC!F40:F40&lt;AC!G40:G40,0,((AC!F40:F40-AC!G40:G40)*(AC!H40:H40*AC!D40:D40*1000)/(AC!I40:I40*AC!C40:C40*10))*AC!E40:E40))</f>
        <v/>
      </c>
      <c r="K40" s="21"/>
      <c r="L40" s="22"/>
    </row>
    <row r="41" spans="1:16" x14ac:dyDescent="0.25">
      <c r="A41" s="13"/>
      <c r="B41" s="14" t="str">
        <f t="shared" si="0"/>
        <v/>
      </c>
      <c r="C41" s="13"/>
      <c r="D41" s="15">
        <v>50</v>
      </c>
      <c r="E41" s="16"/>
      <c r="F41" s="21"/>
      <c r="G41" s="18" t="str">
        <f t="shared" si="1"/>
        <v/>
      </c>
      <c r="H41" s="19" t="str">
        <f t="shared" si="2"/>
        <v/>
      </c>
      <c r="I41" s="15">
        <f>10</f>
        <v>10</v>
      </c>
      <c r="J41" s="47" t="str">
        <f>IF(OR(AC!A41:A41="",AC!B41:B41="",AC!C41:C41="",AC!D41:D41="",AC!E41:E41="",AC!F41:F41="",AC!G41:G41="",AC!H41:H41="",AC!I41:I41=""),"",IF(AC!F41:F41&lt;AC!G41:G41,0,((AC!F41:F41-AC!G41:G41)*(AC!H41:H41*AC!D41:D41*1000)/(AC!I41:I41*AC!C41:C41*10))*AC!E41:E41))</f>
        <v/>
      </c>
      <c r="K41" s="21"/>
      <c r="L41" s="22"/>
    </row>
    <row r="42" spans="1:16" x14ac:dyDescent="0.25">
      <c r="A42" s="13"/>
      <c r="B42" s="14" t="str">
        <f t="shared" si="0"/>
        <v/>
      </c>
      <c r="C42" s="13"/>
      <c r="D42" s="15">
        <v>50</v>
      </c>
      <c r="E42" s="16"/>
      <c r="F42" s="21"/>
      <c r="G42" s="18" t="str">
        <f t="shared" si="1"/>
        <v/>
      </c>
      <c r="H42" s="19" t="str">
        <f t="shared" si="2"/>
        <v/>
      </c>
      <c r="I42" s="15">
        <f>10</f>
        <v>10</v>
      </c>
      <c r="J42" s="47" t="str">
        <f>IF(OR(AC!A42:A42="",AC!B42:B42="",AC!C42:C42="",AC!D42:D42="",AC!E42:E42="",AC!F42:F42="",AC!G42:G42="",AC!H42:H42="",AC!I42:I42=""),"",IF(AC!F42:F42&lt;AC!G42:G42,0,((AC!F42:F42-AC!G42:G42)*(AC!H42:H42*AC!D42:D42*1000)/(AC!I42:I42*AC!C42:C42*10))*AC!E42:E42))</f>
        <v/>
      </c>
      <c r="K42" s="21"/>
      <c r="L42" s="22"/>
    </row>
    <row r="43" spans="1:16" x14ac:dyDescent="0.25">
      <c r="A43" s="13"/>
      <c r="B43" s="14" t="str">
        <f t="shared" si="0"/>
        <v/>
      </c>
      <c r="C43" s="13"/>
      <c r="D43" s="15">
        <v>50</v>
      </c>
      <c r="E43" s="16"/>
      <c r="F43" s="21"/>
      <c r="G43" s="18" t="str">
        <f t="shared" si="1"/>
        <v/>
      </c>
      <c r="H43" s="19" t="str">
        <f t="shared" si="2"/>
        <v/>
      </c>
      <c r="I43" s="15">
        <f>10</f>
        <v>10</v>
      </c>
      <c r="J43" s="47" t="str">
        <f>IF(OR(AC!A43:A43="",AC!B43:B43="",AC!C43:C43="",AC!D43:D43="",AC!E43:E43="",AC!F43:F43="",AC!G43:G43="",AC!H43:H43="",AC!I43:I43=""),"",IF(AC!F43:F43&lt;AC!G43:G43,0,((AC!F43:F43-AC!G43:G43)*(AC!H43:H43*AC!D43:D43*1000)/(AC!I43:I43*AC!C43:C43*10))*AC!E43:E43))</f>
        <v/>
      </c>
      <c r="K43" s="21"/>
      <c r="L43" s="22"/>
    </row>
    <row r="44" spans="1:16" x14ac:dyDescent="0.25">
      <c r="A44" s="13"/>
      <c r="B44" s="14" t="str">
        <f t="shared" si="0"/>
        <v/>
      </c>
      <c r="C44" s="13"/>
      <c r="D44" s="15">
        <v>50</v>
      </c>
      <c r="E44" s="16"/>
      <c r="F44" s="21"/>
      <c r="G44" s="18" t="str">
        <f t="shared" si="1"/>
        <v/>
      </c>
      <c r="H44" s="19" t="str">
        <f t="shared" si="2"/>
        <v/>
      </c>
      <c r="I44" s="15">
        <f>10</f>
        <v>10</v>
      </c>
      <c r="J44" s="47" t="str">
        <f>IF(OR(AC!A44:A44="",AC!B44:B44="",AC!C44:C44="",AC!D44:D44="",AC!E44:E44="",AC!F44:F44="",AC!G44:G44="",AC!H44:H44="",AC!I44:I44=""),"",IF(AC!F44:F44&lt;AC!G44:G44,0,((AC!F44:F44-AC!G44:G44)*(AC!H44:H44*AC!D44:D44*1000)/(AC!I44:I44*AC!C44:C44*10))*AC!E44:E44))</f>
        <v/>
      </c>
      <c r="K44" s="21"/>
      <c r="L44" s="22"/>
    </row>
    <row r="45" spans="1:16" x14ac:dyDescent="0.25">
      <c r="A45" s="13"/>
      <c r="B45" s="14" t="str">
        <f t="shared" si="0"/>
        <v/>
      </c>
      <c r="C45" s="13"/>
      <c r="D45" s="15">
        <v>50</v>
      </c>
      <c r="E45" s="16"/>
      <c r="F45" s="21"/>
      <c r="G45" s="18" t="str">
        <f t="shared" si="1"/>
        <v/>
      </c>
      <c r="H45" s="19" t="str">
        <f t="shared" si="2"/>
        <v/>
      </c>
      <c r="I45" s="15">
        <f>10</f>
        <v>10</v>
      </c>
      <c r="J45" s="47" t="str">
        <f>IF(OR(AC!A45:A45="",AC!B45:B45="",AC!C45:C45="",AC!D45:D45="",AC!E45:E45="",AC!F45:F45="",AC!G45:G45="",AC!H45:H45="",AC!I45:I45=""),"",IF(AC!F45:F45&lt;AC!G45:G45,0,((AC!F45:F45-AC!G45:G45)*(AC!H45:H45*AC!D45:D45*1000)/(AC!I45:I45*AC!C45:C45*10))*AC!E45:E45))</f>
        <v/>
      </c>
      <c r="K45" s="21"/>
      <c r="L45" s="22"/>
    </row>
    <row r="46" spans="1:16" x14ac:dyDescent="0.25">
      <c r="A46" s="13"/>
      <c r="B46" s="14" t="str">
        <f t="shared" si="0"/>
        <v/>
      </c>
      <c r="C46" s="13"/>
      <c r="D46" s="15">
        <v>50</v>
      </c>
      <c r="E46" s="16"/>
      <c r="F46" s="21"/>
      <c r="G46" s="18" t="str">
        <f t="shared" si="1"/>
        <v/>
      </c>
      <c r="H46" s="19" t="str">
        <f t="shared" si="2"/>
        <v/>
      </c>
      <c r="I46" s="15">
        <f>10</f>
        <v>10</v>
      </c>
      <c r="J46" s="47" t="str">
        <f>IF(OR(AC!A46:A46="",AC!B46:B46="",AC!C46:C46="",AC!D46:D46="",AC!E46:E46="",AC!F46:F46="",AC!G46:G46="",AC!H46:H46="",AC!I46:I46=""),"",IF(AC!F46:F46&lt;AC!G46:G46,0,((AC!F46:F46-AC!G46:G46)*(AC!H46:H46*AC!D46:D46*1000)/(AC!I46:I46*AC!C46:C46*10))*AC!E46:E46))</f>
        <v/>
      </c>
      <c r="K46" s="21"/>
      <c r="L46" s="22"/>
    </row>
    <row r="47" spans="1:16" x14ac:dyDescent="0.25">
      <c r="A47" s="13"/>
      <c r="B47" s="14" t="str">
        <f t="shared" si="0"/>
        <v/>
      </c>
      <c r="C47" s="13"/>
      <c r="D47" s="15">
        <v>50</v>
      </c>
      <c r="E47" s="16"/>
      <c r="F47" s="21"/>
      <c r="G47" s="18" t="str">
        <f t="shared" si="1"/>
        <v/>
      </c>
      <c r="H47" s="19" t="str">
        <f t="shared" si="2"/>
        <v/>
      </c>
      <c r="I47" s="15">
        <f>10</f>
        <v>10</v>
      </c>
      <c r="J47" s="47" t="str">
        <f>IF(OR(AC!A47:A47="",AC!B47:B47="",AC!C47:C47="",AC!D47:D47="",AC!E47:E47="",AC!F47:F47="",AC!G47:G47="",AC!H47:H47="",AC!I47:I47=""),"",IF(AC!F47:F47&lt;AC!G47:G47,0,((AC!F47:F47-AC!G47:G47)*(AC!H47:H47*AC!D47:D47*1000)/(AC!I47:I47*AC!C47:C47*10))*AC!E47:E47))</f>
        <v/>
      </c>
      <c r="K47" s="21"/>
      <c r="L47" s="22"/>
    </row>
    <row r="48" spans="1:16" x14ac:dyDescent="0.25">
      <c r="A48" s="13"/>
      <c r="B48" s="14" t="str">
        <f t="shared" si="0"/>
        <v/>
      </c>
      <c r="C48" s="13"/>
      <c r="D48" s="15">
        <v>50</v>
      </c>
      <c r="E48" s="16"/>
      <c r="F48" s="21"/>
      <c r="G48" s="18" t="str">
        <f t="shared" si="1"/>
        <v/>
      </c>
      <c r="H48" s="19" t="str">
        <f t="shared" si="2"/>
        <v/>
      </c>
      <c r="I48" s="15">
        <f>10</f>
        <v>10</v>
      </c>
      <c r="J48" s="47" t="str">
        <f>IF(OR(AC!A48:A48="",AC!B48:B48="",AC!C48:C48="",AC!D48:D48="",AC!E48:E48="",AC!F48:F48="",AC!G48:G48="",AC!H48:H48="",AC!I48:I48=""),"",IF(AC!F48:F48&lt;AC!G48:G48,0,((AC!F48:F48-AC!G48:G48)*(AC!H48:H48*AC!D48:D48*1000)/(AC!I48:I48*AC!C48:C48*10))*AC!E48:E48))</f>
        <v/>
      </c>
      <c r="K48" s="21"/>
      <c r="L48" s="22"/>
    </row>
    <row r="49" spans="1:12" x14ac:dyDescent="0.25">
      <c r="A49" s="27"/>
      <c r="B49" s="14" t="str">
        <f t="shared" si="0"/>
        <v/>
      </c>
      <c r="C49" s="13"/>
      <c r="D49" s="15">
        <v>50</v>
      </c>
      <c r="E49" s="16"/>
      <c r="F49" s="21"/>
      <c r="G49" s="18" t="str">
        <f t="shared" si="1"/>
        <v/>
      </c>
      <c r="H49" s="19" t="str">
        <f t="shared" si="2"/>
        <v/>
      </c>
      <c r="I49" s="15">
        <f>10</f>
        <v>10</v>
      </c>
      <c r="J49" s="47" t="str">
        <f>IF(OR(AC!A49:A49="",AC!B49:B49="",AC!C49:C49="",AC!D49:D49="",AC!E49:E49="",AC!F49:F49="",AC!G49:G49="",AC!H49:H49="",AC!I49:I49=""),"",IF(AC!F49:F49&lt;AC!G49:G49,0,((AC!F49:F49-AC!G49:G49)*(AC!H49:H49*AC!D49:D49*1000)/(AC!I49:I49*AC!C49:C49*10))*AC!E49:E49))</f>
        <v/>
      </c>
      <c r="K49" s="21"/>
      <c r="L49" s="22"/>
    </row>
    <row r="50" spans="1:12" x14ac:dyDescent="0.25">
      <c r="A50" s="27"/>
      <c r="B50" s="14" t="str">
        <f t="shared" si="0"/>
        <v/>
      </c>
      <c r="C50" s="13"/>
      <c r="D50" s="15">
        <v>50</v>
      </c>
      <c r="E50" s="16"/>
      <c r="F50" s="21"/>
      <c r="G50" s="18" t="str">
        <f t="shared" si="1"/>
        <v/>
      </c>
      <c r="H50" s="19" t="str">
        <f t="shared" si="2"/>
        <v/>
      </c>
      <c r="I50" s="15">
        <f>10</f>
        <v>10</v>
      </c>
      <c r="J50" s="47" t="str">
        <f>IF(OR(AC!A50:A50="",AC!B50:B50="",AC!C50:C50="",AC!D50:D50="",AC!E50:E50="",AC!F50:F50="",AC!G50:G50="",AC!H50:H50="",AC!I50:I50=""),"",IF(AC!F50:F50&lt;AC!G50:G50,0,((AC!F50:F50-AC!G50:G50)*(AC!H50:H50*AC!D50:D50*1000)/(AC!I50:I50*AC!C50:C50*10))*AC!E50:E50))</f>
        <v/>
      </c>
      <c r="K50" s="21"/>
      <c r="L50" s="22"/>
    </row>
    <row r="51" spans="1:12" x14ac:dyDescent="0.25">
      <c r="A51" s="27"/>
      <c r="B51" s="14" t="str">
        <f t="shared" si="0"/>
        <v/>
      </c>
      <c r="C51" s="13"/>
      <c r="D51" s="15">
        <v>50</v>
      </c>
      <c r="E51" s="16"/>
      <c r="F51" s="21"/>
      <c r="G51" s="18" t="str">
        <f t="shared" si="1"/>
        <v/>
      </c>
      <c r="H51" s="19" t="str">
        <f t="shared" si="2"/>
        <v/>
      </c>
      <c r="I51" s="15">
        <f>10</f>
        <v>10</v>
      </c>
      <c r="J51" s="47" t="str">
        <f>IF(OR(AC!A51:A51="",AC!B51:B51="",AC!C51:C51="",AC!D51:D51="",AC!E51:E51="",AC!F51:F51="",AC!G51:G51="",AC!H51:H51="",AC!I51:I51=""),"",IF(AC!F51:F51&lt;AC!G51:G51,0,((AC!F51:F51-AC!G51:G51)*(AC!H51:H51*AC!D51:D51*1000)/(AC!I51:I51*AC!C51:C51*10))*AC!E51:E51))</f>
        <v/>
      </c>
      <c r="K51" s="21"/>
      <c r="L51" s="22"/>
    </row>
    <row r="52" spans="1:12" x14ac:dyDescent="0.25">
      <c r="A52" s="27"/>
      <c r="B52" s="14" t="str">
        <f t="shared" si="0"/>
        <v/>
      </c>
      <c r="C52" s="13"/>
      <c r="D52" s="15">
        <v>50</v>
      </c>
      <c r="E52" s="16"/>
      <c r="F52" s="21"/>
      <c r="G52" s="18" t="str">
        <f t="shared" si="1"/>
        <v/>
      </c>
      <c r="H52" s="19" t="str">
        <f t="shared" si="2"/>
        <v/>
      </c>
      <c r="I52" s="15">
        <f>10</f>
        <v>10</v>
      </c>
      <c r="J52" s="47" t="str">
        <f>IF(OR(AC!A52:A52="",AC!B52:B52="",AC!C52:C52="",AC!D52:D52="",AC!E52:E52="",AC!F52:F52="",AC!G52:G52="",AC!H52:H52="",AC!I52:I52=""),"",IF(AC!F52:F52&lt;AC!G52:G52,0,((AC!F52:F52-AC!G52:G52)*(AC!H52:H52*AC!D52:D52*1000)/(AC!I52:I52*AC!C52:C52*10))*AC!E52:E52))</f>
        <v/>
      </c>
      <c r="K52" s="21"/>
      <c r="L52" s="22"/>
    </row>
    <row r="53" spans="1:12" x14ac:dyDescent="0.25">
      <c r="A53" s="27"/>
      <c r="B53" s="14" t="str">
        <f t="shared" si="0"/>
        <v/>
      </c>
      <c r="C53" s="13"/>
      <c r="D53" s="15">
        <v>50</v>
      </c>
      <c r="E53" s="16"/>
      <c r="F53" s="21"/>
      <c r="G53" s="18" t="str">
        <f t="shared" si="1"/>
        <v/>
      </c>
      <c r="H53" s="19" t="str">
        <f t="shared" si="2"/>
        <v/>
      </c>
      <c r="I53" s="15">
        <f>10</f>
        <v>10</v>
      </c>
      <c r="J53" s="47" t="str">
        <f>IF(OR(AC!A53:A53="",AC!B53:B53="",AC!C53:C53="",AC!D53:D53="",AC!E53:E53="",AC!F53:F53="",AC!G53:G53="",AC!H53:H53="",AC!I53:I53=""),"",IF(AC!F53:F53&lt;AC!G53:G53,0,((AC!F53:F53-AC!G53:G53)*(AC!H53:H53*AC!D53:D53*1000)/(AC!I53:I53*AC!C53:C53*10))*AC!E53:E53))</f>
        <v/>
      </c>
      <c r="K53" s="21"/>
      <c r="L53" s="22"/>
    </row>
    <row r="54" spans="1:12" x14ac:dyDescent="0.25">
      <c r="A54" s="27"/>
      <c r="B54" s="14" t="str">
        <f t="shared" si="0"/>
        <v/>
      </c>
      <c r="C54" s="13"/>
      <c r="D54" s="15">
        <v>50</v>
      </c>
      <c r="E54" s="16"/>
      <c r="F54" s="21"/>
      <c r="G54" s="18" t="str">
        <f t="shared" si="1"/>
        <v/>
      </c>
      <c r="H54" s="19" t="str">
        <f t="shared" si="2"/>
        <v/>
      </c>
      <c r="I54" s="15">
        <f>10</f>
        <v>10</v>
      </c>
      <c r="J54" s="47" t="str">
        <f>IF(OR(AC!A54:A54="",AC!B54:B54="",AC!C54:C54="",AC!D54:D54="",AC!E54:E54="",AC!F54:F54="",AC!G54:G54="",AC!H54:H54="",AC!I54:I54=""),"",IF(AC!F54:F54&lt;AC!G54:G54,0,((AC!F54:F54-AC!G54:G54)*(AC!H54:H54*AC!D54:D54*1000)/(AC!I54:I54*AC!C54:C54*10))*AC!E54:E54))</f>
        <v/>
      </c>
      <c r="K54" s="21"/>
      <c r="L54" s="22"/>
    </row>
    <row r="55" spans="1:12" x14ac:dyDescent="0.25">
      <c r="A55" s="27"/>
      <c r="B55" s="14" t="str">
        <f t="shared" si="0"/>
        <v/>
      </c>
      <c r="C55" s="13"/>
      <c r="D55" s="15">
        <v>50</v>
      </c>
      <c r="E55" s="16"/>
      <c r="F55" s="21"/>
      <c r="G55" s="18" t="str">
        <f t="shared" si="1"/>
        <v/>
      </c>
      <c r="H55" s="19" t="str">
        <f t="shared" si="2"/>
        <v/>
      </c>
      <c r="I55" s="15">
        <f>10</f>
        <v>10</v>
      </c>
      <c r="J55" s="47" t="str">
        <f>IF(OR(AC!A55:A55="",AC!B55:B55="",AC!C55:C55="",AC!D55:D55="",AC!E55:E55="",AC!F55:F55="",AC!G55:G55="",AC!H55:H55="",AC!I55:I55=""),"",IF(AC!F55:F55&lt;AC!G55:G55,0,((AC!F55:F55-AC!G55:G55)*(AC!H55:H55*AC!D55:D55*1000)/(AC!I55:I55*AC!C55:C55*10))*AC!E55:E55))</f>
        <v/>
      </c>
      <c r="K55" s="21"/>
      <c r="L55" s="22"/>
    </row>
  </sheetData>
  <sheetProtection password="D1D1" sheet="1" objects="1" scenarios="1" formatCells="0" formatColumns="0" formatRows="0"/>
  <customSheetViews>
    <customSheetView guid="{23BAAECA-5738-454B-9A9E-D5E66963DE16}" hiddenColumns="1">
      <selection activeCell="A2" sqref="A2"/>
      <pageMargins left="0.7" right="0.7" top="0.75" bottom="0.75" header="0.3" footer="0.3"/>
      <pageSetup paperSize="9" scale="59" orientation="landscape" horizontalDpi="300" verticalDpi="300" r:id="rId1"/>
      <headerFooter>
        <oddHeader xml:space="preserve">&amp;LLAFIGA&amp;CComplejo de cambio
Acidez de cambio&amp;RPágina 1
</oddHeader>
        <oddFooter>&amp;LESU0701-2</oddFooter>
      </headerFooter>
    </customSheetView>
  </customSheetViews>
  <mergeCells count="18">
    <mergeCell ref="M36:N36"/>
    <mergeCell ref="O36:P36"/>
    <mergeCell ref="M37:N37"/>
    <mergeCell ref="O37:P37"/>
    <mergeCell ref="M38:N38"/>
    <mergeCell ref="O38:P38"/>
    <mergeCell ref="M35:P35"/>
    <mergeCell ref="M15:P15"/>
    <mergeCell ref="M16:N16"/>
    <mergeCell ref="O16:P16"/>
    <mergeCell ref="M17:P17"/>
    <mergeCell ref="M20:N20"/>
    <mergeCell ref="O20:P20"/>
    <mergeCell ref="M21:P21"/>
    <mergeCell ref="N22:O22"/>
    <mergeCell ref="N23:O23"/>
    <mergeCell ref="M31:N31"/>
    <mergeCell ref="O31:P31"/>
  </mergeCells>
  <conditionalFormatting sqref="F2:F55">
    <cfRule type="containsBlanks" priority="13" stopIfTrue="1">
      <formula>LEN(TRIM(F2))=0</formula>
    </cfRule>
    <cfRule type="cellIs" dxfId="16" priority="14" operator="lessThan">
      <formula>$N$29</formula>
    </cfRule>
  </conditionalFormatting>
  <conditionalFormatting sqref="L2:L55">
    <cfRule type="containsText" priority="5" stopIfTrue="1" operator="containsText" text="R">
      <formula>NOT(ISERROR(SEARCH("R",L2)))</formula>
    </cfRule>
    <cfRule type="cellIs" dxfId="15" priority="12" operator="greaterThanOrEqual">
      <formula>6.3</formula>
    </cfRule>
  </conditionalFormatting>
  <conditionalFormatting sqref="C2:C55">
    <cfRule type="containsBlanks" priority="10" stopIfTrue="1">
      <formula>LEN(TRIM(C2))=0</formula>
    </cfRule>
    <cfRule type="cellIs" dxfId="14" priority="11" operator="notBetween">
      <formula>1.95</formula>
      <formula>2.05</formula>
    </cfRule>
  </conditionalFormatting>
  <conditionalFormatting sqref="N23:O23">
    <cfRule type="containsBlanks" priority="7" stopIfTrue="1">
      <formula>LEN(TRIM(N23))=0</formula>
    </cfRule>
    <cfRule type="cellIs" dxfId="13" priority="9" operator="notBetween">
      <formula>-20</formula>
      <formula>20</formula>
    </cfRule>
  </conditionalFormatting>
  <conditionalFormatting sqref="P23">
    <cfRule type="containsBlanks" priority="6" stopIfTrue="1">
      <formula>LEN(TRIM(P23))=0</formula>
    </cfRule>
    <cfRule type="cellIs" dxfId="12" priority="8" operator="notBetween">
      <formula>95</formula>
      <formula>105</formula>
    </cfRule>
  </conditionalFormatting>
  <conditionalFormatting sqref="A2:A55">
    <cfRule type="containsBlanks" priority="1" stopIfTrue="1">
      <formula>LEN(TRIM(A2))=0</formula>
    </cfRule>
    <cfRule type="expression" dxfId="11" priority="4">
      <formula>IF(A2=MATCH("R-"&amp;A2,$A$2:$A$55,0),FALSE,TRUE)</formula>
    </cfRule>
  </conditionalFormatting>
  <conditionalFormatting sqref="J2:J55">
    <cfRule type="containsBlanks" priority="2" stopIfTrue="1">
      <formula>LEN(TRIM(J2))=0</formula>
    </cfRule>
    <cfRule type="expression" dxfId="10" priority="3">
      <formula>IF(A2=MATCH("R-"&amp;A2,$A$2:$A$55,0),FALSE,TRUE)</formula>
    </cfRule>
  </conditionalFormatting>
  <pageMargins left="0.7" right="0.7" top="0.75" bottom="0.75" header="0.3" footer="0.3"/>
  <pageSetup paperSize="9" scale="59" orientation="landscape" horizontalDpi="300" verticalDpi="300" r:id="rId2"/>
  <headerFooter>
    <oddHeader xml:space="preserve">&amp;LLAFIGA&amp;CComplejo de cambio
Acidez de cambio&amp;RPágina 1
</oddHeader>
    <oddFooter>&amp;LESU0701-2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B5F9A-C37A-4FE4-99D8-470C7F044DB5}">
  <sheetPr codeName="Hoja2"/>
  <dimension ref="A1:N55"/>
  <sheetViews>
    <sheetView zoomScaleNormal="100" workbookViewId="0">
      <selection activeCell="A2" sqref="A2"/>
    </sheetView>
  </sheetViews>
  <sheetFormatPr baseColWidth="10" defaultRowHeight="15" x14ac:dyDescent="0.25"/>
  <cols>
    <col min="1" max="1" width="14" style="66" customWidth="1"/>
    <col min="2" max="2" width="14" style="67" hidden="1" customWidth="1"/>
    <col min="3" max="3" width="14.28515625" style="43" customWidth="1"/>
    <col min="4" max="4" width="13.85546875" customWidth="1"/>
    <col min="5" max="5" width="32.28515625" customWidth="1"/>
    <col min="6" max="6" width="19.7109375" bestFit="1" customWidth="1"/>
    <col min="7" max="7" width="17.5703125" customWidth="1"/>
    <col min="8" max="8" width="18.140625" customWidth="1"/>
    <col min="9" max="9" width="21.42578125" customWidth="1"/>
  </cols>
  <sheetData>
    <row r="1" spans="1:14" s="60" customFormat="1" ht="36" x14ac:dyDescent="0.55000000000000004">
      <c r="A1" s="54" t="s">
        <v>0</v>
      </c>
      <c r="B1" s="55" t="s">
        <v>1</v>
      </c>
      <c r="C1" s="56" t="s">
        <v>2</v>
      </c>
      <c r="D1" s="57" t="s">
        <v>45</v>
      </c>
      <c r="E1" s="58" t="s">
        <v>46</v>
      </c>
      <c r="F1" s="59"/>
      <c r="G1" s="59"/>
      <c r="H1" s="59"/>
    </row>
    <row r="2" spans="1:14" ht="14.65" customHeight="1" x14ac:dyDescent="0.25">
      <c r="A2" s="13"/>
      <c r="B2" s="61" t="str">
        <f>IF(OR(A2="",$G$9=""),"",$G$9)</f>
        <v/>
      </c>
      <c r="C2" s="13"/>
      <c r="D2" s="62">
        <v>11</v>
      </c>
      <c r="E2" s="62"/>
    </row>
    <row r="3" spans="1:14" ht="14.65" customHeight="1" x14ac:dyDescent="0.25">
      <c r="A3" s="13"/>
      <c r="B3" s="61" t="str">
        <f t="shared" ref="B3:B55" si="0">IF(OR(A3="",$G$9=""),"",$G$9)</f>
        <v/>
      </c>
      <c r="C3" s="13"/>
      <c r="D3" s="62">
        <v>12</v>
      </c>
      <c r="E3" s="62"/>
    </row>
    <row r="4" spans="1:14" x14ac:dyDescent="0.25">
      <c r="A4" s="13"/>
      <c r="B4" s="61" t="str">
        <f t="shared" si="0"/>
        <v/>
      </c>
      <c r="C4" s="13"/>
      <c r="D4" s="62">
        <v>13</v>
      </c>
      <c r="E4" s="62"/>
    </row>
    <row r="5" spans="1:14" x14ac:dyDescent="0.25">
      <c r="A5" s="13"/>
      <c r="B5" s="61" t="str">
        <f t="shared" si="0"/>
        <v/>
      </c>
      <c r="C5" s="13"/>
      <c r="D5" s="62">
        <v>14</v>
      </c>
      <c r="E5" s="62"/>
    </row>
    <row r="6" spans="1:14" x14ac:dyDescent="0.25">
      <c r="A6" s="13"/>
      <c r="B6" s="61" t="str">
        <f t="shared" si="0"/>
        <v/>
      </c>
      <c r="C6" s="13"/>
      <c r="D6" s="62">
        <v>15</v>
      </c>
      <c r="E6" s="62"/>
    </row>
    <row r="7" spans="1:14" x14ac:dyDescent="0.25">
      <c r="A7" s="13"/>
      <c r="B7" s="61" t="str">
        <f t="shared" si="0"/>
        <v/>
      </c>
      <c r="C7" s="13"/>
      <c r="D7" s="62">
        <v>16</v>
      </c>
      <c r="E7" s="62"/>
    </row>
    <row r="8" spans="1:14" x14ac:dyDescent="0.25">
      <c r="A8" s="13"/>
      <c r="B8" s="61" t="str">
        <f t="shared" si="0"/>
        <v/>
      </c>
      <c r="C8" s="13"/>
      <c r="D8" s="62">
        <v>17</v>
      </c>
      <c r="E8" s="62"/>
      <c r="F8" s="63" t="s">
        <v>13</v>
      </c>
      <c r="G8" s="24" t="s">
        <v>14</v>
      </c>
      <c r="H8" s="24" t="s">
        <v>15</v>
      </c>
      <c r="I8" s="24" t="s">
        <v>16</v>
      </c>
    </row>
    <row r="9" spans="1:14" x14ac:dyDescent="0.25">
      <c r="A9" s="13"/>
      <c r="B9" s="61" t="str">
        <f t="shared" si="0"/>
        <v/>
      </c>
      <c r="C9" s="13"/>
      <c r="D9" s="62">
        <v>18</v>
      </c>
      <c r="E9" s="62"/>
      <c r="F9" s="64" t="s">
        <v>17</v>
      </c>
      <c r="G9" s="26"/>
      <c r="H9" s="27"/>
      <c r="I9" s="27"/>
      <c r="M9" s="65" t="s">
        <v>12</v>
      </c>
      <c r="N9" s="23" t="s">
        <v>12</v>
      </c>
    </row>
    <row r="10" spans="1:14" x14ac:dyDescent="0.25">
      <c r="A10" s="13"/>
      <c r="B10" s="61" t="str">
        <f t="shared" si="0"/>
        <v/>
      </c>
      <c r="C10" s="13"/>
      <c r="D10" s="62">
        <v>19</v>
      </c>
      <c r="E10" s="62"/>
      <c r="F10" s="64" t="s">
        <v>18</v>
      </c>
      <c r="G10" s="26"/>
      <c r="H10" s="27"/>
      <c r="I10" s="27"/>
    </row>
    <row r="11" spans="1:14" x14ac:dyDescent="0.25">
      <c r="A11" s="13"/>
      <c r="B11" s="61" t="str">
        <f t="shared" si="0"/>
        <v/>
      </c>
      <c r="C11" s="13"/>
      <c r="D11" s="62">
        <v>20</v>
      </c>
      <c r="E11" s="62"/>
      <c r="F11" s="64" t="s">
        <v>47</v>
      </c>
      <c r="G11" s="26"/>
      <c r="H11" s="27"/>
      <c r="I11" s="27"/>
    </row>
    <row r="12" spans="1:14" x14ac:dyDescent="0.25">
      <c r="A12" s="13"/>
      <c r="B12" s="61" t="str">
        <f t="shared" si="0"/>
        <v/>
      </c>
      <c r="C12" s="13"/>
      <c r="D12" s="62">
        <v>21</v>
      </c>
      <c r="E12" s="62"/>
      <c r="F12" s="116" t="s">
        <v>20</v>
      </c>
      <c r="G12" s="116"/>
      <c r="H12" s="116"/>
      <c r="I12" s="116"/>
    </row>
    <row r="13" spans="1:14" x14ac:dyDescent="0.25">
      <c r="A13" s="13"/>
      <c r="B13" s="61" t="str">
        <f t="shared" si="0"/>
        <v/>
      </c>
      <c r="C13" s="13"/>
      <c r="D13" s="62">
        <v>22</v>
      </c>
      <c r="E13" s="62"/>
      <c r="F13" s="137" t="s">
        <v>21</v>
      </c>
      <c r="G13" s="118"/>
      <c r="H13" s="119"/>
      <c r="I13" s="120"/>
    </row>
    <row r="14" spans="1:14" x14ac:dyDescent="0.25">
      <c r="A14" s="13"/>
      <c r="B14" s="61" t="str">
        <f t="shared" si="0"/>
        <v/>
      </c>
      <c r="C14" s="13"/>
      <c r="D14" s="62">
        <v>23</v>
      </c>
      <c r="E14" s="62"/>
      <c r="F14" s="116" t="s">
        <v>48</v>
      </c>
      <c r="G14" s="116"/>
      <c r="H14" s="116"/>
      <c r="I14" s="116"/>
    </row>
    <row r="15" spans="1:14" x14ac:dyDescent="0.25">
      <c r="A15" s="13"/>
      <c r="B15" s="61" t="str">
        <f t="shared" si="0"/>
        <v/>
      </c>
      <c r="C15" s="13"/>
      <c r="D15" s="62">
        <v>24</v>
      </c>
      <c r="E15" s="62"/>
      <c r="F15" s="64" t="s">
        <v>23</v>
      </c>
      <c r="G15" s="22"/>
      <c r="H15" s="25" t="s">
        <v>24</v>
      </c>
      <c r="I15" s="25" t="s">
        <v>15</v>
      </c>
    </row>
    <row r="16" spans="1:14" x14ac:dyDescent="0.25">
      <c r="A16" s="13"/>
      <c r="B16" s="61" t="str">
        <f t="shared" si="0"/>
        <v/>
      </c>
      <c r="C16" s="13"/>
      <c r="D16" s="62">
        <v>25</v>
      </c>
      <c r="E16" s="62"/>
      <c r="F16" s="64" t="s">
        <v>25</v>
      </c>
      <c r="G16" s="29"/>
      <c r="H16" s="26"/>
      <c r="I16" s="27"/>
    </row>
    <row r="17" spans="1:9" x14ac:dyDescent="0.25">
      <c r="A17" s="13"/>
      <c r="B17" s="61" t="str">
        <f t="shared" si="0"/>
        <v/>
      </c>
      <c r="C17" s="13"/>
      <c r="D17" s="62">
        <v>26</v>
      </c>
      <c r="E17" s="62"/>
      <c r="F17" s="137" t="s">
        <v>26</v>
      </c>
      <c r="G17" s="118"/>
      <c r="H17" s="121"/>
      <c r="I17" s="122"/>
    </row>
    <row r="18" spans="1:9" x14ac:dyDescent="0.25">
      <c r="A18" s="13"/>
      <c r="B18" s="61" t="str">
        <f t="shared" si="0"/>
        <v/>
      </c>
      <c r="C18" s="13"/>
      <c r="D18" s="62">
        <v>27</v>
      </c>
      <c r="E18" s="62"/>
      <c r="F18" s="124" t="s">
        <v>49</v>
      </c>
      <c r="G18" s="124"/>
      <c r="H18" s="124"/>
      <c r="I18" s="124"/>
    </row>
    <row r="19" spans="1:9" x14ac:dyDescent="0.25">
      <c r="A19" s="13"/>
      <c r="B19" s="61" t="str">
        <f t="shared" si="0"/>
        <v/>
      </c>
      <c r="C19" s="13"/>
      <c r="D19" s="62">
        <v>28</v>
      </c>
      <c r="E19" s="62"/>
      <c r="F19" s="138" t="s">
        <v>50</v>
      </c>
      <c r="G19" s="139"/>
      <c r="H19" s="140"/>
      <c r="I19" s="140"/>
    </row>
    <row r="20" spans="1:9" ht="14.65" customHeight="1" x14ac:dyDescent="0.25">
      <c r="A20" s="13"/>
      <c r="B20" s="61" t="str">
        <f t="shared" si="0"/>
        <v/>
      </c>
      <c r="C20" s="13"/>
      <c r="D20" s="62">
        <v>29</v>
      </c>
      <c r="E20" s="62"/>
      <c r="F20" s="138" t="s">
        <v>51</v>
      </c>
      <c r="G20" s="139"/>
      <c r="H20" s="140"/>
      <c r="I20" s="140"/>
    </row>
    <row r="21" spans="1:9" ht="14.65" customHeight="1" x14ac:dyDescent="0.25">
      <c r="A21" s="13"/>
      <c r="B21" s="61" t="str">
        <f t="shared" si="0"/>
        <v/>
      </c>
      <c r="C21" s="13"/>
      <c r="D21" s="62">
        <v>30</v>
      </c>
      <c r="E21" s="62"/>
      <c r="F21" s="138" t="s">
        <v>52</v>
      </c>
      <c r="G21" s="139"/>
      <c r="H21" s="140"/>
      <c r="I21" s="140"/>
    </row>
    <row r="22" spans="1:9" ht="14.65" customHeight="1" x14ac:dyDescent="0.25">
      <c r="A22" s="13"/>
      <c r="B22" s="61" t="str">
        <f t="shared" si="0"/>
        <v/>
      </c>
      <c r="C22" s="13"/>
      <c r="D22" s="62">
        <v>31</v>
      </c>
      <c r="E22" s="62"/>
      <c r="F22" s="138" t="s">
        <v>53</v>
      </c>
      <c r="G22" s="139"/>
      <c r="H22" s="140"/>
      <c r="I22" s="140"/>
    </row>
    <row r="23" spans="1:9" ht="14.65" customHeight="1" x14ac:dyDescent="0.25">
      <c r="A23" s="13"/>
      <c r="B23" s="61" t="str">
        <f t="shared" si="0"/>
        <v/>
      </c>
      <c r="C23" s="13"/>
      <c r="D23" s="62">
        <v>32</v>
      </c>
      <c r="E23" s="62"/>
      <c r="F23" s="141" t="s">
        <v>54</v>
      </c>
      <c r="G23" s="142"/>
      <c r="H23" s="142"/>
      <c r="I23" s="142"/>
    </row>
    <row r="24" spans="1:9" ht="14.65" customHeight="1" x14ac:dyDescent="0.25">
      <c r="A24" s="13"/>
      <c r="B24" s="61" t="str">
        <f t="shared" si="0"/>
        <v/>
      </c>
      <c r="C24" s="13"/>
      <c r="D24" s="62">
        <v>33</v>
      </c>
      <c r="E24" s="62"/>
      <c r="F24" s="143"/>
      <c r="G24" s="143"/>
      <c r="H24" s="143"/>
      <c r="I24" s="143"/>
    </row>
    <row r="25" spans="1:9" ht="14.65" customHeight="1" x14ac:dyDescent="0.25">
      <c r="A25" s="13"/>
      <c r="B25" s="61" t="str">
        <f t="shared" si="0"/>
        <v/>
      </c>
      <c r="C25" s="13"/>
      <c r="D25" s="62">
        <v>34</v>
      </c>
      <c r="E25" s="62"/>
      <c r="F25" s="143"/>
      <c r="G25" s="143"/>
      <c r="H25" s="143"/>
      <c r="I25" s="143"/>
    </row>
    <row r="26" spans="1:9" x14ac:dyDescent="0.25">
      <c r="A26" s="13"/>
      <c r="B26" s="61" t="str">
        <f t="shared" si="0"/>
        <v/>
      </c>
      <c r="C26" s="13"/>
      <c r="D26" s="62">
        <v>35</v>
      </c>
      <c r="E26" s="62"/>
      <c r="F26" s="138"/>
      <c r="G26" s="139"/>
      <c r="H26" s="139"/>
      <c r="I26" s="139"/>
    </row>
    <row r="27" spans="1:9" ht="14.65" customHeight="1" x14ac:dyDescent="0.25">
      <c r="A27" s="13"/>
      <c r="B27" s="61" t="str">
        <f t="shared" si="0"/>
        <v/>
      </c>
      <c r="C27" s="13"/>
      <c r="D27" s="62">
        <v>36</v>
      </c>
      <c r="E27" s="62"/>
      <c r="F27" s="138"/>
      <c r="G27" s="139"/>
      <c r="H27" s="139"/>
      <c r="I27" s="139"/>
    </row>
    <row r="28" spans="1:9" ht="14.65" customHeight="1" x14ac:dyDescent="0.25">
      <c r="A28" s="13"/>
      <c r="B28" s="61" t="str">
        <f t="shared" si="0"/>
        <v/>
      </c>
      <c r="C28" s="13"/>
      <c r="D28" s="62">
        <v>37</v>
      </c>
      <c r="E28" s="62"/>
      <c r="F28" s="138"/>
      <c r="G28" s="139"/>
      <c r="H28" s="139"/>
      <c r="I28" s="139"/>
    </row>
    <row r="29" spans="1:9" x14ac:dyDescent="0.25">
      <c r="A29" s="13"/>
      <c r="B29" s="61" t="str">
        <f t="shared" si="0"/>
        <v/>
      </c>
      <c r="C29" s="13"/>
      <c r="D29" s="62">
        <v>38</v>
      </c>
      <c r="E29" s="62"/>
      <c r="F29" s="138"/>
      <c r="G29" s="139"/>
      <c r="H29" s="139"/>
      <c r="I29" s="139"/>
    </row>
    <row r="30" spans="1:9" x14ac:dyDescent="0.25">
      <c r="A30" s="13"/>
      <c r="B30" s="61" t="str">
        <f t="shared" si="0"/>
        <v/>
      </c>
      <c r="C30" s="13"/>
      <c r="D30" s="62">
        <v>39</v>
      </c>
      <c r="E30" s="62"/>
      <c r="F30" s="138"/>
      <c r="G30" s="139"/>
      <c r="H30" s="139"/>
      <c r="I30" s="139"/>
    </row>
    <row r="31" spans="1:9" x14ac:dyDescent="0.25">
      <c r="A31" s="13"/>
      <c r="B31" s="61" t="str">
        <f t="shared" si="0"/>
        <v/>
      </c>
      <c r="C31" s="13"/>
      <c r="D31" s="62">
        <v>40</v>
      </c>
      <c r="E31" s="62"/>
      <c r="F31" s="138"/>
      <c r="G31" s="139"/>
      <c r="H31" s="139"/>
      <c r="I31" s="139"/>
    </row>
    <row r="32" spans="1:9" x14ac:dyDescent="0.25">
      <c r="A32" s="13"/>
      <c r="B32" s="61" t="str">
        <f t="shared" si="0"/>
        <v/>
      </c>
      <c r="C32" s="13"/>
      <c r="D32" s="62">
        <v>41</v>
      </c>
      <c r="E32" s="62"/>
      <c r="F32" s="138"/>
      <c r="G32" s="139"/>
      <c r="H32" s="139"/>
      <c r="I32" s="139"/>
    </row>
    <row r="33" spans="1:9" x14ac:dyDescent="0.25">
      <c r="A33" s="13"/>
      <c r="B33" s="61" t="str">
        <f t="shared" si="0"/>
        <v/>
      </c>
      <c r="C33" s="13"/>
      <c r="D33" s="62">
        <v>42</v>
      </c>
      <c r="E33" s="62"/>
      <c r="F33" s="138"/>
      <c r="G33" s="139"/>
      <c r="H33" s="139"/>
      <c r="I33" s="139"/>
    </row>
    <row r="34" spans="1:9" x14ac:dyDescent="0.25">
      <c r="A34" s="13"/>
      <c r="B34" s="61" t="str">
        <f t="shared" si="0"/>
        <v/>
      </c>
      <c r="C34" s="13"/>
      <c r="D34" s="62">
        <v>43</v>
      </c>
      <c r="E34" s="62"/>
      <c r="F34" s="138"/>
      <c r="G34" s="139"/>
      <c r="H34" s="139"/>
      <c r="I34" s="139"/>
    </row>
    <row r="35" spans="1:9" x14ac:dyDescent="0.25">
      <c r="A35" s="13"/>
      <c r="B35" s="61" t="str">
        <f t="shared" si="0"/>
        <v/>
      </c>
      <c r="C35" s="13"/>
      <c r="D35" s="62">
        <v>44</v>
      </c>
      <c r="E35" s="62"/>
      <c r="F35" s="138"/>
      <c r="G35" s="139"/>
      <c r="H35" s="139"/>
      <c r="I35" s="139"/>
    </row>
    <row r="36" spans="1:9" x14ac:dyDescent="0.25">
      <c r="A36" s="13"/>
      <c r="B36" s="61" t="str">
        <f t="shared" si="0"/>
        <v/>
      </c>
      <c r="C36" s="13"/>
      <c r="D36" s="62">
        <v>45</v>
      </c>
      <c r="E36" s="62"/>
      <c r="F36" s="138"/>
      <c r="G36" s="139"/>
      <c r="H36" s="139"/>
      <c r="I36" s="139"/>
    </row>
    <row r="37" spans="1:9" x14ac:dyDescent="0.25">
      <c r="A37" s="13"/>
      <c r="B37" s="61" t="str">
        <f t="shared" si="0"/>
        <v/>
      </c>
      <c r="C37" s="13"/>
      <c r="D37" s="62">
        <v>46</v>
      </c>
      <c r="E37" s="62"/>
      <c r="F37" s="138"/>
      <c r="G37" s="139"/>
      <c r="H37" s="139"/>
      <c r="I37" s="139"/>
    </row>
    <row r="38" spans="1:9" x14ac:dyDescent="0.25">
      <c r="A38" s="13"/>
      <c r="B38" s="61" t="str">
        <f t="shared" si="0"/>
        <v/>
      </c>
      <c r="C38" s="13"/>
      <c r="D38" s="62">
        <v>47</v>
      </c>
      <c r="E38" s="62"/>
      <c r="F38" s="138"/>
      <c r="G38" s="139"/>
      <c r="H38" s="139"/>
      <c r="I38" s="139"/>
    </row>
    <row r="39" spans="1:9" x14ac:dyDescent="0.25">
      <c r="A39" s="13"/>
      <c r="B39" s="61" t="str">
        <f t="shared" si="0"/>
        <v/>
      </c>
      <c r="C39" s="13"/>
      <c r="D39" s="62">
        <v>48</v>
      </c>
      <c r="E39" s="62"/>
      <c r="F39" s="138"/>
      <c r="G39" s="139"/>
      <c r="H39" s="139"/>
      <c r="I39" s="139"/>
    </row>
    <row r="40" spans="1:9" x14ac:dyDescent="0.25">
      <c r="A40" s="13"/>
      <c r="B40" s="61" t="str">
        <f t="shared" si="0"/>
        <v/>
      </c>
      <c r="C40" s="13"/>
      <c r="D40" s="62">
        <v>49</v>
      </c>
      <c r="E40" s="62"/>
      <c r="F40" s="138"/>
      <c r="G40" s="139"/>
      <c r="H40" s="139"/>
      <c r="I40" s="139"/>
    </row>
    <row r="41" spans="1:9" x14ac:dyDescent="0.25">
      <c r="A41" s="13"/>
      <c r="B41" s="61" t="str">
        <f t="shared" si="0"/>
        <v/>
      </c>
      <c r="C41" s="13"/>
      <c r="D41" s="62">
        <v>50</v>
      </c>
      <c r="E41" s="62"/>
      <c r="F41" s="138"/>
      <c r="G41" s="139"/>
      <c r="H41" s="139"/>
      <c r="I41" s="139"/>
    </row>
    <row r="42" spans="1:9" x14ac:dyDescent="0.25">
      <c r="A42" s="13"/>
      <c r="B42" s="61" t="str">
        <f t="shared" si="0"/>
        <v/>
      </c>
      <c r="C42" s="13"/>
      <c r="D42" s="62">
        <v>51</v>
      </c>
      <c r="E42" s="62"/>
    </row>
    <row r="43" spans="1:9" x14ac:dyDescent="0.25">
      <c r="A43" s="13"/>
      <c r="B43" s="61" t="str">
        <f t="shared" si="0"/>
        <v/>
      </c>
      <c r="C43" s="13"/>
      <c r="D43" s="62">
        <v>52</v>
      </c>
      <c r="E43" s="62"/>
    </row>
    <row r="44" spans="1:9" x14ac:dyDescent="0.25">
      <c r="A44" s="27"/>
      <c r="B44" s="61" t="str">
        <f t="shared" si="0"/>
        <v/>
      </c>
      <c r="C44" s="13"/>
      <c r="D44" s="62">
        <v>53</v>
      </c>
      <c r="E44" s="62"/>
    </row>
    <row r="45" spans="1:9" x14ac:dyDescent="0.25">
      <c r="A45" s="27"/>
      <c r="B45" s="61" t="str">
        <f t="shared" si="0"/>
        <v/>
      </c>
      <c r="C45" s="13"/>
      <c r="D45" s="62">
        <v>54</v>
      </c>
      <c r="E45" s="62"/>
    </row>
    <row r="46" spans="1:9" x14ac:dyDescent="0.25">
      <c r="A46" s="27"/>
      <c r="B46" s="61" t="str">
        <f t="shared" si="0"/>
        <v/>
      </c>
      <c r="C46" s="13"/>
      <c r="D46" s="62">
        <v>55</v>
      </c>
      <c r="E46" s="62"/>
    </row>
    <row r="47" spans="1:9" x14ac:dyDescent="0.25">
      <c r="A47" s="27"/>
      <c r="B47" s="61" t="str">
        <f t="shared" si="0"/>
        <v/>
      </c>
      <c r="C47" s="13"/>
      <c r="D47" s="62">
        <v>56</v>
      </c>
      <c r="E47" s="62"/>
    </row>
    <row r="48" spans="1:9" x14ac:dyDescent="0.25">
      <c r="A48" s="27"/>
      <c r="B48" s="61" t="str">
        <f t="shared" si="0"/>
        <v/>
      </c>
      <c r="C48" s="13"/>
      <c r="D48" s="62">
        <v>57</v>
      </c>
      <c r="E48" s="62"/>
    </row>
    <row r="49" spans="1:5" x14ac:dyDescent="0.25">
      <c r="A49" s="13"/>
      <c r="B49" s="61" t="str">
        <f t="shared" si="0"/>
        <v/>
      </c>
      <c r="C49" s="13"/>
      <c r="D49" s="62">
        <v>58</v>
      </c>
      <c r="E49" s="62"/>
    </row>
    <row r="50" spans="1:5" x14ac:dyDescent="0.25">
      <c r="A50" s="13"/>
      <c r="B50" s="61" t="str">
        <f t="shared" si="0"/>
        <v/>
      </c>
      <c r="C50" s="13"/>
      <c r="D50" s="62">
        <v>59</v>
      </c>
      <c r="E50" s="62"/>
    </row>
    <row r="51" spans="1:5" x14ac:dyDescent="0.25">
      <c r="A51" s="13"/>
      <c r="B51" s="61" t="str">
        <f t="shared" si="0"/>
        <v/>
      </c>
      <c r="C51" s="13"/>
      <c r="D51" s="62">
        <v>60</v>
      </c>
      <c r="E51" s="62"/>
    </row>
    <row r="52" spans="1:5" x14ac:dyDescent="0.25">
      <c r="A52" s="13"/>
      <c r="B52" s="61" t="str">
        <f t="shared" si="0"/>
        <v/>
      </c>
      <c r="C52" s="13"/>
      <c r="D52" s="62">
        <v>61</v>
      </c>
      <c r="E52" s="62"/>
    </row>
    <row r="53" spans="1:5" x14ac:dyDescent="0.25">
      <c r="A53" s="13"/>
      <c r="B53" s="61" t="str">
        <f t="shared" si="0"/>
        <v/>
      </c>
      <c r="C53" s="13"/>
      <c r="D53" s="62">
        <v>62</v>
      </c>
      <c r="E53" s="62"/>
    </row>
    <row r="54" spans="1:5" x14ac:dyDescent="0.25">
      <c r="A54" s="13"/>
      <c r="B54" s="61" t="str">
        <f t="shared" si="0"/>
        <v/>
      </c>
      <c r="C54" s="13"/>
      <c r="D54" s="62">
        <v>63</v>
      </c>
      <c r="E54" s="62"/>
    </row>
    <row r="55" spans="1:5" x14ac:dyDescent="0.25">
      <c r="A55" s="13"/>
      <c r="B55" s="61" t="str">
        <f t="shared" si="0"/>
        <v/>
      </c>
      <c r="C55" s="13"/>
      <c r="D55" s="62">
        <v>64</v>
      </c>
      <c r="E55" s="62"/>
    </row>
  </sheetData>
  <sheetProtection password="D1D1" sheet="1" objects="1" scenarios="1" formatCells="0" formatColumns="0" formatRows="0"/>
  <customSheetViews>
    <customSheetView guid="{23BAAECA-5738-454B-9A9E-D5E66963DE16}" hiddenColumns="1">
      <selection activeCell="A2" sqref="A2"/>
      <pageMargins left="0.7" right="0.7" top="0.75" bottom="0.75" header="0.3" footer="0.3"/>
      <pageSetup paperSize="9" scale="59" orientation="landscape" r:id="rId1"/>
      <headerFooter>
        <oddHeader>&amp;L&amp;"-,Negrita"&amp;24LAFIGA&amp;C&amp;"-,Negrita"DETERMINACIÓN DE SODIO, POTASIO, CALCIO Y MAGNESIO EXTRAÍDO POR ACETATO AMÓNICO 
MÉTODO DE EMISIÓN (ICP)
PE/LAFIGA/SU06
&amp;R&amp;"-,Negrita"Página 1</oddHeader>
        <oddFooter>&amp;LESU0601-6</oddFooter>
      </headerFooter>
    </customSheetView>
  </customSheetViews>
  <mergeCells count="17">
    <mergeCell ref="F22:G22"/>
    <mergeCell ref="H22:I22"/>
    <mergeCell ref="F23:I25"/>
    <mergeCell ref="F26:I41"/>
    <mergeCell ref="F18:I18"/>
    <mergeCell ref="F19:G19"/>
    <mergeCell ref="H19:I19"/>
    <mergeCell ref="F20:G20"/>
    <mergeCell ref="H20:I20"/>
    <mergeCell ref="F21:G21"/>
    <mergeCell ref="H21:I21"/>
    <mergeCell ref="F12:I12"/>
    <mergeCell ref="F13:G13"/>
    <mergeCell ref="H13:I13"/>
    <mergeCell ref="F14:I14"/>
    <mergeCell ref="F17:G17"/>
    <mergeCell ref="H17:I17"/>
  </mergeCells>
  <conditionalFormatting sqref="C2:C55">
    <cfRule type="containsBlanks" priority="3" stopIfTrue="1">
      <formula>LEN(TRIM(C2))=0</formula>
    </cfRule>
    <cfRule type="cellIs" dxfId="9" priority="4" operator="notBetween">
      <formula>1.95</formula>
      <formula>2.05</formula>
    </cfRule>
  </conditionalFormatting>
  <conditionalFormatting sqref="A2:A55">
    <cfRule type="containsBlanks" priority="1" stopIfTrue="1">
      <formula>LEN(TRIM(A2))=0</formula>
    </cfRule>
    <cfRule type="expression" dxfId="8" priority="2">
      <formula>IF(A2=MATCH("R-"&amp;A2,$A$2:$A$55,0),FALSE,TRUE)</formula>
    </cfRule>
  </conditionalFormatting>
  <pageMargins left="0.7" right="0.7" top="0.75" bottom="0.75" header="0.3" footer="0.3"/>
  <pageSetup paperSize="9" scale="59" orientation="landscape" r:id="rId2"/>
  <headerFooter>
    <oddHeader>&amp;L&amp;"-,Negrita"&amp;24LAFIGA&amp;C&amp;"-,Negrita"DETERMINACIÓN DE SODIO, POTASIO, CALCIO Y MAGNESIO EXTRAÍDO POR ACETATO AMÓNICO 
MÉTODO DE EMISIÓN (ICP)
PE/LAFIGA/SU06
&amp;R&amp;"-,Negrita"Página 1</oddHeader>
    <oddFooter>&amp;LESU0601-6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C581-6586-4260-B713-21E727C861C2}">
  <sheetPr codeName="Hoja3"/>
  <dimension ref="A1:AX55"/>
  <sheetViews>
    <sheetView zoomScaleNormal="100" workbookViewId="0">
      <selection activeCell="A2" sqref="A2"/>
    </sheetView>
  </sheetViews>
  <sheetFormatPr baseColWidth="10" defaultColWidth="11.42578125" defaultRowHeight="15" x14ac:dyDescent="0.25"/>
  <cols>
    <col min="1" max="1" width="14" style="81" customWidth="1"/>
    <col min="2" max="2" width="14" style="82" customWidth="1"/>
    <col min="3" max="3" width="14.28515625" style="83" customWidth="1"/>
    <col min="4" max="4" width="8.7109375" style="84" customWidth="1"/>
    <col min="5" max="5" width="8.85546875" style="85" customWidth="1"/>
    <col min="6" max="9" width="10.7109375" style="43" customWidth="1"/>
    <col min="10" max="25" width="7.7109375" style="83" customWidth="1"/>
    <col min="26" max="26" width="7.7109375" style="43" customWidth="1"/>
    <col min="27" max="27" width="7.7109375" style="84" customWidth="1"/>
    <col min="28" max="28" width="14.140625" style="51" customWidth="1"/>
    <col min="29" max="29" width="7.7109375" style="43" customWidth="1"/>
    <col min="30" max="30" width="7.7109375" style="84" customWidth="1"/>
    <col min="31" max="31" width="13.42578125" style="51" bestFit="1" customWidth="1"/>
    <col min="32" max="32" width="12" style="49" customWidth="1"/>
    <col min="33" max="33" width="7.7109375" style="43" customWidth="1"/>
    <col min="34" max="34" width="7.7109375" style="84" customWidth="1"/>
    <col min="35" max="35" width="13.28515625" style="51" customWidth="1"/>
    <col min="36" max="36" width="7.7109375" style="43" customWidth="1"/>
    <col min="37" max="37" width="7.7109375" style="84" customWidth="1"/>
    <col min="38" max="38" width="13.42578125" style="51" bestFit="1" customWidth="1"/>
    <col min="39" max="40" width="13.42578125" style="51" customWidth="1"/>
    <col min="41" max="41" width="13.42578125" style="53" customWidth="1"/>
    <col min="42" max="42" width="13.42578125" style="51" customWidth="1"/>
    <col min="43" max="43" width="11.42578125" style="51"/>
    <col min="44" max="44" width="11.42578125" style="49"/>
    <col min="45" max="50" width="6.42578125" style="48" customWidth="1"/>
    <col min="51" max="16384" width="11.42578125" style="12"/>
  </cols>
  <sheetData>
    <row r="1" spans="1:50" s="74" customFormat="1" ht="45" customHeight="1" x14ac:dyDescent="0.25">
      <c r="A1" s="68" t="s">
        <v>0</v>
      </c>
      <c r="B1" s="2" t="s">
        <v>1</v>
      </c>
      <c r="C1" s="3" t="s">
        <v>2</v>
      </c>
      <c r="D1" s="4" t="s">
        <v>3</v>
      </c>
      <c r="E1" s="69" t="s">
        <v>4</v>
      </c>
      <c r="F1" s="3" t="s">
        <v>55</v>
      </c>
      <c r="G1" s="3" t="s">
        <v>56</v>
      </c>
      <c r="H1" s="3" t="s">
        <v>57</v>
      </c>
      <c r="I1" s="3" t="s">
        <v>58</v>
      </c>
      <c r="J1" s="3" t="s">
        <v>59</v>
      </c>
      <c r="K1" s="3" t="s">
        <v>60</v>
      </c>
      <c r="L1" s="3" t="s">
        <v>61</v>
      </c>
      <c r="M1" s="3" t="s">
        <v>62</v>
      </c>
      <c r="N1" s="3" t="s">
        <v>63</v>
      </c>
      <c r="O1" s="3" t="s">
        <v>64</v>
      </c>
      <c r="P1" s="3" t="s">
        <v>65</v>
      </c>
      <c r="Q1" s="3" t="s">
        <v>66</v>
      </c>
      <c r="R1" s="3" t="s">
        <v>67</v>
      </c>
      <c r="S1" s="3" t="s">
        <v>68</v>
      </c>
      <c r="T1" s="3" t="s">
        <v>69</v>
      </c>
      <c r="U1" s="3" t="s">
        <v>70</v>
      </c>
      <c r="V1" s="3" t="s">
        <v>71</v>
      </c>
      <c r="W1" s="3" t="s">
        <v>72</v>
      </c>
      <c r="X1" s="3" t="s">
        <v>73</v>
      </c>
      <c r="Y1" s="3" t="s">
        <v>74</v>
      </c>
      <c r="Z1" s="3" t="s">
        <v>75</v>
      </c>
      <c r="AA1" s="4" t="s">
        <v>76</v>
      </c>
      <c r="AB1" s="6" t="s">
        <v>77</v>
      </c>
      <c r="AC1" s="3" t="s">
        <v>78</v>
      </c>
      <c r="AD1" s="4" t="s">
        <v>79</v>
      </c>
      <c r="AE1" s="6" t="s">
        <v>80</v>
      </c>
      <c r="AF1" s="4" t="s">
        <v>81</v>
      </c>
      <c r="AG1" s="3" t="s">
        <v>82</v>
      </c>
      <c r="AH1" s="4" t="s">
        <v>83</v>
      </c>
      <c r="AI1" s="6" t="s">
        <v>84</v>
      </c>
      <c r="AJ1" s="3" t="s">
        <v>85</v>
      </c>
      <c r="AK1" s="4" t="s">
        <v>86</v>
      </c>
      <c r="AL1" s="6" t="s">
        <v>87</v>
      </c>
      <c r="AM1" s="6" t="s">
        <v>88</v>
      </c>
      <c r="AN1" s="6" t="s">
        <v>89</v>
      </c>
      <c r="AO1" s="70" t="s">
        <v>90</v>
      </c>
      <c r="AP1" s="6" t="s">
        <v>91</v>
      </c>
      <c r="AQ1" s="6" t="s">
        <v>92</v>
      </c>
      <c r="AR1" s="4" t="s">
        <v>93</v>
      </c>
      <c r="AS1" s="71" t="s">
        <v>94</v>
      </c>
      <c r="AT1" s="71" t="s">
        <v>95</v>
      </c>
      <c r="AU1" s="72" t="s">
        <v>96</v>
      </c>
      <c r="AV1" s="72" t="s">
        <v>97</v>
      </c>
      <c r="AW1" s="72" t="s">
        <v>98</v>
      </c>
      <c r="AX1" s="73" t="s">
        <v>99</v>
      </c>
    </row>
    <row r="2" spans="1:50" x14ac:dyDescent="0.25">
      <c r="A2" s="75" t="str">
        <f>IF('Pesada Macros'!A2="","",'Pesada Macros'!A2)</f>
        <v/>
      </c>
      <c r="B2" s="76" t="str">
        <f>IF('Pesada Macros'!B2="","",'Pesada Macros'!B2)</f>
        <v/>
      </c>
      <c r="C2" s="77" t="str">
        <f>IF('Pesada Macros'!C2="","",VALUE('Pesada Macros'!C2))</f>
        <v/>
      </c>
      <c r="D2" s="15">
        <f>50</f>
        <v>50</v>
      </c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78" t="str">
        <f>IF(AND(MACROS!$J2="",MACROS!$K2="",MACROS!$L2="",MACROS!$M2=""),"",AVERAGE(MACROS!$J2,MACROS!$K2,MACROS!$L2,MACROS!$M2))</f>
        <v/>
      </c>
      <c r="AA2" s="15">
        <f>1</f>
        <v>1</v>
      </c>
      <c r="AB2" s="79" t="str">
        <f>IF(OR(MACROS!$A2="",MACROS!$B2="",MACROS!$C2="",MACROS!$D2="",MACROS!$E2="",MACROS!$F2="",MACROS!$Z2="",MACROS!$AA2=""),"",((MACROS!$F2-MACROS!$Z2)*MACROS!$AA2*(1/10000)*(1/22.99)*MACROS!$D2*(1/MACROS!$C2)*MACROS!$E2*1000))</f>
        <v/>
      </c>
      <c r="AC2" s="78" t="str">
        <f>IF(AND(MACROS!$N2="",MACROS!$O2="",MACROS!$P2="",MACROS!$Q2=""),"",AVERAGE(MACROS!$N2,MACROS!$O2,MACROS!$P2,MACROS!$Q2))</f>
        <v/>
      </c>
      <c r="AD2" s="15">
        <f>1</f>
        <v>1</v>
      </c>
      <c r="AE2" s="79" t="str">
        <f>IF(OR(MACROS!$A2="",MACROS!$B2="",MACROS!$C2="",MACROS!$D2="",MACROS!$E2="",MACROS!$G2="",MACROS!$AC2="",MACROS!$AD2=""),"",((MACROS!$G2-MACROS!$AC2)*MACROS!$AD2*(1/10000)*(1/39.098)*MACROS!$D2*(1/MACROS!$C2)*MACROS!$E2*1000))</f>
        <v/>
      </c>
      <c r="AF2" s="80" t="str">
        <f>IF(MACROS!$AE2="","",MACROS!$AE2*391)</f>
        <v/>
      </c>
      <c r="AG2" s="78" t="str">
        <f>IF(AND(MACROS!$R2="",MACROS!$S2="",MACROS!$T2="",MACROS!$U2=""),"",AVERAGE(MACROS!$R2,MACROS!$S2,MACROS!$T2,MACROS!$U2))</f>
        <v/>
      </c>
      <c r="AH2" s="15">
        <f>1</f>
        <v>1</v>
      </c>
      <c r="AI2" s="79" t="str">
        <f>IF(OR(MACROS!$A2="",MACROS!$B2="",MACROS!$C2="",MACROS!$D2="",MACROS!$E2="",MACROS!$H2="",MACROS!$AG2="",MACROS!$AH2=""),"",((MACROS!$H2-MACROS!$AG2)*MACROS!$AH2*(1/10000)*(1/20.04)*MACROS!$D2*(1/MACROS!$C2)*MACROS!$E2*1000))</f>
        <v/>
      </c>
      <c r="AJ2" s="78" t="str">
        <f>IF(AND(MACROS!$V2="",MACROS!$W2="",MACROS!$X2="",MACROS!$Y2=""),"",AVERAGE(MACROS!$V2,MACROS!$W2,MACROS!$X2,MACROS!$Y2))</f>
        <v/>
      </c>
      <c r="AK2" s="15">
        <f>1</f>
        <v>1</v>
      </c>
      <c r="AL2" s="79" t="str">
        <f>IF(OR(MACROS!$A2="",MACROS!$B2="",MACROS!$C2="",MACROS!$D2="",MACROS!$E2="",MACROS!$I2="",MACROS!$AJ2="",MACROS!$AK2=""),"",((MACROS!$I2-MACROS!$AJ2)*MACROS!$AK2*(1/10000)*(1/12.1525)*MACROS!$D2*(1/MACROS!$C2)*MACROS!$E2*1000))</f>
        <v/>
      </c>
      <c r="AM2" s="79" t="str">
        <f>IF(OR(MACROS!$AE2="",MACROS!$AL2=""),"",MACROS!$AE2/MACROS!$AL2)</f>
        <v/>
      </c>
      <c r="AN2" s="79" t="str">
        <f>IF(OR(MACROS!$AI2="",MACROS!$AL2=""),"",MACROS!$AI2/MACROS!$AL2)</f>
        <v/>
      </c>
      <c r="AO2" s="20" t="str">
        <f>IF(MACROS!$A2="","",IF(ISNUMBER(VLOOKUP(MACROS!$A2,AC!A:J,10,FALSE)),VLOOKUP(MACROS!$A2,AC!A:J,10,FALSE),""))</f>
        <v/>
      </c>
      <c r="AP2" s="79" t="str">
        <f>IF(OR(MACROS!$AB2="",MACROS!$AE2="",MACROS!$AI2="",MACROS!$AL2="",MACROS!$AO2=""),"",SUM(MACROS!$AB2,MACROS!$AE2,MACROS!$AI2,MACROS!$AL2,MACROS!$AO2))</f>
        <v/>
      </c>
      <c r="AQ2" s="79" t="str">
        <f>IF(OR(MACROS!$AO2="",MACROS!$AP2=""),"",MACROS!$AO2/MACROS!$AP2*100)</f>
        <v/>
      </c>
      <c r="AR2" s="80" t="str">
        <f>IF(MACROS!$AQ2="","",IF(MACROS!$AW2+(MACROS!$AQ2-MACROS!$AU2)/(MACROS!$AV2-MACROS!$AU2)*(MACROS!$AX2-MACROS!$AW2)&gt;MAX(Interpolación!$C$2:$C$13),Interpolación!$C$13,CEILING(MACROS!$AW2+(MACROS!$AQ2-MACROS!$AU2)/(MACROS!$AV2-MACROS!$AU2)*(MACROS!$AX2-MACROS!$AW2),100)))</f>
        <v/>
      </c>
      <c r="AS2" s="80" t="str">
        <f>IF(MACROS!$AQ2="","",IF(ISNA(MATCH(MACROS!$AQ2,Interpolación!$B$2:$B$13,1)),Interpolación!$A$2,MIN(MATCH(MACROS!$AQ2,Interpolación!$B$2:$B$13,1),Interpolación!$A$13-1)))</f>
        <v/>
      </c>
      <c r="AT2" s="80" t="str">
        <f>IF(MACROS!$AS2="","",MACROS!$AS2+1)</f>
        <v/>
      </c>
      <c r="AU2" s="80" t="str">
        <f>IF(MACROS!$AS2="","",INDEX(Interpolación!$B$2:$B$13,MACROS!$AS2))</f>
        <v/>
      </c>
      <c r="AV2" s="80" t="str">
        <f>IF(MACROS!$AT2="","",INDEX(Interpolación!$B$2:$B$13,MACROS!$AT2))</f>
        <v/>
      </c>
      <c r="AW2" s="80" t="str">
        <f>IF(MACROS!$AS2="","",INDEX(Interpolación!$C$2:$C$13,MACROS!$AS2))</f>
        <v/>
      </c>
      <c r="AX2" s="80" t="str">
        <f>IF(MACROS!$AT2="","",INDEX(Interpolación!$C$2:$C$13,MACROS!$AT2))</f>
        <v/>
      </c>
    </row>
    <row r="3" spans="1:50" x14ac:dyDescent="0.25">
      <c r="A3" s="75" t="str">
        <f>IF('Pesada Macros'!A3="","",'Pesada Macros'!A3)</f>
        <v/>
      </c>
      <c r="B3" s="76" t="str">
        <f>IF('Pesada Macros'!B3="","",'Pesada Macros'!B3)</f>
        <v/>
      </c>
      <c r="C3" s="77" t="str">
        <f>IF('Pesada Macros'!C3="","",VALUE('Pesada Macros'!C3))</f>
        <v/>
      </c>
      <c r="D3" s="15">
        <f>50</f>
        <v>50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78" t="str">
        <f>IF(AND(MACROS!$J3="",MACROS!$K3="",MACROS!$L3="",MACROS!$M3=""),"",AVERAGE(MACROS!$J3,MACROS!$K3,MACROS!$L3,MACROS!$M3))</f>
        <v/>
      </c>
      <c r="AA3" s="15">
        <f>1</f>
        <v>1</v>
      </c>
      <c r="AB3" s="79" t="str">
        <f>IF(OR(MACROS!$A3="",MACROS!$B3="",MACROS!$C3="",MACROS!$D3="",MACROS!$E3="",MACROS!$F3="",MACROS!$Z3="",MACROS!$AA3=""),"",((MACROS!$F3-MACROS!$Z3)*MACROS!$AA3*(1/10000)*(1/22.99)*MACROS!$D3*(1/MACROS!$C3)*MACROS!$E3*1000))</f>
        <v/>
      </c>
      <c r="AC3" s="78" t="str">
        <f>IF(AND(MACROS!$N3="",MACROS!$O3="",MACROS!$P3="",MACROS!$Q3=""),"",AVERAGE(MACROS!$N3,MACROS!$O3,MACROS!$P3,MACROS!$Q3))</f>
        <v/>
      </c>
      <c r="AD3" s="15">
        <f>1</f>
        <v>1</v>
      </c>
      <c r="AE3" s="79" t="str">
        <f>IF(OR(MACROS!$A3="",MACROS!$B3="",MACROS!$C3="",MACROS!$D3="",MACROS!$E3="",MACROS!$G3="",MACROS!$AC3="",MACROS!$AD3=""),"",((MACROS!$G3-MACROS!$AC3)*MACROS!$AD3*(1/10000)*(1/39.098)*MACROS!$D3*(1/MACROS!$C3)*MACROS!$E3*1000))</f>
        <v/>
      </c>
      <c r="AF3" s="80" t="str">
        <f>IF(MACROS!$AE3="","",MACROS!$AE3*391)</f>
        <v/>
      </c>
      <c r="AG3" s="78" t="str">
        <f>IF(AND(MACROS!$R3="",MACROS!$S3="",MACROS!$T3="",MACROS!$U3=""),"",AVERAGE(MACROS!$R3,MACROS!$S3,MACROS!$T3,MACROS!$U3))</f>
        <v/>
      </c>
      <c r="AH3" s="15">
        <f>1</f>
        <v>1</v>
      </c>
      <c r="AI3" s="79" t="str">
        <f>IF(OR(MACROS!$A3="",MACROS!$B3="",MACROS!$C3="",MACROS!$D3="",MACROS!$E3="",MACROS!$H3="",MACROS!$AG3="",MACROS!$AH3=""),"",((MACROS!$H3-MACROS!$AG3)*MACROS!$AH3*(1/10000)*(1/20.04)*MACROS!$D3*(1/MACROS!$C3)*MACROS!$E3*1000))</f>
        <v/>
      </c>
      <c r="AJ3" s="78" t="str">
        <f>IF(AND(MACROS!$V3="",MACROS!$W3="",MACROS!$X3="",MACROS!$Y3=""),"",AVERAGE(MACROS!$V3,MACROS!$W3,MACROS!$X3,MACROS!$Y3))</f>
        <v/>
      </c>
      <c r="AK3" s="15">
        <f>1</f>
        <v>1</v>
      </c>
      <c r="AL3" s="79" t="str">
        <f>IF(OR(MACROS!$A3="",MACROS!$B3="",MACROS!$C3="",MACROS!$D3="",MACROS!$E3="",MACROS!$I3="",MACROS!$AJ3="",MACROS!$AK3=""),"",((MACROS!$I3-MACROS!$AJ3)*MACROS!$AK3*(1/10000)*(1/12.1525)*MACROS!$D3*(1/MACROS!$C3)*MACROS!$E3*1000))</f>
        <v/>
      </c>
      <c r="AM3" s="79" t="str">
        <f>IF(OR(MACROS!$AE3="",MACROS!$AL3=""),"",MACROS!$AE3/MACROS!$AL3)</f>
        <v/>
      </c>
      <c r="AN3" s="79" t="str">
        <f>IF(OR(MACROS!$AI3="",MACROS!$AL3=""),"",MACROS!$AI3/MACROS!$AL3)</f>
        <v/>
      </c>
      <c r="AO3" s="20" t="str">
        <f>IF(MACROS!$A3="","",IF(ISNUMBER(VLOOKUP(MACROS!$A3,AC!A:J,10,FALSE)),VLOOKUP(MACROS!$A3,AC!A:J,10,FALSE),""))</f>
        <v/>
      </c>
      <c r="AP3" s="79" t="str">
        <f>IF(OR(MACROS!$AB3="",MACROS!$AE3="",MACROS!$AI3="",MACROS!$AL3="",MACROS!$AO3=""),"",SUM(MACROS!$AB3,MACROS!$AE3,MACROS!$AI3,MACROS!$AL3,MACROS!$AO3))</f>
        <v/>
      </c>
      <c r="AQ3" s="79" t="str">
        <f>IF(OR(MACROS!$AO3="",MACROS!$AP3=""),"",MACROS!$AO3/MACROS!$AP3*100)</f>
        <v/>
      </c>
      <c r="AR3" s="80" t="str">
        <f>IF(MACROS!$AQ3="","",IF(MACROS!$AW3+(MACROS!$AQ3-MACROS!$AU3)/(MACROS!$AV3-MACROS!$AU3)*(MACROS!$AX3-MACROS!$AW3)&gt;MAX(Interpolación!$C$2:$C$13),Interpolación!$C$13,CEILING(MACROS!$AW3+(MACROS!$AQ3-MACROS!$AU3)/(MACROS!$AV3-MACROS!$AU3)*(MACROS!$AX3-MACROS!$AW3),100)))</f>
        <v/>
      </c>
      <c r="AS3" s="80" t="str">
        <f>IF(MACROS!$AQ3="","",IF(ISNA(MATCH(MACROS!$AQ3,Interpolación!$B$2:$B$13,1)),Interpolación!$A$2,MIN(MATCH(MACROS!$AQ3,Interpolación!$B$2:$B$13,1),Interpolación!$A$13-1)))</f>
        <v/>
      </c>
      <c r="AT3" s="80" t="str">
        <f>IF(MACROS!$AS3="","",MACROS!$AS3+1)</f>
        <v/>
      </c>
      <c r="AU3" s="80" t="str">
        <f>IF(MACROS!$AS3="","",INDEX(Interpolación!$B$2:$B$13,MACROS!$AS3))</f>
        <v/>
      </c>
      <c r="AV3" s="80" t="str">
        <f>IF(MACROS!$AT3="","",INDEX(Interpolación!$B$2:$B$13,MACROS!$AT3))</f>
        <v/>
      </c>
      <c r="AW3" s="80" t="str">
        <f>IF(MACROS!$AS3="","",INDEX(Interpolación!$C$2:$C$13,MACROS!$AS3))</f>
        <v/>
      </c>
      <c r="AX3" s="80" t="str">
        <f>IF(MACROS!$AT3="","",INDEX(Interpolación!$C$2:$C$13,MACROS!$AT3))</f>
        <v/>
      </c>
    </row>
    <row r="4" spans="1:50" x14ac:dyDescent="0.25">
      <c r="A4" s="75" t="str">
        <f>IF('Pesada Macros'!A4="","",'Pesada Macros'!A4)</f>
        <v/>
      </c>
      <c r="B4" s="76" t="str">
        <f>IF('Pesada Macros'!B4="","",'Pesada Macros'!B4)</f>
        <v/>
      </c>
      <c r="C4" s="77" t="str">
        <f>IF('Pesada Macros'!C4="","",VALUE('Pesada Macros'!C4))</f>
        <v/>
      </c>
      <c r="D4" s="15">
        <f>50</f>
        <v>50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78" t="str">
        <f>IF(AND(MACROS!$J4="",MACROS!$K4="",MACROS!$L4="",MACROS!$M4=""),"",AVERAGE(MACROS!$J4,MACROS!$K4,MACROS!$L4,MACROS!$M4))</f>
        <v/>
      </c>
      <c r="AA4" s="15">
        <f>1</f>
        <v>1</v>
      </c>
      <c r="AB4" s="79" t="str">
        <f>IF(OR(MACROS!$A4="",MACROS!$B4="",MACROS!$C4="",MACROS!$D4="",MACROS!$E4="",MACROS!$F4="",MACROS!$Z4="",MACROS!$AA4=""),"",((MACROS!$F4-MACROS!$Z4)*MACROS!$AA4*(1/10000)*(1/22.99)*MACROS!$D4*(1/MACROS!$C4)*MACROS!$E4*1000))</f>
        <v/>
      </c>
      <c r="AC4" s="78" t="str">
        <f>IF(AND(MACROS!$N4="",MACROS!$O4="",MACROS!$P4="",MACROS!$Q4=""),"",AVERAGE(MACROS!$N4,MACROS!$O4,MACROS!$P4,MACROS!$Q4))</f>
        <v/>
      </c>
      <c r="AD4" s="15">
        <f>1</f>
        <v>1</v>
      </c>
      <c r="AE4" s="79" t="str">
        <f>IF(OR(MACROS!$A4="",MACROS!$B4="",MACROS!$C4="",MACROS!$D4="",MACROS!$E4="",MACROS!$G4="",MACROS!$AC4="",MACROS!$AD4=""),"",((MACROS!$G4-MACROS!$AC4)*MACROS!$AD4*(1/10000)*(1/39.098)*MACROS!$D4*(1/MACROS!$C4)*MACROS!$E4*1000))</f>
        <v/>
      </c>
      <c r="AF4" s="80" t="str">
        <f>IF(MACROS!$AE4="","",MACROS!$AE4*391)</f>
        <v/>
      </c>
      <c r="AG4" s="78" t="str">
        <f>IF(AND(MACROS!$R4="",MACROS!$S4="",MACROS!$T4="",MACROS!$U4=""),"",AVERAGE(MACROS!$R4,MACROS!$S4,MACROS!$T4,MACROS!$U4))</f>
        <v/>
      </c>
      <c r="AH4" s="15">
        <f>1</f>
        <v>1</v>
      </c>
      <c r="AI4" s="79" t="str">
        <f>IF(OR(MACROS!$A4="",MACROS!$B4="",MACROS!$C4="",MACROS!$D4="",MACROS!$E4="",MACROS!$H4="",MACROS!$AG4="",MACROS!$AH4=""),"",((MACROS!$H4-MACROS!$AG4)*MACROS!$AH4*(1/10000)*(1/20.04)*MACROS!$D4*(1/MACROS!$C4)*MACROS!$E4*1000))</f>
        <v/>
      </c>
      <c r="AJ4" s="78" t="str">
        <f>IF(AND(MACROS!$V4="",MACROS!$W4="",MACROS!$X4="",MACROS!$Y4=""),"",AVERAGE(MACROS!$V4,MACROS!$W4,MACROS!$X4,MACROS!$Y4))</f>
        <v/>
      </c>
      <c r="AK4" s="15">
        <f>1</f>
        <v>1</v>
      </c>
      <c r="AL4" s="79" t="str">
        <f>IF(OR(MACROS!$A4="",MACROS!$B4="",MACROS!$C4="",MACROS!$D4="",MACROS!$E4="",MACROS!$I4="",MACROS!$AJ4="",MACROS!$AK4=""),"",((MACROS!$I4-MACROS!$AJ4)*MACROS!$AK4*(1/10000)*(1/12.1525)*MACROS!$D4*(1/MACROS!$C4)*MACROS!$E4*1000))</f>
        <v/>
      </c>
      <c r="AM4" s="79" t="str">
        <f>IF(OR(MACROS!$AE4="",MACROS!$AL4=""),"",MACROS!$AE4/MACROS!$AL4)</f>
        <v/>
      </c>
      <c r="AN4" s="79" t="str">
        <f>IF(OR(MACROS!$AI4="",MACROS!$AL4=""),"",MACROS!$AI4/MACROS!$AL4)</f>
        <v/>
      </c>
      <c r="AO4" s="20" t="str">
        <f>IF(MACROS!$A4="","",IF(ISNUMBER(VLOOKUP(MACROS!$A4,AC!A:J,10,FALSE)),VLOOKUP(MACROS!$A4,AC!A:J,10,FALSE),""))</f>
        <v/>
      </c>
      <c r="AP4" s="79" t="str">
        <f>IF(OR(MACROS!$AB4="",MACROS!$AE4="",MACROS!$AI4="",MACROS!$AL4="",MACROS!$AO4=""),"",SUM(MACROS!$AB4,MACROS!$AE4,MACROS!$AI4,MACROS!$AL4,MACROS!$AO4))</f>
        <v/>
      </c>
      <c r="AQ4" s="79" t="str">
        <f>IF(OR(MACROS!$AO4="",MACROS!$AP4=""),"",MACROS!$AO4/MACROS!$AP4*100)</f>
        <v/>
      </c>
      <c r="AR4" s="80" t="str">
        <f>IF(MACROS!$AQ4="","",IF(MACROS!$AW4+(MACROS!$AQ4-MACROS!$AU4)/(MACROS!$AV4-MACROS!$AU4)*(MACROS!$AX4-MACROS!$AW4)&gt;MAX(Interpolación!$C$2:$C$13),Interpolación!$C$13,CEILING(MACROS!$AW4+(MACROS!$AQ4-MACROS!$AU4)/(MACROS!$AV4-MACROS!$AU4)*(MACROS!$AX4-MACROS!$AW4),100)))</f>
        <v/>
      </c>
      <c r="AS4" s="80" t="str">
        <f>IF(MACROS!$AQ4="","",IF(ISNA(MATCH(MACROS!$AQ4,Interpolación!$B$2:$B$13,1)),Interpolación!$A$2,MIN(MATCH(MACROS!$AQ4,Interpolación!$B$2:$B$13,1),Interpolación!$A$13-1)))</f>
        <v/>
      </c>
      <c r="AT4" s="80" t="str">
        <f>IF(MACROS!$AS4="","",MACROS!$AS4+1)</f>
        <v/>
      </c>
      <c r="AU4" s="80" t="str">
        <f>IF(MACROS!$AS4="","",INDEX(Interpolación!$B$2:$B$13,MACROS!$AS4))</f>
        <v/>
      </c>
      <c r="AV4" s="80" t="str">
        <f>IF(MACROS!$AT4="","",INDEX(Interpolación!$B$2:$B$13,MACROS!$AT4))</f>
        <v/>
      </c>
      <c r="AW4" s="80" t="str">
        <f>IF(MACROS!$AS4="","",INDEX(Interpolación!$C$2:$C$13,MACROS!$AS4))</f>
        <v/>
      </c>
      <c r="AX4" s="80" t="str">
        <f>IF(MACROS!$AT4="","",INDEX(Interpolación!$C$2:$C$13,MACROS!$AT4))</f>
        <v/>
      </c>
    </row>
    <row r="5" spans="1:50" x14ac:dyDescent="0.25">
      <c r="A5" s="75" t="str">
        <f>IF('Pesada Macros'!A5="","",'Pesada Macros'!A5)</f>
        <v/>
      </c>
      <c r="B5" s="76" t="str">
        <f>IF('Pesada Macros'!B5="","",'Pesada Macros'!B5)</f>
        <v/>
      </c>
      <c r="C5" s="77" t="str">
        <f>IF('Pesada Macros'!C5="","",VALUE('Pesada Macros'!C5))</f>
        <v/>
      </c>
      <c r="D5" s="15">
        <f>50</f>
        <v>50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78" t="str">
        <f>IF(AND(MACROS!$J5="",MACROS!$K5="",MACROS!$L5="",MACROS!$M5=""),"",AVERAGE(MACROS!$J5,MACROS!$K5,MACROS!$L5,MACROS!$M5))</f>
        <v/>
      </c>
      <c r="AA5" s="15">
        <f>1</f>
        <v>1</v>
      </c>
      <c r="AB5" s="79" t="str">
        <f>IF(OR(MACROS!$A5="",MACROS!$B5="",MACROS!$C5="",MACROS!$D5="",MACROS!$E5="",MACROS!$F5="",MACROS!$Z5="",MACROS!$AA5=""),"",((MACROS!$F5-MACROS!$Z5)*MACROS!$AA5*(1/10000)*(1/22.99)*MACROS!$D5*(1/MACROS!$C5)*MACROS!$E5*1000))</f>
        <v/>
      </c>
      <c r="AC5" s="78" t="str">
        <f>IF(AND(MACROS!$N5="",MACROS!$O5="",MACROS!$P5="",MACROS!$Q5=""),"",AVERAGE(MACROS!$N5,MACROS!$O5,MACROS!$P5,MACROS!$Q5))</f>
        <v/>
      </c>
      <c r="AD5" s="15">
        <f>1</f>
        <v>1</v>
      </c>
      <c r="AE5" s="79" t="str">
        <f>IF(OR(MACROS!$A5="",MACROS!$B5="",MACROS!$C5="",MACROS!$D5="",MACROS!$E5="",MACROS!$G5="",MACROS!$AC5="",MACROS!$AD5=""),"",((MACROS!$G5-MACROS!$AC5)*MACROS!$AD5*(1/10000)*(1/39.098)*MACROS!$D5*(1/MACROS!$C5)*MACROS!$E5*1000))</f>
        <v/>
      </c>
      <c r="AF5" s="80" t="str">
        <f>IF(MACROS!$AE5="","",MACROS!$AE5*391)</f>
        <v/>
      </c>
      <c r="AG5" s="78" t="str">
        <f>IF(AND(MACROS!$R5="",MACROS!$S5="",MACROS!$T5="",MACROS!$U5=""),"",AVERAGE(MACROS!$R5,MACROS!$S5,MACROS!$T5,MACROS!$U5))</f>
        <v/>
      </c>
      <c r="AH5" s="15">
        <f>1</f>
        <v>1</v>
      </c>
      <c r="AI5" s="79" t="str">
        <f>IF(OR(MACROS!$A5="",MACROS!$B5="",MACROS!$C5="",MACROS!$D5="",MACROS!$E5="",MACROS!$H5="",MACROS!$AG5="",MACROS!$AH5=""),"",((MACROS!$H5-MACROS!$AG5)*MACROS!$AH5*(1/10000)*(1/20.04)*MACROS!$D5*(1/MACROS!$C5)*MACROS!$E5*1000))</f>
        <v/>
      </c>
      <c r="AJ5" s="78" t="str">
        <f>IF(AND(MACROS!$V5="",MACROS!$W5="",MACROS!$X5="",MACROS!$Y5=""),"",AVERAGE(MACROS!$V5,MACROS!$W5,MACROS!$X5,MACROS!$Y5))</f>
        <v/>
      </c>
      <c r="AK5" s="15">
        <f>1</f>
        <v>1</v>
      </c>
      <c r="AL5" s="79" t="str">
        <f>IF(OR(MACROS!$A5="",MACROS!$B5="",MACROS!$C5="",MACROS!$D5="",MACROS!$E5="",MACROS!$I5="",MACROS!$AJ5="",MACROS!$AK5=""),"",((MACROS!$I5-MACROS!$AJ5)*MACROS!$AK5*(1/10000)*(1/12.1525)*MACROS!$D5*(1/MACROS!$C5)*MACROS!$E5*1000))</f>
        <v/>
      </c>
      <c r="AM5" s="79" t="str">
        <f>IF(OR(MACROS!$AE5="",MACROS!$AL5=""),"",MACROS!$AE5/MACROS!$AL5)</f>
        <v/>
      </c>
      <c r="AN5" s="79" t="str">
        <f>IF(OR(MACROS!$AI5="",MACROS!$AL5=""),"",MACROS!$AI5/MACROS!$AL5)</f>
        <v/>
      </c>
      <c r="AO5" s="20" t="str">
        <f>IF(MACROS!$A5="","",IF(ISNUMBER(VLOOKUP(MACROS!$A5,AC!A:J,10,FALSE)),VLOOKUP(MACROS!$A5,AC!A:J,10,FALSE),""))</f>
        <v/>
      </c>
      <c r="AP5" s="79" t="str">
        <f>IF(OR(MACROS!$AB5="",MACROS!$AE5="",MACROS!$AI5="",MACROS!$AL5="",MACROS!$AO5=""),"",SUM(MACROS!$AB5,MACROS!$AE5,MACROS!$AI5,MACROS!$AL5,MACROS!$AO5))</f>
        <v/>
      </c>
      <c r="AQ5" s="79" t="str">
        <f>IF(OR(MACROS!$AO5="",MACROS!$AP5=""),"",MACROS!$AO5/MACROS!$AP5*100)</f>
        <v/>
      </c>
      <c r="AR5" s="80" t="str">
        <f>IF(MACROS!$AQ5="","",IF(MACROS!$AW5+(MACROS!$AQ5-MACROS!$AU5)/(MACROS!$AV5-MACROS!$AU5)*(MACROS!$AX5-MACROS!$AW5)&gt;MAX(Interpolación!$C$2:$C$13),Interpolación!$C$13,CEILING(MACROS!$AW5+(MACROS!$AQ5-MACROS!$AU5)/(MACROS!$AV5-MACROS!$AU5)*(MACROS!$AX5-MACROS!$AW5),100)))</f>
        <v/>
      </c>
      <c r="AS5" s="80" t="str">
        <f>IF(MACROS!$AQ5="","",IF(ISNA(MATCH(MACROS!$AQ5,Interpolación!$B$2:$B$13,1)),Interpolación!$A$2,MIN(MATCH(MACROS!$AQ5,Interpolación!$B$2:$B$13,1),Interpolación!$A$13-1)))</f>
        <v/>
      </c>
      <c r="AT5" s="80" t="str">
        <f>IF(MACROS!$AS5="","",MACROS!$AS5+1)</f>
        <v/>
      </c>
      <c r="AU5" s="80" t="str">
        <f>IF(MACROS!$AS5="","",INDEX(Interpolación!$B$2:$B$13,MACROS!$AS5))</f>
        <v/>
      </c>
      <c r="AV5" s="80" t="str">
        <f>IF(MACROS!$AT5="","",INDEX(Interpolación!$B$2:$B$13,MACROS!$AT5))</f>
        <v/>
      </c>
      <c r="AW5" s="80" t="str">
        <f>IF(MACROS!$AS5="","",INDEX(Interpolación!$C$2:$C$13,MACROS!$AS5))</f>
        <v/>
      </c>
      <c r="AX5" s="80" t="str">
        <f>IF(MACROS!$AT5="","",INDEX(Interpolación!$C$2:$C$13,MACROS!$AT5))</f>
        <v/>
      </c>
    </row>
    <row r="6" spans="1:50" x14ac:dyDescent="0.25">
      <c r="A6" s="75" t="str">
        <f>IF('Pesada Macros'!A6="","",'Pesada Macros'!A6)</f>
        <v/>
      </c>
      <c r="B6" s="76" t="str">
        <f>IF('Pesada Macros'!B6="","",'Pesada Macros'!B6)</f>
        <v/>
      </c>
      <c r="C6" s="77" t="str">
        <f>IF('Pesada Macros'!C6="","",VALUE('Pesada Macros'!C6))</f>
        <v/>
      </c>
      <c r="D6" s="15">
        <f>50</f>
        <v>50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78" t="str">
        <f>IF(AND(MACROS!$J6="",MACROS!$K6="",MACROS!$L6="",MACROS!$M6=""),"",AVERAGE(MACROS!$J6,MACROS!$K6,MACROS!$L6,MACROS!$M6))</f>
        <v/>
      </c>
      <c r="AA6" s="15">
        <f>1</f>
        <v>1</v>
      </c>
      <c r="AB6" s="79" t="str">
        <f>IF(OR(MACROS!$A6="",MACROS!$B6="",MACROS!$C6="",MACROS!$D6="",MACROS!$E6="",MACROS!$F6="",MACROS!$Z6="",MACROS!$AA6=""),"",((MACROS!$F6-MACROS!$Z6)*MACROS!$AA6*(1/10000)*(1/22.99)*MACROS!$D6*(1/MACROS!$C6)*MACROS!$E6*1000))</f>
        <v/>
      </c>
      <c r="AC6" s="78" t="str">
        <f>IF(AND(MACROS!$N6="",MACROS!$O6="",MACROS!$P6="",MACROS!$Q6=""),"",AVERAGE(MACROS!$N6,MACROS!$O6,MACROS!$P6,MACROS!$Q6))</f>
        <v/>
      </c>
      <c r="AD6" s="15">
        <f>1</f>
        <v>1</v>
      </c>
      <c r="AE6" s="79" t="str">
        <f>IF(OR(MACROS!$A6="",MACROS!$B6="",MACROS!$C6="",MACROS!$D6="",MACROS!$E6="",MACROS!$G6="",MACROS!$AC6="",MACROS!$AD6=""),"",((MACROS!$G6-MACROS!$AC6)*MACROS!$AD6*(1/10000)*(1/39.098)*MACROS!$D6*(1/MACROS!$C6)*MACROS!$E6*1000))</f>
        <v/>
      </c>
      <c r="AF6" s="80" t="str">
        <f>IF(MACROS!$AE6="","",MACROS!$AE6*391)</f>
        <v/>
      </c>
      <c r="AG6" s="78" t="str">
        <f>IF(AND(MACROS!$R6="",MACROS!$S6="",MACROS!$T6="",MACROS!$U6=""),"",AVERAGE(MACROS!$R6,MACROS!$S6,MACROS!$T6,MACROS!$U6))</f>
        <v/>
      </c>
      <c r="AH6" s="15">
        <f>1</f>
        <v>1</v>
      </c>
      <c r="AI6" s="79" t="str">
        <f>IF(OR(MACROS!$A6="",MACROS!$B6="",MACROS!$C6="",MACROS!$D6="",MACROS!$E6="",MACROS!$H6="",MACROS!$AG6="",MACROS!$AH6=""),"",((MACROS!$H6-MACROS!$AG6)*MACROS!$AH6*(1/10000)*(1/20.04)*MACROS!$D6*(1/MACROS!$C6)*MACROS!$E6*1000))</f>
        <v/>
      </c>
      <c r="AJ6" s="78" t="str">
        <f>IF(AND(MACROS!$V6="",MACROS!$W6="",MACROS!$X6="",MACROS!$Y6=""),"",AVERAGE(MACROS!$V6,MACROS!$W6,MACROS!$X6,MACROS!$Y6))</f>
        <v/>
      </c>
      <c r="AK6" s="15">
        <f>1</f>
        <v>1</v>
      </c>
      <c r="AL6" s="79" t="str">
        <f>IF(OR(MACROS!$A6="",MACROS!$B6="",MACROS!$C6="",MACROS!$D6="",MACROS!$E6="",MACROS!$I6="",MACROS!$AJ6="",MACROS!$AK6=""),"",((MACROS!$I6-MACROS!$AJ6)*MACROS!$AK6*(1/10000)*(1/12.1525)*MACROS!$D6*(1/MACROS!$C6)*MACROS!$E6*1000))</f>
        <v/>
      </c>
      <c r="AM6" s="79" t="str">
        <f>IF(OR(MACROS!$AE6="",MACROS!$AL6=""),"",MACROS!$AE6/MACROS!$AL6)</f>
        <v/>
      </c>
      <c r="AN6" s="79" t="str">
        <f>IF(OR(MACROS!$AI6="",MACROS!$AL6=""),"",MACROS!$AI6/MACROS!$AL6)</f>
        <v/>
      </c>
      <c r="AO6" s="20" t="str">
        <f>IF(MACROS!$A6="","",IF(ISNUMBER(VLOOKUP(MACROS!$A6,AC!A:J,10,FALSE)),VLOOKUP(MACROS!$A6,AC!A:J,10,FALSE),""))</f>
        <v/>
      </c>
      <c r="AP6" s="79" t="str">
        <f>IF(OR(MACROS!$AB6="",MACROS!$AE6="",MACROS!$AI6="",MACROS!$AL6="",MACROS!$AO6=""),"",SUM(MACROS!$AB6,MACROS!$AE6,MACROS!$AI6,MACROS!$AL6,MACROS!$AO6))</f>
        <v/>
      </c>
      <c r="AQ6" s="79" t="str">
        <f>IF(OR(MACROS!$AO6="",MACROS!$AP6=""),"",MACROS!$AO6/MACROS!$AP6*100)</f>
        <v/>
      </c>
      <c r="AR6" s="80" t="str">
        <f>IF(MACROS!$AQ6="","",IF(MACROS!$AW6+(MACROS!$AQ6-MACROS!$AU6)/(MACROS!$AV6-MACROS!$AU6)*(MACROS!$AX6-MACROS!$AW6)&gt;MAX(Interpolación!$C$2:$C$13),Interpolación!$C$13,CEILING(MACROS!$AW6+(MACROS!$AQ6-MACROS!$AU6)/(MACROS!$AV6-MACROS!$AU6)*(MACROS!$AX6-MACROS!$AW6),100)))</f>
        <v/>
      </c>
      <c r="AS6" s="80" t="str">
        <f>IF(MACROS!$AQ6="","",IF(ISNA(MATCH(MACROS!$AQ6,Interpolación!$B$2:$B$13,1)),Interpolación!$A$2,MIN(MATCH(MACROS!$AQ6,Interpolación!$B$2:$B$13,1),Interpolación!$A$13-1)))</f>
        <v/>
      </c>
      <c r="AT6" s="80" t="str">
        <f>IF(MACROS!$AS6="","",MACROS!$AS6+1)</f>
        <v/>
      </c>
      <c r="AU6" s="80" t="str">
        <f>IF(MACROS!$AS6="","",INDEX(Interpolación!$B$2:$B$13,MACROS!$AS6))</f>
        <v/>
      </c>
      <c r="AV6" s="80" t="str">
        <f>IF(MACROS!$AT6="","",INDEX(Interpolación!$B$2:$B$13,MACROS!$AT6))</f>
        <v/>
      </c>
      <c r="AW6" s="80" t="str">
        <f>IF(MACROS!$AS6="","",INDEX(Interpolación!$C$2:$C$13,MACROS!$AS6))</f>
        <v/>
      </c>
      <c r="AX6" s="80" t="str">
        <f>IF(MACROS!$AT6="","",INDEX(Interpolación!$C$2:$C$13,MACROS!$AT6))</f>
        <v/>
      </c>
    </row>
    <row r="7" spans="1:50" x14ac:dyDescent="0.25">
      <c r="A7" s="75" t="str">
        <f>IF('Pesada Macros'!A7="","",'Pesada Macros'!A7)</f>
        <v/>
      </c>
      <c r="B7" s="76" t="str">
        <f>IF('Pesada Macros'!B7="","",'Pesada Macros'!B7)</f>
        <v/>
      </c>
      <c r="C7" s="77" t="str">
        <f>IF('Pesada Macros'!C7="","",VALUE('Pesada Macros'!C7))</f>
        <v/>
      </c>
      <c r="D7" s="15">
        <f>50</f>
        <v>50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78" t="str">
        <f>IF(AND(MACROS!$J7="",MACROS!$K7="",MACROS!$L7="",MACROS!$M7=""),"",AVERAGE(MACROS!$J7,MACROS!$K7,MACROS!$L7,MACROS!$M7))</f>
        <v/>
      </c>
      <c r="AA7" s="15">
        <f>1</f>
        <v>1</v>
      </c>
      <c r="AB7" s="79" t="str">
        <f>IF(OR(MACROS!$A7="",MACROS!$B7="",MACROS!$C7="",MACROS!$D7="",MACROS!$E7="",MACROS!$F7="",MACROS!$Z7="",MACROS!$AA7=""),"",((MACROS!$F7-MACROS!$Z7)*MACROS!$AA7*(1/10000)*(1/22.99)*MACROS!$D7*(1/MACROS!$C7)*MACROS!$E7*1000))</f>
        <v/>
      </c>
      <c r="AC7" s="78" t="str">
        <f>IF(AND(MACROS!$N7="",MACROS!$O7="",MACROS!$P7="",MACROS!$Q7=""),"",AVERAGE(MACROS!$N7,MACROS!$O7,MACROS!$P7,MACROS!$Q7))</f>
        <v/>
      </c>
      <c r="AD7" s="15">
        <f>1</f>
        <v>1</v>
      </c>
      <c r="AE7" s="79" t="str">
        <f>IF(OR(MACROS!$A7="",MACROS!$B7="",MACROS!$C7="",MACROS!$D7="",MACROS!$E7="",MACROS!$G7="",MACROS!$AC7="",MACROS!$AD7=""),"",((MACROS!$G7-MACROS!$AC7)*MACROS!$AD7*(1/10000)*(1/39.098)*MACROS!$D7*(1/MACROS!$C7)*MACROS!$E7*1000))</f>
        <v/>
      </c>
      <c r="AF7" s="80" t="str">
        <f>IF(MACROS!$AE7="","",MACROS!$AE7*391)</f>
        <v/>
      </c>
      <c r="AG7" s="78" t="str">
        <f>IF(AND(MACROS!$R7="",MACROS!$S7="",MACROS!$T7="",MACROS!$U7=""),"",AVERAGE(MACROS!$R7,MACROS!$S7,MACROS!$T7,MACROS!$U7))</f>
        <v/>
      </c>
      <c r="AH7" s="15">
        <f>1</f>
        <v>1</v>
      </c>
      <c r="AI7" s="79" t="str">
        <f>IF(OR(MACROS!$A7="",MACROS!$B7="",MACROS!$C7="",MACROS!$D7="",MACROS!$E7="",MACROS!$H7="",MACROS!$AG7="",MACROS!$AH7=""),"",((MACROS!$H7-MACROS!$AG7)*MACROS!$AH7*(1/10000)*(1/20.04)*MACROS!$D7*(1/MACROS!$C7)*MACROS!$E7*1000))</f>
        <v/>
      </c>
      <c r="AJ7" s="78" t="str">
        <f>IF(AND(MACROS!$V7="",MACROS!$W7="",MACROS!$X7="",MACROS!$Y7=""),"",AVERAGE(MACROS!$V7,MACROS!$W7,MACROS!$X7,MACROS!$Y7))</f>
        <v/>
      </c>
      <c r="AK7" s="15">
        <f>1</f>
        <v>1</v>
      </c>
      <c r="AL7" s="79" t="str">
        <f>IF(OR(MACROS!$A7="",MACROS!$B7="",MACROS!$C7="",MACROS!$D7="",MACROS!$E7="",MACROS!$I7="",MACROS!$AJ7="",MACROS!$AK7=""),"",((MACROS!$I7-MACROS!$AJ7)*MACROS!$AK7*(1/10000)*(1/12.1525)*MACROS!$D7*(1/MACROS!$C7)*MACROS!$E7*1000))</f>
        <v/>
      </c>
      <c r="AM7" s="79" t="str">
        <f>IF(OR(MACROS!$AE7="",MACROS!$AL7=""),"",MACROS!$AE7/MACROS!$AL7)</f>
        <v/>
      </c>
      <c r="AN7" s="79" t="str">
        <f>IF(OR(MACROS!$AI7="",MACROS!$AL7=""),"",MACROS!$AI7/MACROS!$AL7)</f>
        <v/>
      </c>
      <c r="AO7" s="20" t="str">
        <f>IF(MACROS!$A7="","",IF(ISNUMBER(VLOOKUP(MACROS!$A7,AC!A:J,10,FALSE)),VLOOKUP(MACROS!$A7,AC!A:J,10,FALSE),""))</f>
        <v/>
      </c>
      <c r="AP7" s="79" t="str">
        <f>IF(OR(MACROS!$AB7="",MACROS!$AE7="",MACROS!$AI7="",MACROS!$AL7="",MACROS!$AO7=""),"",SUM(MACROS!$AB7,MACROS!$AE7,MACROS!$AI7,MACROS!$AL7,MACROS!$AO7))</f>
        <v/>
      </c>
      <c r="AQ7" s="79" t="str">
        <f>IF(OR(MACROS!$AO7="",MACROS!$AP7=""),"",MACROS!$AO7/MACROS!$AP7*100)</f>
        <v/>
      </c>
      <c r="AR7" s="80" t="str">
        <f>IF(MACROS!$AQ7="","",IF(MACROS!$AW7+(MACROS!$AQ7-MACROS!$AU7)/(MACROS!$AV7-MACROS!$AU7)*(MACROS!$AX7-MACROS!$AW7)&gt;MAX(Interpolación!$C$2:$C$13),Interpolación!$C$13,CEILING(MACROS!$AW7+(MACROS!$AQ7-MACROS!$AU7)/(MACROS!$AV7-MACROS!$AU7)*(MACROS!$AX7-MACROS!$AW7),100)))</f>
        <v/>
      </c>
      <c r="AS7" s="80" t="str">
        <f>IF(MACROS!$AQ7="","",IF(ISNA(MATCH(MACROS!$AQ7,Interpolación!$B$2:$B$13,1)),Interpolación!$A$2,MIN(MATCH(MACROS!$AQ7,Interpolación!$B$2:$B$13,1),Interpolación!$A$13-1)))</f>
        <v/>
      </c>
      <c r="AT7" s="80" t="str">
        <f>IF(MACROS!$AS7="","",MACROS!$AS7+1)</f>
        <v/>
      </c>
      <c r="AU7" s="80" t="str">
        <f>IF(MACROS!$AS7="","",INDEX(Interpolación!$B$2:$B$13,MACROS!$AS7))</f>
        <v/>
      </c>
      <c r="AV7" s="80" t="str">
        <f>IF(MACROS!$AT7="","",INDEX(Interpolación!$B$2:$B$13,MACROS!$AT7))</f>
        <v/>
      </c>
      <c r="AW7" s="80" t="str">
        <f>IF(MACROS!$AS7="","",INDEX(Interpolación!$C$2:$C$13,MACROS!$AS7))</f>
        <v/>
      </c>
      <c r="AX7" s="80" t="str">
        <f>IF(MACROS!$AT7="","",INDEX(Interpolación!$C$2:$C$13,MACROS!$AT7))</f>
        <v/>
      </c>
    </row>
    <row r="8" spans="1:50" x14ac:dyDescent="0.25">
      <c r="A8" s="75" t="str">
        <f>IF('Pesada Macros'!A8="","",'Pesada Macros'!A8)</f>
        <v/>
      </c>
      <c r="B8" s="76" t="str">
        <f>IF('Pesada Macros'!B8="","",'Pesada Macros'!B8)</f>
        <v/>
      </c>
      <c r="C8" s="77" t="str">
        <f>IF('Pesada Macros'!C8="","",VALUE('Pesada Macros'!C8))</f>
        <v/>
      </c>
      <c r="D8" s="15">
        <f>50</f>
        <v>50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78" t="str">
        <f>IF(AND(MACROS!$J8="",MACROS!$K8="",MACROS!$L8="",MACROS!$M8=""),"",AVERAGE(MACROS!$J8,MACROS!$K8,MACROS!$L8,MACROS!$M8))</f>
        <v/>
      </c>
      <c r="AA8" s="15">
        <f>1</f>
        <v>1</v>
      </c>
      <c r="AB8" s="79" t="str">
        <f>IF(OR(MACROS!$A8="",MACROS!$B8="",MACROS!$C8="",MACROS!$D8="",MACROS!$E8="",MACROS!$F8="",MACROS!$Z8="",MACROS!$AA8=""),"",((MACROS!$F8-MACROS!$Z8)*MACROS!$AA8*(1/10000)*(1/22.99)*MACROS!$D8*(1/MACROS!$C8)*MACROS!$E8*1000))</f>
        <v/>
      </c>
      <c r="AC8" s="78" t="str">
        <f>IF(AND(MACROS!$N8="",MACROS!$O8="",MACROS!$P8="",MACROS!$Q8=""),"",AVERAGE(MACROS!$N8,MACROS!$O8,MACROS!$P8,MACROS!$Q8))</f>
        <v/>
      </c>
      <c r="AD8" s="15">
        <f>1</f>
        <v>1</v>
      </c>
      <c r="AE8" s="79" t="str">
        <f>IF(OR(MACROS!$A8="",MACROS!$B8="",MACROS!$C8="",MACROS!$D8="",MACROS!$E8="",MACROS!$G8="",MACROS!$AC8="",MACROS!$AD8=""),"",((MACROS!$G8-MACROS!$AC8)*MACROS!$AD8*(1/10000)*(1/39.098)*MACROS!$D8*(1/MACROS!$C8)*MACROS!$E8*1000))</f>
        <v/>
      </c>
      <c r="AF8" s="80" t="str">
        <f>IF(MACROS!$AE8="","",MACROS!$AE8*391)</f>
        <v/>
      </c>
      <c r="AG8" s="78" t="str">
        <f>IF(AND(MACROS!$R8="",MACROS!$S8="",MACROS!$T8="",MACROS!$U8=""),"",AVERAGE(MACROS!$R8,MACROS!$S8,MACROS!$T8,MACROS!$U8))</f>
        <v/>
      </c>
      <c r="AH8" s="15">
        <f>1</f>
        <v>1</v>
      </c>
      <c r="AI8" s="79" t="str">
        <f>IF(OR(MACROS!$A8="",MACROS!$B8="",MACROS!$C8="",MACROS!$D8="",MACROS!$E8="",MACROS!$H8="",MACROS!$AG8="",MACROS!$AH8=""),"",((MACROS!$H8-MACROS!$AG8)*MACROS!$AH8*(1/10000)*(1/20.04)*MACROS!$D8*(1/MACROS!$C8)*MACROS!$E8*1000))</f>
        <v/>
      </c>
      <c r="AJ8" s="78" t="str">
        <f>IF(AND(MACROS!$V8="",MACROS!$W8="",MACROS!$X8="",MACROS!$Y8=""),"",AVERAGE(MACROS!$V8,MACROS!$W8,MACROS!$X8,MACROS!$Y8))</f>
        <v/>
      </c>
      <c r="AK8" s="15">
        <f>1</f>
        <v>1</v>
      </c>
      <c r="AL8" s="79" t="str">
        <f>IF(OR(MACROS!$A8="",MACROS!$B8="",MACROS!$C8="",MACROS!$D8="",MACROS!$E8="",MACROS!$I8="",MACROS!$AJ8="",MACROS!$AK8=""),"",((MACROS!$I8-MACROS!$AJ8)*MACROS!$AK8*(1/10000)*(1/12.1525)*MACROS!$D8*(1/MACROS!$C8)*MACROS!$E8*1000))</f>
        <v/>
      </c>
      <c r="AM8" s="79" t="str">
        <f>IF(OR(MACROS!$AE8="",MACROS!$AL8=""),"",MACROS!$AE8/MACROS!$AL8)</f>
        <v/>
      </c>
      <c r="AN8" s="79" t="str">
        <f>IF(OR(MACROS!$AI8="",MACROS!$AL8=""),"",MACROS!$AI8/MACROS!$AL8)</f>
        <v/>
      </c>
      <c r="AO8" s="20" t="str">
        <f>IF(MACROS!$A8="","",IF(ISNUMBER(VLOOKUP(MACROS!$A8,AC!A:J,10,FALSE)),VLOOKUP(MACROS!$A8,AC!A:J,10,FALSE),""))</f>
        <v/>
      </c>
      <c r="AP8" s="79" t="str">
        <f>IF(OR(MACROS!$AB8="",MACROS!$AE8="",MACROS!$AI8="",MACROS!$AL8="",MACROS!$AO8=""),"",SUM(MACROS!$AB8,MACROS!$AE8,MACROS!$AI8,MACROS!$AL8,MACROS!$AO8))</f>
        <v/>
      </c>
      <c r="AQ8" s="79" t="str">
        <f>IF(OR(MACROS!$AO8="",MACROS!$AP8=""),"",MACROS!$AO8/MACROS!$AP8*100)</f>
        <v/>
      </c>
      <c r="AR8" s="80" t="str">
        <f>IF(MACROS!$AQ8="","",IF(MACROS!$AW8+(MACROS!$AQ8-MACROS!$AU8)/(MACROS!$AV8-MACROS!$AU8)*(MACROS!$AX8-MACROS!$AW8)&gt;MAX(Interpolación!$C$2:$C$13),Interpolación!$C$13,CEILING(MACROS!$AW8+(MACROS!$AQ8-MACROS!$AU8)/(MACROS!$AV8-MACROS!$AU8)*(MACROS!$AX8-MACROS!$AW8),100)))</f>
        <v/>
      </c>
      <c r="AS8" s="80" t="str">
        <f>IF(MACROS!$AQ8="","",IF(ISNA(MATCH(MACROS!$AQ8,Interpolación!$B$2:$B$13,1)),Interpolación!$A$2,MIN(MATCH(MACROS!$AQ8,Interpolación!$B$2:$B$13,1),Interpolación!$A$13-1)))</f>
        <v/>
      </c>
      <c r="AT8" s="80" t="str">
        <f>IF(MACROS!$AS8="","",MACROS!$AS8+1)</f>
        <v/>
      </c>
      <c r="AU8" s="80" t="str">
        <f>IF(MACROS!$AS8="","",INDEX(Interpolación!$B$2:$B$13,MACROS!$AS8))</f>
        <v/>
      </c>
      <c r="AV8" s="80" t="str">
        <f>IF(MACROS!$AT8="","",INDEX(Interpolación!$B$2:$B$13,MACROS!$AT8))</f>
        <v/>
      </c>
      <c r="AW8" s="80" t="str">
        <f>IF(MACROS!$AS8="","",INDEX(Interpolación!$C$2:$C$13,MACROS!$AS8))</f>
        <v/>
      </c>
      <c r="AX8" s="80" t="str">
        <f>IF(MACROS!$AT8="","",INDEX(Interpolación!$C$2:$C$13,MACROS!$AT8))</f>
        <v/>
      </c>
    </row>
    <row r="9" spans="1:50" x14ac:dyDescent="0.25">
      <c r="A9" s="75" t="str">
        <f>IF('Pesada Macros'!A9="","",'Pesada Macros'!A9)</f>
        <v/>
      </c>
      <c r="B9" s="76" t="str">
        <f>IF('Pesada Macros'!B9="","",'Pesada Macros'!B9)</f>
        <v/>
      </c>
      <c r="C9" s="77" t="str">
        <f>IF('Pesada Macros'!C9="","",VALUE('Pesada Macros'!C9))</f>
        <v/>
      </c>
      <c r="D9" s="15">
        <f>50</f>
        <v>50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78" t="str">
        <f>IF(AND(MACROS!$J9="",MACROS!$K9="",MACROS!$L9="",MACROS!$M9=""),"",AVERAGE(MACROS!$J9,MACROS!$K9,MACROS!$L9,MACROS!$M9))</f>
        <v/>
      </c>
      <c r="AA9" s="15">
        <f>1</f>
        <v>1</v>
      </c>
      <c r="AB9" s="79" t="str">
        <f>IF(OR(MACROS!$A9="",MACROS!$B9="",MACROS!$C9="",MACROS!$D9="",MACROS!$E9="",MACROS!$F9="",MACROS!$Z9="",MACROS!$AA9=""),"",((MACROS!$F9-MACROS!$Z9)*MACROS!$AA9*(1/10000)*(1/22.99)*MACROS!$D9*(1/MACROS!$C9)*MACROS!$E9*1000))</f>
        <v/>
      </c>
      <c r="AC9" s="78" t="str">
        <f>IF(AND(MACROS!$N9="",MACROS!$O9="",MACROS!$P9="",MACROS!$Q9=""),"",AVERAGE(MACROS!$N9,MACROS!$O9,MACROS!$P9,MACROS!$Q9))</f>
        <v/>
      </c>
      <c r="AD9" s="15">
        <f>1</f>
        <v>1</v>
      </c>
      <c r="AE9" s="79" t="str">
        <f>IF(OR(MACROS!$A9="",MACROS!$B9="",MACROS!$C9="",MACROS!$D9="",MACROS!$E9="",MACROS!$G9="",MACROS!$AC9="",MACROS!$AD9=""),"",((MACROS!$G9-MACROS!$AC9)*MACROS!$AD9*(1/10000)*(1/39.098)*MACROS!$D9*(1/MACROS!$C9)*MACROS!$E9*1000))</f>
        <v/>
      </c>
      <c r="AF9" s="80" t="str">
        <f>IF(MACROS!$AE9="","",MACROS!$AE9*391)</f>
        <v/>
      </c>
      <c r="AG9" s="78" t="str">
        <f>IF(AND(MACROS!$R9="",MACROS!$S9="",MACROS!$T9="",MACROS!$U9=""),"",AVERAGE(MACROS!$R9,MACROS!$S9,MACROS!$T9,MACROS!$U9))</f>
        <v/>
      </c>
      <c r="AH9" s="15">
        <f>1</f>
        <v>1</v>
      </c>
      <c r="AI9" s="79" t="str">
        <f>IF(OR(MACROS!$A9="",MACROS!$B9="",MACROS!$C9="",MACROS!$D9="",MACROS!$E9="",MACROS!$H9="",MACROS!$AG9="",MACROS!$AH9=""),"",((MACROS!$H9-MACROS!$AG9)*MACROS!$AH9*(1/10000)*(1/20.04)*MACROS!$D9*(1/MACROS!$C9)*MACROS!$E9*1000))</f>
        <v/>
      </c>
      <c r="AJ9" s="78" t="str">
        <f>IF(AND(MACROS!$V9="",MACROS!$W9="",MACROS!$X9="",MACROS!$Y9=""),"",AVERAGE(MACROS!$V9,MACROS!$W9,MACROS!$X9,MACROS!$Y9))</f>
        <v/>
      </c>
      <c r="AK9" s="15">
        <f>1</f>
        <v>1</v>
      </c>
      <c r="AL9" s="79" t="str">
        <f>IF(OR(MACROS!$A9="",MACROS!$B9="",MACROS!$C9="",MACROS!$D9="",MACROS!$E9="",MACROS!$I9="",MACROS!$AJ9="",MACROS!$AK9=""),"",((MACROS!$I9-MACROS!$AJ9)*MACROS!$AK9*(1/10000)*(1/12.1525)*MACROS!$D9*(1/MACROS!$C9)*MACROS!$E9*1000))</f>
        <v/>
      </c>
      <c r="AM9" s="79" t="str">
        <f>IF(OR(MACROS!$AE9="",MACROS!$AL9=""),"",MACROS!$AE9/MACROS!$AL9)</f>
        <v/>
      </c>
      <c r="AN9" s="79" t="str">
        <f>IF(OR(MACROS!$AI9="",MACROS!$AL9=""),"",MACROS!$AI9/MACROS!$AL9)</f>
        <v/>
      </c>
      <c r="AO9" s="20" t="str">
        <f>IF(MACROS!$A9="","",IF(ISNUMBER(VLOOKUP(MACROS!$A9,AC!A:J,10,FALSE)),VLOOKUP(MACROS!$A9,AC!A:J,10,FALSE),""))</f>
        <v/>
      </c>
      <c r="AP9" s="79" t="str">
        <f>IF(OR(MACROS!$AB9="",MACROS!$AE9="",MACROS!$AI9="",MACROS!$AL9="",MACROS!$AO9=""),"",SUM(MACROS!$AB9,MACROS!$AE9,MACROS!$AI9,MACROS!$AL9,MACROS!$AO9))</f>
        <v/>
      </c>
      <c r="AQ9" s="79" t="str">
        <f>IF(OR(MACROS!$AO9="",MACROS!$AP9=""),"",MACROS!$AO9/MACROS!$AP9*100)</f>
        <v/>
      </c>
      <c r="AR9" s="80" t="str">
        <f>IF(MACROS!$AQ9="","",IF(MACROS!$AW9+(MACROS!$AQ9-MACROS!$AU9)/(MACROS!$AV9-MACROS!$AU9)*(MACROS!$AX9-MACROS!$AW9)&gt;MAX(Interpolación!$C$2:$C$13),Interpolación!$C$13,CEILING(MACROS!$AW9+(MACROS!$AQ9-MACROS!$AU9)/(MACROS!$AV9-MACROS!$AU9)*(MACROS!$AX9-MACROS!$AW9),100)))</f>
        <v/>
      </c>
      <c r="AS9" s="80" t="str">
        <f>IF(MACROS!$AQ9="","",IF(ISNA(MATCH(MACROS!$AQ9,Interpolación!$B$2:$B$13,1)),Interpolación!$A$2,MIN(MATCH(MACROS!$AQ9,Interpolación!$B$2:$B$13,1),Interpolación!$A$13-1)))</f>
        <v/>
      </c>
      <c r="AT9" s="80" t="str">
        <f>IF(MACROS!$AS9="","",MACROS!$AS9+1)</f>
        <v/>
      </c>
      <c r="AU9" s="80" t="str">
        <f>IF(MACROS!$AS9="","",INDEX(Interpolación!$B$2:$B$13,MACROS!$AS9))</f>
        <v/>
      </c>
      <c r="AV9" s="80" t="str">
        <f>IF(MACROS!$AT9="","",INDEX(Interpolación!$B$2:$B$13,MACROS!$AT9))</f>
        <v/>
      </c>
      <c r="AW9" s="80" t="str">
        <f>IF(MACROS!$AS9="","",INDEX(Interpolación!$C$2:$C$13,MACROS!$AS9))</f>
        <v/>
      </c>
      <c r="AX9" s="80" t="str">
        <f>IF(MACROS!$AT9="","",INDEX(Interpolación!$C$2:$C$13,MACROS!$AT9))</f>
        <v/>
      </c>
    </row>
    <row r="10" spans="1:50" x14ac:dyDescent="0.25">
      <c r="A10" s="75" t="str">
        <f>IF('Pesada Macros'!A10="","",'Pesada Macros'!A10)</f>
        <v/>
      </c>
      <c r="B10" s="76" t="str">
        <f>IF('Pesada Macros'!B10="","",'Pesada Macros'!B10)</f>
        <v/>
      </c>
      <c r="C10" s="77" t="str">
        <f>IF('Pesada Macros'!C10="","",VALUE('Pesada Macros'!C10))</f>
        <v/>
      </c>
      <c r="D10" s="15">
        <f>50</f>
        <v>50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78" t="str">
        <f>IF(AND(MACROS!$J10="",MACROS!$K10="",MACROS!$L10="",MACROS!$M10=""),"",AVERAGE(MACROS!$J10,MACROS!$K10,MACROS!$L10,MACROS!$M10))</f>
        <v/>
      </c>
      <c r="AA10" s="15">
        <f>1</f>
        <v>1</v>
      </c>
      <c r="AB10" s="79" t="str">
        <f>IF(OR(MACROS!$A10="",MACROS!$B10="",MACROS!$C10="",MACROS!$D10="",MACROS!$E10="",MACROS!$F10="",MACROS!$Z10="",MACROS!$AA10=""),"",((MACROS!$F10-MACROS!$Z10)*MACROS!$AA10*(1/10000)*(1/22.99)*MACROS!$D10*(1/MACROS!$C10)*MACROS!$E10*1000))</f>
        <v/>
      </c>
      <c r="AC10" s="78" t="str">
        <f>IF(AND(MACROS!$N10="",MACROS!$O10="",MACROS!$P10="",MACROS!$Q10=""),"",AVERAGE(MACROS!$N10,MACROS!$O10,MACROS!$P10,MACROS!$Q10))</f>
        <v/>
      </c>
      <c r="AD10" s="15">
        <f>1</f>
        <v>1</v>
      </c>
      <c r="AE10" s="79" t="str">
        <f>IF(OR(MACROS!$A10="",MACROS!$B10="",MACROS!$C10="",MACROS!$D10="",MACROS!$E10="",MACROS!$G10="",MACROS!$AC10="",MACROS!$AD10=""),"",((MACROS!$G10-MACROS!$AC10)*MACROS!$AD10*(1/10000)*(1/39.098)*MACROS!$D10*(1/MACROS!$C10)*MACROS!$E10*1000))</f>
        <v/>
      </c>
      <c r="AF10" s="80" t="str">
        <f>IF(MACROS!$AE10="","",MACROS!$AE10*391)</f>
        <v/>
      </c>
      <c r="AG10" s="78" t="str">
        <f>IF(AND(MACROS!$R10="",MACROS!$S10="",MACROS!$T10="",MACROS!$U10=""),"",AVERAGE(MACROS!$R10,MACROS!$S10,MACROS!$T10,MACROS!$U10))</f>
        <v/>
      </c>
      <c r="AH10" s="15">
        <f>1</f>
        <v>1</v>
      </c>
      <c r="AI10" s="79" t="str">
        <f>IF(OR(MACROS!$A10="",MACROS!$B10="",MACROS!$C10="",MACROS!$D10="",MACROS!$E10="",MACROS!$H10="",MACROS!$AG10="",MACROS!$AH10=""),"",((MACROS!$H10-MACROS!$AG10)*MACROS!$AH10*(1/10000)*(1/20.04)*MACROS!$D10*(1/MACROS!$C10)*MACROS!$E10*1000))</f>
        <v/>
      </c>
      <c r="AJ10" s="78" t="str">
        <f>IF(AND(MACROS!$V10="",MACROS!$W10="",MACROS!$X10="",MACROS!$Y10=""),"",AVERAGE(MACROS!$V10,MACROS!$W10,MACROS!$X10,MACROS!$Y10))</f>
        <v/>
      </c>
      <c r="AK10" s="15">
        <f>1</f>
        <v>1</v>
      </c>
      <c r="AL10" s="79" t="str">
        <f>IF(OR(MACROS!$A10="",MACROS!$B10="",MACROS!$C10="",MACROS!$D10="",MACROS!$E10="",MACROS!$I10="",MACROS!$AJ10="",MACROS!$AK10=""),"",((MACROS!$I10-MACROS!$AJ10)*MACROS!$AK10*(1/10000)*(1/12.1525)*MACROS!$D10*(1/MACROS!$C10)*MACROS!$E10*1000))</f>
        <v/>
      </c>
      <c r="AM10" s="79" t="str">
        <f>IF(OR(MACROS!$AE10="",MACROS!$AL10=""),"",MACROS!$AE10/MACROS!$AL10)</f>
        <v/>
      </c>
      <c r="AN10" s="79" t="str">
        <f>IF(OR(MACROS!$AI10="",MACROS!$AL10=""),"",MACROS!$AI10/MACROS!$AL10)</f>
        <v/>
      </c>
      <c r="AO10" s="20" t="str">
        <f>IF(MACROS!$A10="","",IF(ISNUMBER(VLOOKUP(MACROS!$A10,AC!A:J,10,FALSE)),VLOOKUP(MACROS!$A10,AC!A:J,10,FALSE),""))</f>
        <v/>
      </c>
      <c r="AP10" s="79" t="str">
        <f>IF(OR(MACROS!$AB10="",MACROS!$AE10="",MACROS!$AI10="",MACROS!$AL10="",MACROS!$AO10=""),"",SUM(MACROS!$AB10,MACROS!$AE10,MACROS!$AI10,MACROS!$AL10,MACROS!$AO10))</f>
        <v/>
      </c>
      <c r="AQ10" s="79" t="str">
        <f>IF(OR(MACROS!$AO10="",MACROS!$AP10=""),"",MACROS!$AO10/MACROS!$AP10*100)</f>
        <v/>
      </c>
      <c r="AR10" s="80" t="str">
        <f>IF(MACROS!$AQ10="","",IF(MACROS!$AW10+(MACROS!$AQ10-MACROS!$AU10)/(MACROS!$AV10-MACROS!$AU10)*(MACROS!$AX10-MACROS!$AW10)&gt;MAX(Interpolación!$C$2:$C$13),Interpolación!$C$13,CEILING(MACROS!$AW10+(MACROS!$AQ10-MACROS!$AU10)/(MACROS!$AV10-MACROS!$AU10)*(MACROS!$AX10-MACROS!$AW10),100)))</f>
        <v/>
      </c>
      <c r="AS10" s="80" t="str">
        <f>IF(MACROS!$AQ10="","",IF(ISNA(MATCH(MACROS!$AQ10,Interpolación!$B$2:$B$13,1)),Interpolación!$A$2,MIN(MATCH(MACROS!$AQ10,Interpolación!$B$2:$B$13,1),Interpolación!$A$13-1)))</f>
        <v/>
      </c>
      <c r="AT10" s="80" t="str">
        <f>IF(MACROS!$AS10="","",MACROS!$AS10+1)</f>
        <v/>
      </c>
      <c r="AU10" s="80" t="str">
        <f>IF(MACROS!$AS10="","",INDEX(Interpolación!$B$2:$B$13,MACROS!$AS10))</f>
        <v/>
      </c>
      <c r="AV10" s="80" t="str">
        <f>IF(MACROS!$AT10="","",INDEX(Interpolación!$B$2:$B$13,MACROS!$AT10))</f>
        <v/>
      </c>
      <c r="AW10" s="80" t="str">
        <f>IF(MACROS!$AS10="","",INDEX(Interpolación!$C$2:$C$13,MACROS!$AS10))</f>
        <v/>
      </c>
      <c r="AX10" s="80" t="str">
        <f>IF(MACROS!$AT10="","",INDEX(Interpolación!$C$2:$C$13,MACROS!$AT10))</f>
        <v/>
      </c>
    </row>
    <row r="11" spans="1:50" x14ac:dyDescent="0.25">
      <c r="A11" s="75" t="str">
        <f>IF('Pesada Macros'!A11="","",'Pesada Macros'!A11)</f>
        <v/>
      </c>
      <c r="B11" s="76" t="str">
        <f>IF('Pesada Macros'!B11="","",'Pesada Macros'!B11)</f>
        <v/>
      </c>
      <c r="C11" s="77" t="str">
        <f>IF('Pesada Macros'!C11="","",VALUE('Pesada Macros'!C11))</f>
        <v/>
      </c>
      <c r="D11" s="15">
        <f>50</f>
        <v>50</v>
      </c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78" t="str">
        <f>IF(AND(MACROS!$J11="",MACROS!$K11="",MACROS!$L11="",MACROS!$M11=""),"",AVERAGE(MACROS!$J11,MACROS!$K11,MACROS!$L11,MACROS!$M11))</f>
        <v/>
      </c>
      <c r="AA11" s="15">
        <f>1</f>
        <v>1</v>
      </c>
      <c r="AB11" s="79" t="str">
        <f>IF(OR(MACROS!$A11="",MACROS!$B11="",MACROS!$C11="",MACROS!$D11="",MACROS!$E11="",MACROS!$F11="",MACROS!$Z11="",MACROS!$AA11=""),"",((MACROS!$F11-MACROS!$Z11)*MACROS!$AA11*(1/10000)*(1/22.99)*MACROS!$D11*(1/MACROS!$C11)*MACROS!$E11*1000))</f>
        <v/>
      </c>
      <c r="AC11" s="78" t="str">
        <f>IF(AND(MACROS!$N11="",MACROS!$O11="",MACROS!$P11="",MACROS!$Q11=""),"",AVERAGE(MACROS!$N11,MACROS!$O11,MACROS!$P11,MACROS!$Q11))</f>
        <v/>
      </c>
      <c r="AD11" s="15">
        <f>1</f>
        <v>1</v>
      </c>
      <c r="AE11" s="79" t="str">
        <f>IF(OR(MACROS!$A11="",MACROS!$B11="",MACROS!$C11="",MACROS!$D11="",MACROS!$E11="",MACROS!$G11="",MACROS!$AC11="",MACROS!$AD11=""),"",((MACROS!$G11-MACROS!$AC11)*MACROS!$AD11*(1/10000)*(1/39.098)*MACROS!$D11*(1/MACROS!$C11)*MACROS!$E11*1000))</f>
        <v/>
      </c>
      <c r="AF11" s="80" t="str">
        <f>IF(MACROS!$AE11="","",MACROS!$AE11*391)</f>
        <v/>
      </c>
      <c r="AG11" s="78" t="str">
        <f>IF(AND(MACROS!$R11="",MACROS!$S11="",MACROS!$T11="",MACROS!$U11=""),"",AVERAGE(MACROS!$R11,MACROS!$S11,MACROS!$T11,MACROS!$U11))</f>
        <v/>
      </c>
      <c r="AH11" s="15">
        <f>1</f>
        <v>1</v>
      </c>
      <c r="AI11" s="79" t="str">
        <f>IF(OR(MACROS!$A11="",MACROS!$B11="",MACROS!$C11="",MACROS!$D11="",MACROS!$E11="",MACROS!$H11="",MACROS!$AG11="",MACROS!$AH11=""),"",((MACROS!$H11-MACROS!$AG11)*MACROS!$AH11*(1/10000)*(1/20.04)*MACROS!$D11*(1/MACROS!$C11)*MACROS!$E11*1000))</f>
        <v/>
      </c>
      <c r="AJ11" s="78" t="str">
        <f>IF(AND(MACROS!$V11="",MACROS!$W11="",MACROS!$X11="",MACROS!$Y11=""),"",AVERAGE(MACROS!$V11,MACROS!$W11,MACROS!$X11,MACROS!$Y11))</f>
        <v/>
      </c>
      <c r="AK11" s="15">
        <f>1</f>
        <v>1</v>
      </c>
      <c r="AL11" s="79" t="str">
        <f>IF(OR(MACROS!$A11="",MACROS!$B11="",MACROS!$C11="",MACROS!$D11="",MACROS!$E11="",MACROS!$I11="",MACROS!$AJ11="",MACROS!$AK11=""),"",((MACROS!$I11-MACROS!$AJ11)*MACROS!$AK11*(1/10000)*(1/12.1525)*MACROS!$D11*(1/MACROS!$C11)*MACROS!$E11*1000))</f>
        <v/>
      </c>
      <c r="AM11" s="79" t="str">
        <f>IF(OR(MACROS!$AE11="",MACROS!$AL11=""),"",MACROS!$AE11/MACROS!$AL11)</f>
        <v/>
      </c>
      <c r="AN11" s="79" t="str">
        <f>IF(OR(MACROS!$AI11="",MACROS!$AL11=""),"",MACROS!$AI11/MACROS!$AL11)</f>
        <v/>
      </c>
      <c r="AO11" s="20" t="str">
        <f>IF(MACROS!$A11="","",IF(ISNUMBER(VLOOKUP(MACROS!$A11,AC!A:J,10,FALSE)),VLOOKUP(MACROS!$A11,AC!A:J,10,FALSE),""))</f>
        <v/>
      </c>
      <c r="AP11" s="79" t="str">
        <f>IF(OR(MACROS!$AB11="",MACROS!$AE11="",MACROS!$AI11="",MACROS!$AL11="",MACROS!$AO11=""),"",SUM(MACROS!$AB11,MACROS!$AE11,MACROS!$AI11,MACROS!$AL11,MACROS!$AO11))</f>
        <v/>
      </c>
      <c r="AQ11" s="79" t="str">
        <f>IF(OR(MACROS!$AO11="",MACROS!$AP11=""),"",MACROS!$AO11/MACROS!$AP11*100)</f>
        <v/>
      </c>
      <c r="AR11" s="80" t="str">
        <f>IF(MACROS!$AQ11="","",IF(MACROS!$AW11+(MACROS!$AQ11-MACROS!$AU11)/(MACROS!$AV11-MACROS!$AU11)*(MACROS!$AX11-MACROS!$AW11)&gt;MAX(Interpolación!$C$2:$C$13),Interpolación!$C$13,CEILING(MACROS!$AW11+(MACROS!$AQ11-MACROS!$AU11)/(MACROS!$AV11-MACROS!$AU11)*(MACROS!$AX11-MACROS!$AW11),100)))</f>
        <v/>
      </c>
      <c r="AS11" s="80" t="str">
        <f>IF(MACROS!$AQ11="","",IF(ISNA(MATCH(MACROS!$AQ11,Interpolación!$B$2:$B$13,1)),Interpolación!$A$2,MIN(MATCH(MACROS!$AQ11,Interpolación!$B$2:$B$13,1),Interpolación!$A$13-1)))</f>
        <v/>
      </c>
      <c r="AT11" s="80" t="str">
        <f>IF(MACROS!$AS11="","",MACROS!$AS11+1)</f>
        <v/>
      </c>
      <c r="AU11" s="80" t="str">
        <f>IF(MACROS!$AS11="","",INDEX(Interpolación!$B$2:$B$13,MACROS!$AS11))</f>
        <v/>
      </c>
      <c r="AV11" s="80" t="str">
        <f>IF(MACROS!$AT11="","",INDEX(Interpolación!$B$2:$B$13,MACROS!$AT11))</f>
        <v/>
      </c>
      <c r="AW11" s="80" t="str">
        <f>IF(MACROS!$AS11="","",INDEX(Interpolación!$C$2:$C$13,MACROS!$AS11))</f>
        <v/>
      </c>
      <c r="AX11" s="80" t="str">
        <f>IF(MACROS!$AT11="","",INDEX(Interpolación!$C$2:$C$13,MACROS!$AT11))</f>
        <v/>
      </c>
    </row>
    <row r="12" spans="1:50" x14ac:dyDescent="0.25">
      <c r="A12" s="75" t="str">
        <f>IF('Pesada Macros'!A12="","",'Pesada Macros'!A12)</f>
        <v/>
      </c>
      <c r="B12" s="76" t="str">
        <f>IF('Pesada Macros'!B12="","",'Pesada Macros'!B12)</f>
        <v/>
      </c>
      <c r="C12" s="77" t="str">
        <f>IF('Pesada Macros'!C12="","",VALUE('Pesada Macros'!C12))</f>
        <v/>
      </c>
      <c r="D12" s="15">
        <f>50</f>
        <v>50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78" t="str">
        <f>IF(AND(MACROS!$J12="",MACROS!$K12="",MACROS!$L12="",MACROS!$M12=""),"",AVERAGE(MACROS!$J12,MACROS!$K12,MACROS!$L12,MACROS!$M12))</f>
        <v/>
      </c>
      <c r="AA12" s="15">
        <f>1</f>
        <v>1</v>
      </c>
      <c r="AB12" s="79" t="str">
        <f>IF(OR(MACROS!$A12="",MACROS!$B12="",MACROS!$C12="",MACROS!$D12="",MACROS!$E12="",MACROS!$F12="",MACROS!$Z12="",MACROS!$AA12=""),"",((MACROS!$F12-MACROS!$Z12)*MACROS!$AA12*(1/10000)*(1/22.99)*MACROS!$D12*(1/MACROS!$C12)*MACROS!$E12*1000))</f>
        <v/>
      </c>
      <c r="AC12" s="78" t="str">
        <f>IF(AND(MACROS!$N12="",MACROS!$O12="",MACROS!$P12="",MACROS!$Q12=""),"",AVERAGE(MACROS!$N12,MACROS!$O12,MACROS!$P12,MACROS!$Q12))</f>
        <v/>
      </c>
      <c r="AD12" s="15">
        <f>1</f>
        <v>1</v>
      </c>
      <c r="AE12" s="79" t="str">
        <f>IF(OR(MACROS!$A12="",MACROS!$B12="",MACROS!$C12="",MACROS!$D12="",MACROS!$E12="",MACROS!$G12="",MACROS!$AC12="",MACROS!$AD12=""),"",((MACROS!$G12-MACROS!$AC12)*MACROS!$AD12*(1/10000)*(1/39.098)*MACROS!$D12*(1/MACROS!$C12)*MACROS!$E12*1000))</f>
        <v/>
      </c>
      <c r="AF12" s="80" t="str">
        <f>IF(MACROS!$AE12="","",MACROS!$AE12*391)</f>
        <v/>
      </c>
      <c r="AG12" s="78" t="str">
        <f>IF(AND(MACROS!$R12="",MACROS!$S12="",MACROS!$T12="",MACROS!$U12=""),"",AVERAGE(MACROS!$R12,MACROS!$S12,MACROS!$T12,MACROS!$U12))</f>
        <v/>
      </c>
      <c r="AH12" s="15">
        <f>1</f>
        <v>1</v>
      </c>
      <c r="AI12" s="79" t="str">
        <f>IF(OR(MACROS!$A12="",MACROS!$B12="",MACROS!$C12="",MACROS!$D12="",MACROS!$E12="",MACROS!$H12="",MACROS!$AG12="",MACROS!$AH12=""),"",((MACROS!$H12-MACROS!$AG12)*MACROS!$AH12*(1/10000)*(1/20.04)*MACROS!$D12*(1/MACROS!$C12)*MACROS!$E12*1000))</f>
        <v/>
      </c>
      <c r="AJ12" s="78" t="str">
        <f>IF(AND(MACROS!$V12="",MACROS!$W12="",MACROS!$X12="",MACROS!$Y12=""),"",AVERAGE(MACROS!$V12,MACROS!$W12,MACROS!$X12,MACROS!$Y12))</f>
        <v/>
      </c>
      <c r="AK12" s="15">
        <f>1</f>
        <v>1</v>
      </c>
      <c r="AL12" s="79" t="str">
        <f>IF(OR(MACROS!$A12="",MACROS!$B12="",MACROS!$C12="",MACROS!$D12="",MACROS!$E12="",MACROS!$I12="",MACROS!$AJ12="",MACROS!$AK12=""),"",((MACROS!$I12-MACROS!$AJ12)*MACROS!$AK12*(1/10000)*(1/12.1525)*MACROS!$D12*(1/MACROS!$C12)*MACROS!$E12*1000))</f>
        <v/>
      </c>
      <c r="AM12" s="79" t="str">
        <f>IF(OR(MACROS!$AE12="",MACROS!$AL12=""),"",MACROS!$AE12/MACROS!$AL12)</f>
        <v/>
      </c>
      <c r="AN12" s="79" t="str">
        <f>IF(OR(MACROS!$AI12="",MACROS!$AL12=""),"",MACROS!$AI12/MACROS!$AL12)</f>
        <v/>
      </c>
      <c r="AO12" s="20" t="str">
        <f>IF(MACROS!$A12="","",IF(ISNUMBER(VLOOKUP(MACROS!$A12,AC!A:J,10,FALSE)),VLOOKUP(MACROS!$A12,AC!A:J,10,FALSE),""))</f>
        <v/>
      </c>
      <c r="AP12" s="79" t="str">
        <f>IF(OR(MACROS!$AB12="",MACROS!$AE12="",MACROS!$AI12="",MACROS!$AL12="",MACROS!$AO12=""),"",SUM(MACROS!$AB12,MACROS!$AE12,MACROS!$AI12,MACROS!$AL12,MACROS!$AO12))</f>
        <v/>
      </c>
      <c r="AQ12" s="79" t="str">
        <f>IF(OR(MACROS!$AO12="",MACROS!$AP12=""),"",MACROS!$AO12/MACROS!$AP12*100)</f>
        <v/>
      </c>
      <c r="AR12" s="80" t="str">
        <f>IF(MACROS!$AQ12="","",IF(MACROS!$AW12+(MACROS!$AQ12-MACROS!$AU12)/(MACROS!$AV12-MACROS!$AU12)*(MACROS!$AX12-MACROS!$AW12)&gt;MAX(Interpolación!$C$2:$C$13),Interpolación!$C$13,CEILING(MACROS!$AW12+(MACROS!$AQ12-MACROS!$AU12)/(MACROS!$AV12-MACROS!$AU12)*(MACROS!$AX12-MACROS!$AW12),100)))</f>
        <v/>
      </c>
      <c r="AS12" s="80" t="str">
        <f>IF(MACROS!$AQ12="","",IF(ISNA(MATCH(MACROS!$AQ12,Interpolación!$B$2:$B$13,1)),Interpolación!$A$2,MIN(MATCH(MACROS!$AQ12,Interpolación!$B$2:$B$13,1),Interpolación!$A$13-1)))</f>
        <v/>
      </c>
      <c r="AT12" s="80" t="str">
        <f>IF(MACROS!$AS12="","",MACROS!$AS12+1)</f>
        <v/>
      </c>
      <c r="AU12" s="80" t="str">
        <f>IF(MACROS!$AS12="","",INDEX(Interpolación!$B$2:$B$13,MACROS!$AS12))</f>
        <v/>
      </c>
      <c r="AV12" s="80" t="str">
        <f>IF(MACROS!$AT12="","",INDEX(Interpolación!$B$2:$B$13,MACROS!$AT12))</f>
        <v/>
      </c>
      <c r="AW12" s="80" t="str">
        <f>IF(MACROS!$AS12="","",INDEX(Interpolación!$C$2:$C$13,MACROS!$AS12))</f>
        <v/>
      </c>
      <c r="AX12" s="80" t="str">
        <f>IF(MACROS!$AT12="","",INDEX(Interpolación!$C$2:$C$13,MACROS!$AT12))</f>
        <v/>
      </c>
    </row>
    <row r="13" spans="1:50" x14ac:dyDescent="0.25">
      <c r="A13" s="75" t="str">
        <f>IF('Pesada Macros'!A13="","",'Pesada Macros'!A13)</f>
        <v/>
      </c>
      <c r="B13" s="76" t="str">
        <f>IF('Pesada Macros'!B13="","",'Pesada Macros'!B13)</f>
        <v/>
      </c>
      <c r="C13" s="77" t="str">
        <f>IF('Pesada Macros'!C13="","",VALUE('Pesada Macros'!C13))</f>
        <v/>
      </c>
      <c r="D13" s="15">
        <f>50</f>
        <v>50</v>
      </c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78" t="str">
        <f>IF(AND(MACROS!$J13="",MACROS!$K13="",MACROS!$L13="",MACROS!$M13=""),"",AVERAGE(MACROS!$J13,MACROS!$K13,MACROS!$L13,MACROS!$M13))</f>
        <v/>
      </c>
      <c r="AA13" s="15">
        <f>1</f>
        <v>1</v>
      </c>
      <c r="AB13" s="79" t="str">
        <f>IF(OR(MACROS!$A13="",MACROS!$B13="",MACROS!$C13="",MACROS!$D13="",MACROS!$E13="",MACROS!$F13="",MACROS!$Z13="",MACROS!$AA13=""),"",((MACROS!$F13-MACROS!$Z13)*MACROS!$AA13*(1/10000)*(1/22.99)*MACROS!$D13*(1/MACROS!$C13)*MACROS!$E13*1000))</f>
        <v/>
      </c>
      <c r="AC13" s="78" t="str">
        <f>IF(AND(MACROS!$N13="",MACROS!$O13="",MACROS!$P13="",MACROS!$Q13=""),"",AVERAGE(MACROS!$N13,MACROS!$O13,MACROS!$P13,MACROS!$Q13))</f>
        <v/>
      </c>
      <c r="AD13" s="15">
        <f>1</f>
        <v>1</v>
      </c>
      <c r="AE13" s="79" t="str">
        <f>IF(OR(MACROS!$A13="",MACROS!$B13="",MACROS!$C13="",MACROS!$D13="",MACROS!$E13="",MACROS!$G13="",MACROS!$AC13="",MACROS!$AD13=""),"",((MACROS!$G13-MACROS!$AC13)*MACROS!$AD13*(1/10000)*(1/39.098)*MACROS!$D13*(1/MACROS!$C13)*MACROS!$E13*1000))</f>
        <v/>
      </c>
      <c r="AF13" s="80" t="str">
        <f>IF(MACROS!$AE13="","",MACROS!$AE13*391)</f>
        <v/>
      </c>
      <c r="AG13" s="78" t="str">
        <f>IF(AND(MACROS!$R13="",MACROS!$S13="",MACROS!$T13="",MACROS!$U13=""),"",AVERAGE(MACROS!$R13,MACROS!$S13,MACROS!$T13,MACROS!$U13))</f>
        <v/>
      </c>
      <c r="AH13" s="15">
        <f>1</f>
        <v>1</v>
      </c>
      <c r="AI13" s="79" t="str">
        <f>IF(OR(MACROS!$A13="",MACROS!$B13="",MACROS!$C13="",MACROS!$D13="",MACROS!$E13="",MACROS!$H13="",MACROS!$AG13="",MACROS!$AH13=""),"",((MACROS!$H13-MACROS!$AG13)*MACROS!$AH13*(1/10000)*(1/20.04)*MACROS!$D13*(1/MACROS!$C13)*MACROS!$E13*1000))</f>
        <v/>
      </c>
      <c r="AJ13" s="78" t="str">
        <f>IF(AND(MACROS!$V13="",MACROS!$W13="",MACROS!$X13="",MACROS!$Y13=""),"",AVERAGE(MACROS!$V13,MACROS!$W13,MACROS!$X13,MACROS!$Y13))</f>
        <v/>
      </c>
      <c r="AK13" s="15">
        <f>1</f>
        <v>1</v>
      </c>
      <c r="AL13" s="79" t="str">
        <f>IF(OR(MACROS!$A13="",MACROS!$B13="",MACROS!$C13="",MACROS!$D13="",MACROS!$E13="",MACROS!$I13="",MACROS!$AJ13="",MACROS!$AK13=""),"",((MACROS!$I13-MACROS!$AJ13)*MACROS!$AK13*(1/10000)*(1/12.1525)*MACROS!$D13*(1/MACROS!$C13)*MACROS!$E13*1000))</f>
        <v/>
      </c>
      <c r="AM13" s="79" t="str">
        <f>IF(OR(MACROS!$AE13="",MACROS!$AL13=""),"",MACROS!$AE13/MACROS!$AL13)</f>
        <v/>
      </c>
      <c r="AN13" s="79" t="str">
        <f>IF(OR(MACROS!$AI13="",MACROS!$AL13=""),"",MACROS!$AI13/MACROS!$AL13)</f>
        <v/>
      </c>
      <c r="AO13" s="20" t="str">
        <f>IF(MACROS!$A13="","",IF(ISNUMBER(VLOOKUP(MACROS!$A13,AC!A:J,10,FALSE)),VLOOKUP(MACROS!$A13,AC!A:J,10,FALSE),""))</f>
        <v/>
      </c>
      <c r="AP13" s="79" t="str">
        <f>IF(OR(MACROS!$AB13="",MACROS!$AE13="",MACROS!$AI13="",MACROS!$AL13="",MACROS!$AO13=""),"",SUM(MACROS!$AB13,MACROS!$AE13,MACROS!$AI13,MACROS!$AL13,MACROS!$AO13))</f>
        <v/>
      </c>
      <c r="AQ13" s="79" t="str">
        <f>IF(OR(MACROS!$AO13="",MACROS!$AP13=""),"",MACROS!$AO13/MACROS!$AP13*100)</f>
        <v/>
      </c>
      <c r="AR13" s="80" t="str">
        <f>IF(MACROS!$AQ13="","",IF(MACROS!$AW13+(MACROS!$AQ13-MACROS!$AU13)/(MACROS!$AV13-MACROS!$AU13)*(MACROS!$AX13-MACROS!$AW13)&gt;MAX(Interpolación!$C$2:$C$13),Interpolación!$C$13,CEILING(MACROS!$AW13+(MACROS!$AQ13-MACROS!$AU13)/(MACROS!$AV13-MACROS!$AU13)*(MACROS!$AX13-MACROS!$AW13),100)))</f>
        <v/>
      </c>
      <c r="AS13" s="80" t="str">
        <f>IF(MACROS!$AQ13="","",IF(ISNA(MATCH(MACROS!$AQ13,Interpolación!$B$2:$B$13,1)),Interpolación!$A$2,MIN(MATCH(MACROS!$AQ13,Interpolación!$B$2:$B$13,1),Interpolación!$A$13-1)))</f>
        <v/>
      </c>
      <c r="AT13" s="80" t="str">
        <f>IF(MACROS!$AS13="","",MACROS!$AS13+1)</f>
        <v/>
      </c>
      <c r="AU13" s="80" t="str">
        <f>IF(MACROS!$AS13="","",INDEX(Interpolación!$B$2:$B$13,MACROS!$AS13))</f>
        <v/>
      </c>
      <c r="AV13" s="80" t="str">
        <f>IF(MACROS!$AT13="","",INDEX(Interpolación!$B$2:$B$13,MACROS!$AT13))</f>
        <v/>
      </c>
      <c r="AW13" s="80" t="str">
        <f>IF(MACROS!$AS13="","",INDEX(Interpolación!$C$2:$C$13,MACROS!$AS13))</f>
        <v/>
      </c>
      <c r="AX13" s="80" t="str">
        <f>IF(MACROS!$AT13="","",INDEX(Interpolación!$C$2:$C$13,MACROS!$AT13))</f>
        <v/>
      </c>
    </row>
    <row r="14" spans="1:50" x14ac:dyDescent="0.25">
      <c r="A14" s="75" t="str">
        <f>IF('Pesada Macros'!A14="","",'Pesada Macros'!A14)</f>
        <v/>
      </c>
      <c r="B14" s="76" t="str">
        <f>IF('Pesada Macros'!B14="","",'Pesada Macros'!B14)</f>
        <v/>
      </c>
      <c r="C14" s="77" t="str">
        <f>IF('Pesada Macros'!C14="","",VALUE('Pesada Macros'!C14))</f>
        <v/>
      </c>
      <c r="D14" s="15">
        <f>50</f>
        <v>50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78" t="str">
        <f>IF(AND(MACROS!$J14="",MACROS!$K14="",MACROS!$L14="",MACROS!$M14=""),"",AVERAGE(MACROS!$J14,MACROS!$K14,MACROS!$L14,MACROS!$M14))</f>
        <v/>
      </c>
      <c r="AA14" s="15">
        <f>1</f>
        <v>1</v>
      </c>
      <c r="AB14" s="79" t="str">
        <f>IF(OR(MACROS!$A14="",MACROS!$B14="",MACROS!$C14="",MACROS!$D14="",MACROS!$E14="",MACROS!$F14="",MACROS!$Z14="",MACROS!$AA14=""),"",((MACROS!$F14-MACROS!$Z14)*MACROS!$AA14*(1/10000)*(1/22.99)*MACROS!$D14*(1/MACROS!$C14)*MACROS!$E14*1000))</f>
        <v/>
      </c>
      <c r="AC14" s="78" t="str">
        <f>IF(AND(MACROS!$N14="",MACROS!$O14="",MACROS!$P14="",MACROS!$Q14=""),"",AVERAGE(MACROS!$N14,MACROS!$O14,MACROS!$P14,MACROS!$Q14))</f>
        <v/>
      </c>
      <c r="AD14" s="15">
        <f>1</f>
        <v>1</v>
      </c>
      <c r="AE14" s="79" t="str">
        <f>IF(OR(MACROS!$A14="",MACROS!$B14="",MACROS!$C14="",MACROS!$D14="",MACROS!$E14="",MACROS!$G14="",MACROS!$AC14="",MACROS!$AD14=""),"",((MACROS!$G14-MACROS!$AC14)*MACROS!$AD14*(1/10000)*(1/39.098)*MACROS!$D14*(1/MACROS!$C14)*MACROS!$E14*1000))</f>
        <v/>
      </c>
      <c r="AF14" s="80" t="str">
        <f>IF(MACROS!$AE14="","",MACROS!$AE14*391)</f>
        <v/>
      </c>
      <c r="AG14" s="78" t="str">
        <f>IF(AND(MACROS!$R14="",MACROS!$S14="",MACROS!$T14="",MACROS!$U14=""),"",AVERAGE(MACROS!$R14,MACROS!$S14,MACROS!$T14,MACROS!$U14))</f>
        <v/>
      </c>
      <c r="AH14" s="15">
        <f>1</f>
        <v>1</v>
      </c>
      <c r="AI14" s="79" t="str">
        <f>IF(OR(MACROS!$A14="",MACROS!$B14="",MACROS!$C14="",MACROS!$D14="",MACROS!$E14="",MACROS!$H14="",MACROS!$AG14="",MACROS!$AH14=""),"",((MACROS!$H14-MACROS!$AG14)*MACROS!$AH14*(1/10000)*(1/20.04)*MACROS!$D14*(1/MACROS!$C14)*MACROS!$E14*1000))</f>
        <v/>
      </c>
      <c r="AJ14" s="78" t="str">
        <f>IF(AND(MACROS!$V14="",MACROS!$W14="",MACROS!$X14="",MACROS!$Y14=""),"",AVERAGE(MACROS!$V14,MACROS!$W14,MACROS!$X14,MACROS!$Y14))</f>
        <v/>
      </c>
      <c r="AK14" s="15">
        <f>1</f>
        <v>1</v>
      </c>
      <c r="AL14" s="79" t="str">
        <f>IF(OR(MACROS!$A14="",MACROS!$B14="",MACROS!$C14="",MACROS!$D14="",MACROS!$E14="",MACROS!$I14="",MACROS!$AJ14="",MACROS!$AK14=""),"",((MACROS!$I14-MACROS!$AJ14)*MACROS!$AK14*(1/10000)*(1/12.1525)*MACROS!$D14*(1/MACROS!$C14)*MACROS!$E14*1000))</f>
        <v/>
      </c>
      <c r="AM14" s="79" t="str">
        <f>IF(OR(MACROS!$AE14="",MACROS!$AL14=""),"",MACROS!$AE14/MACROS!$AL14)</f>
        <v/>
      </c>
      <c r="AN14" s="79" t="str">
        <f>IF(OR(MACROS!$AI14="",MACROS!$AL14=""),"",MACROS!$AI14/MACROS!$AL14)</f>
        <v/>
      </c>
      <c r="AO14" s="20" t="str">
        <f>IF(MACROS!$A14="","",IF(ISNUMBER(VLOOKUP(MACROS!$A14,AC!A:J,10,FALSE)),VLOOKUP(MACROS!$A14,AC!A:J,10,FALSE),""))</f>
        <v/>
      </c>
      <c r="AP14" s="79" t="str">
        <f>IF(OR(MACROS!$AB14="",MACROS!$AE14="",MACROS!$AI14="",MACROS!$AL14="",MACROS!$AO14=""),"",SUM(MACROS!$AB14,MACROS!$AE14,MACROS!$AI14,MACROS!$AL14,MACROS!$AO14))</f>
        <v/>
      </c>
      <c r="AQ14" s="79" t="str">
        <f>IF(OR(MACROS!$AO14="",MACROS!$AP14=""),"",MACROS!$AO14/MACROS!$AP14*100)</f>
        <v/>
      </c>
      <c r="AR14" s="80" t="str">
        <f>IF(MACROS!$AQ14="","",IF(MACROS!$AW14+(MACROS!$AQ14-MACROS!$AU14)/(MACROS!$AV14-MACROS!$AU14)*(MACROS!$AX14-MACROS!$AW14)&gt;MAX(Interpolación!$C$2:$C$13),Interpolación!$C$13,CEILING(MACROS!$AW14+(MACROS!$AQ14-MACROS!$AU14)/(MACROS!$AV14-MACROS!$AU14)*(MACROS!$AX14-MACROS!$AW14),100)))</f>
        <v/>
      </c>
      <c r="AS14" s="80" t="str">
        <f>IF(MACROS!$AQ14="","",IF(ISNA(MATCH(MACROS!$AQ14,Interpolación!$B$2:$B$13,1)),Interpolación!$A$2,MIN(MATCH(MACROS!$AQ14,Interpolación!$B$2:$B$13,1),Interpolación!$A$13-1)))</f>
        <v/>
      </c>
      <c r="AT14" s="80" t="str">
        <f>IF(MACROS!$AS14="","",MACROS!$AS14+1)</f>
        <v/>
      </c>
      <c r="AU14" s="80" t="str">
        <f>IF(MACROS!$AS14="","",INDEX(Interpolación!$B$2:$B$13,MACROS!$AS14))</f>
        <v/>
      </c>
      <c r="AV14" s="80" t="str">
        <f>IF(MACROS!$AT14="","",INDEX(Interpolación!$B$2:$B$13,MACROS!$AT14))</f>
        <v/>
      </c>
      <c r="AW14" s="80" t="str">
        <f>IF(MACROS!$AS14="","",INDEX(Interpolación!$C$2:$C$13,MACROS!$AS14))</f>
        <v/>
      </c>
      <c r="AX14" s="80" t="str">
        <f>IF(MACROS!$AT14="","",INDEX(Interpolación!$C$2:$C$13,MACROS!$AT14))</f>
        <v/>
      </c>
    </row>
    <row r="15" spans="1:50" x14ac:dyDescent="0.25">
      <c r="A15" s="75" t="str">
        <f>IF('Pesada Macros'!A15="","",'Pesada Macros'!A15)</f>
        <v/>
      </c>
      <c r="B15" s="76" t="str">
        <f>IF('Pesada Macros'!B15="","",'Pesada Macros'!B15)</f>
        <v/>
      </c>
      <c r="C15" s="77" t="str">
        <f>IF('Pesada Macros'!C15="","",VALUE('Pesada Macros'!C15))</f>
        <v/>
      </c>
      <c r="D15" s="15">
        <f>50</f>
        <v>50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78" t="str">
        <f>IF(AND(MACROS!$J15="",MACROS!$K15="",MACROS!$L15="",MACROS!$M15=""),"",AVERAGE(MACROS!$J15,MACROS!$K15,MACROS!$L15,MACROS!$M15))</f>
        <v/>
      </c>
      <c r="AA15" s="15">
        <f>1</f>
        <v>1</v>
      </c>
      <c r="AB15" s="79" t="str">
        <f>IF(OR(MACROS!$A15="",MACROS!$B15="",MACROS!$C15="",MACROS!$D15="",MACROS!$E15="",MACROS!$F15="",MACROS!$Z15="",MACROS!$AA15=""),"",((MACROS!$F15-MACROS!$Z15)*MACROS!$AA15*(1/10000)*(1/22.99)*MACROS!$D15*(1/MACROS!$C15)*MACROS!$E15*1000))</f>
        <v/>
      </c>
      <c r="AC15" s="78" t="str">
        <f>IF(AND(MACROS!$N15="",MACROS!$O15="",MACROS!$P15="",MACROS!$Q15=""),"",AVERAGE(MACROS!$N15,MACROS!$O15,MACROS!$P15,MACROS!$Q15))</f>
        <v/>
      </c>
      <c r="AD15" s="15">
        <f>1</f>
        <v>1</v>
      </c>
      <c r="AE15" s="79" t="str">
        <f>IF(OR(MACROS!$A15="",MACROS!$B15="",MACROS!$C15="",MACROS!$D15="",MACROS!$E15="",MACROS!$G15="",MACROS!$AC15="",MACROS!$AD15=""),"",((MACROS!$G15-MACROS!$AC15)*MACROS!$AD15*(1/10000)*(1/39.098)*MACROS!$D15*(1/MACROS!$C15)*MACROS!$E15*1000))</f>
        <v/>
      </c>
      <c r="AF15" s="80" t="str">
        <f>IF(MACROS!$AE15="","",MACROS!$AE15*391)</f>
        <v/>
      </c>
      <c r="AG15" s="78" t="str">
        <f>IF(AND(MACROS!$R15="",MACROS!$S15="",MACROS!$T15="",MACROS!$U15=""),"",AVERAGE(MACROS!$R15,MACROS!$S15,MACROS!$T15,MACROS!$U15))</f>
        <v/>
      </c>
      <c r="AH15" s="15">
        <f>1</f>
        <v>1</v>
      </c>
      <c r="AI15" s="79" t="str">
        <f>IF(OR(MACROS!$A15="",MACROS!$B15="",MACROS!$C15="",MACROS!$D15="",MACROS!$E15="",MACROS!$H15="",MACROS!$AG15="",MACROS!$AH15=""),"",((MACROS!$H15-MACROS!$AG15)*MACROS!$AH15*(1/10000)*(1/20.04)*MACROS!$D15*(1/MACROS!$C15)*MACROS!$E15*1000))</f>
        <v/>
      </c>
      <c r="AJ15" s="78" t="str">
        <f>IF(AND(MACROS!$V15="",MACROS!$W15="",MACROS!$X15="",MACROS!$Y15=""),"",AVERAGE(MACROS!$V15,MACROS!$W15,MACROS!$X15,MACROS!$Y15))</f>
        <v/>
      </c>
      <c r="AK15" s="15">
        <f>1</f>
        <v>1</v>
      </c>
      <c r="AL15" s="79" t="str">
        <f>IF(OR(MACROS!$A15="",MACROS!$B15="",MACROS!$C15="",MACROS!$D15="",MACROS!$E15="",MACROS!$I15="",MACROS!$AJ15="",MACROS!$AK15=""),"",((MACROS!$I15-MACROS!$AJ15)*MACROS!$AK15*(1/10000)*(1/12.1525)*MACROS!$D15*(1/MACROS!$C15)*MACROS!$E15*1000))</f>
        <v/>
      </c>
      <c r="AM15" s="79" t="str">
        <f>IF(OR(MACROS!$AE15="",MACROS!$AL15=""),"",MACROS!$AE15/MACROS!$AL15)</f>
        <v/>
      </c>
      <c r="AN15" s="79" t="str">
        <f>IF(OR(MACROS!$AI15="",MACROS!$AL15=""),"",MACROS!$AI15/MACROS!$AL15)</f>
        <v/>
      </c>
      <c r="AO15" s="20" t="str">
        <f>IF(MACROS!$A15="","",IF(ISNUMBER(VLOOKUP(MACROS!$A15,AC!A:J,10,FALSE)),VLOOKUP(MACROS!$A15,AC!A:J,10,FALSE),""))</f>
        <v/>
      </c>
      <c r="AP15" s="79" t="str">
        <f>IF(OR(MACROS!$AB15="",MACROS!$AE15="",MACROS!$AI15="",MACROS!$AL15="",MACROS!$AO15=""),"",SUM(MACROS!$AB15,MACROS!$AE15,MACROS!$AI15,MACROS!$AL15,MACROS!$AO15))</f>
        <v/>
      </c>
      <c r="AQ15" s="79" t="str">
        <f>IF(OR(MACROS!$AO15="",MACROS!$AP15=""),"",MACROS!$AO15/MACROS!$AP15*100)</f>
        <v/>
      </c>
      <c r="AR15" s="80" t="str">
        <f>IF(MACROS!$AQ15="","",IF(MACROS!$AW15+(MACROS!$AQ15-MACROS!$AU15)/(MACROS!$AV15-MACROS!$AU15)*(MACROS!$AX15-MACROS!$AW15)&gt;MAX(Interpolación!$C$2:$C$13),Interpolación!$C$13,CEILING(MACROS!$AW15+(MACROS!$AQ15-MACROS!$AU15)/(MACROS!$AV15-MACROS!$AU15)*(MACROS!$AX15-MACROS!$AW15),100)))</f>
        <v/>
      </c>
      <c r="AS15" s="80" t="str">
        <f>IF(MACROS!$AQ15="","",IF(ISNA(MATCH(MACROS!$AQ15,Interpolación!$B$2:$B$13,1)),Interpolación!$A$2,MIN(MATCH(MACROS!$AQ15,Interpolación!$B$2:$B$13,1),Interpolación!$A$13-1)))</f>
        <v/>
      </c>
      <c r="AT15" s="80" t="str">
        <f>IF(MACROS!$AS15="","",MACROS!$AS15+1)</f>
        <v/>
      </c>
      <c r="AU15" s="80" t="str">
        <f>IF(MACROS!$AS15="","",INDEX(Interpolación!$B$2:$B$13,MACROS!$AS15))</f>
        <v/>
      </c>
      <c r="AV15" s="80" t="str">
        <f>IF(MACROS!$AT15="","",INDEX(Interpolación!$B$2:$B$13,MACROS!$AT15))</f>
        <v/>
      </c>
      <c r="AW15" s="80" t="str">
        <f>IF(MACROS!$AS15="","",INDEX(Interpolación!$C$2:$C$13,MACROS!$AS15))</f>
        <v/>
      </c>
      <c r="AX15" s="80" t="str">
        <f>IF(MACROS!$AT15="","",INDEX(Interpolación!$C$2:$C$13,MACROS!$AT15))</f>
        <v/>
      </c>
    </row>
    <row r="16" spans="1:50" x14ac:dyDescent="0.25">
      <c r="A16" s="75" t="str">
        <f>IF('Pesada Macros'!A16="","",'Pesada Macros'!A16)</f>
        <v/>
      </c>
      <c r="B16" s="76" t="str">
        <f>IF('Pesada Macros'!B16="","",'Pesada Macros'!B16)</f>
        <v/>
      </c>
      <c r="C16" s="77" t="str">
        <f>IF('Pesada Macros'!C16="","",VALUE('Pesada Macros'!C16))</f>
        <v/>
      </c>
      <c r="D16" s="15">
        <f>50</f>
        <v>50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78" t="str">
        <f>IF(AND(MACROS!$J16="",MACROS!$K16="",MACROS!$L16="",MACROS!$M16=""),"",AVERAGE(MACROS!$J16,MACROS!$K16,MACROS!$L16,MACROS!$M16))</f>
        <v/>
      </c>
      <c r="AA16" s="15">
        <f>1</f>
        <v>1</v>
      </c>
      <c r="AB16" s="79" t="str">
        <f>IF(OR(MACROS!$A16="",MACROS!$B16="",MACROS!$C16="",MACROS!$D16="",MACROS!$E16="",MACROS!$F16="",MACROS!$Z16="",MACROS!$AA16=""),"",((MACROS!$F16-MACROS!$Z16)*MACROS!$AA16*(1/10000)*(1/22.99)*MACROS!$D16*(1/MACROS!$C16)*MACROS!$E16*1000))</f>
        <v/>
      </c>
      <c r="AC16" s="78" t="str">
        <f>IF(AND(MACROS!$N16="",MACROS!$O16="",MACROS!$P16="",MACROS!$Q16=""),"",AVERAGE(MACROS!$N16,MACROS!$O16,MACROS!$P16,MACROS!$Q16))</f>
        <v/>
      </c>
      <c r="AD16" s="15">
        <f>1</f>
        <v>1</v>
      </c>
      <c r="AE16" s="79" t="str">
        <f>IF(OR(MACROS!$A16="",MACROS!$B16="",MACROS!$C16="",MACROS!$D16="",MACROS!$E16="",MACROS!$G16="",MACROS!$AC16="",MACROS!$AD16=""),"",((MACROS!$G16-MACROS!$AC16)*MACROS!$AD16*(1/10000)*(1/39.098)*MACROS!$D16*(1/MACROS!$C16)*MACROS!$E16*1000))</f>
        <v/>
      </c>
      <c r="AF16" s="80" t="str">
        <f>IF(MACROS!$AE16="","",MACROS!$AE16*391)</f>
        <v/>
      </c>
      <c r="AG16" s="78" t="str">
        <f>IF(AND(MACROS!$R16="",MACROS!$S16="",MACROS!$T16="",MACROS!$U16=""),"",AVERAGE(MACROS!$R16,MACROS!$S16,MACROS!$T16,MACROS!$U16))</f>
        <v/>
      </c>
      <c r="AH16" s="15">
        <f>1</f>
        <v>1</v>
      </c>
      <c r="AI16" s="79" t="str">
        <f>IF(OR(MACROS!$A16="",MACROS!$B16="",MACROS!$C16="",MACROS!$D16="",MACROS!$E16="",MACROS!$H16="",MACROS!$AG16="",MACROS!$AH16=""),"",((MACROS!$H16-MACROS!$AG16)*MACROS!$AH16*(1/10000)*(1/20.04)*MACROS!$D16*(1/MACROS!$C16)*MACROS!$E16*1000))</f>
        <v/>
      </c>
      <c r="AJ16" s="78" t="str">
        <f>IF(AND(MACROS!$V16="",MACROS!$W16="",MACROS!$X16="",MACROS!$Y16=""),"",AVERAGE(MACROS!$V16,MACROS!$W16,MACROS!$X16,MACROS!$Y16))</f>
        <v/>
      </c>
      <c r="AK16" s="15">
        <f>1</f>
        <v>1</v>
      </c>
      <c r="AL16" s="79" t="str">
        <f>IF(OR(MACROS!$A16="",MACROS!$B16="",MACROS!$C16="",MACROS!$D16="",MACROS!$E16="",MACROS!$I16="",MACROS!$AJ16="",MACROS!$AK16=""),"",((MACROS!$I16-MACROS!$AJ16)*MACROS!$AK16*(1/10000)*(1/12.1525)*MACROS!$D16*(1/MACROS!$C16)*MACROS!$E16*1000))</f>
        <v/>
      </c>
      <c r="AM16" s="79" t="str">
        <f>IF(OR(MACROS!$AE16="",MACROS!$AL16=""),"",MACROS!$AE16/MACROS!$AL16)</f>
        <v/>
      </c>
      <c r="AN16" s="79" t="str">
        <f>IF(OR(MACROS!$AI16="",MACROS!$AL16=""),"",MACROS!$AI16/MACROS!$AL16)</f>
        <v/>
      </c>
      <c r="AO16" s="20" t="str">
        <f>IF(MACROS!$A16="","",IF(ISNUMBER(VLOOKUP(MACROS!$A16,AC!A:J,10,FALSE)),VLOOKUP(MACROS!$A16,AC!A:J,10,FALSE),""))</f>
        <v/>
      </c>
      <c r="AP16" s="79" t="str">
        <f>IF(OR(MACROS!$AB16="",MACROS!$AE16="",MACROS!$AI16="",MACROS!$AL16="",MACROS!$AO16=""),"",SUM(MACROS!$AB16,MACROS!$AE16,MACROS!$AI16,MACROS!$AL16,MACROS!$AO16))</f>
        <v/>
      </c>
      <c r="AQ16" s="79" t="str">
        <f>IF(OR(MACROS!$AO16="",MACROS!$AP16=""),"",MACROS!$AO16/MACROS!$AP16*100)</f>
        <v/>
      </c>
      <c r="AR16" s="80" t="str">
        <f>IF(MACROS!$AQ16="","",IF(MACROS!$AW16+(MACROS!$AQ16-MACROS!$AU16)/(MACROS!$AV16-MACROS!$AU16)*(MACROS!$AX16-MACROS!$AW16)&gt;MAX(Interpolación!$C$2:$C$13),Interpolación!$C$13,CEILING(MACROS!$AW16+(MACROS!$AQ16-MACROS!$AU16)/(MACROS!$AV16-MACROS!$AU16)*(MACROS!$AX16-MACROS!$AW16),100)))</f>
        <v/>
      </c>
      <c r="AS16" s="80" t="str">
        <f>IF(MACROS!$AQ16="","",IF(ISNA(MATCH(MACROS!$AQ16,Interpolación!$B$2:$B$13,1)),Interpolación!$A$2,MIN(MATCH(MACROS!$AQ16,Interpolación!$B$2:$B$13,1),Interpolación!$A$13-1)))</f>
        <v/>
      </c>
      <c r="AT16" s="80" t="str">
        <f>IF(MACROS!$AS16="","",MACROS!$AS16+1)</f>
        <v/>
      </c>
      <c r="AU16" s="80" t="str">
        <f>IF(MACROS!$AS16="","",INDEX(Interpolación!$B$2:$B$13,MACROS!$AS16))</f>
        <v/>
      </c>
      <c r="AV16" s="80" t="str">
        <f>IF(MACROS!$AT16="","",INDEX(Interpolación!$B$2:$B$13,MACROS!$AT16))</f>
        <v/>
      </c>
      <c r="AW16" s="80" t="str">
        <f>IF(MACROS!$AS16="","",INDEX(Interpolación!$C$2:$C$13,MACROS!$AS16))</f>
        <v/>
      </c>
      <c r="AX16" s="80" t="str">
        <f>IF(MACROS!$AT16="","",INDEX(Interpolación!$C$2:$C$13,MACROS!$AT16))</f>
        <v/>
      </c>
    </row>
    <row r="17" spans="1:50" x14ac:dyDescent="0.25">
      <c r="A17" s="75" t="str">
        <f>IF('Pesada Macros'!A17="","",'Pesada Macros'!A17)</f>
        <v/>
      </c>
      <c r="B17" s="76" t="str">
        <f>IF('Pesada Macros'!B17="","",'Pesada Macros'!B17)</f>
        <v/>
      </c>
      <c r="C17" s="77" t="str">
        <f>IF('Pesada Macros'!C17="","",VALUE('Pesada Macros'!C17))</f>
        <v/>
      </c>
      <c r="D17" s="15">
        <f>50</f>
        <v>50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78" t="str">
        <f>IF(AND(MACROS!$J17="",MACROS!$K17="",MACROS!$L17="",MACROS!$M17=""),"",AVERAGE(MACROS!$J17,MACROS!$K17,MACROS!$L17,MACROS!$M17))</f>
        <v/>
      </c>
      <c r="AA17" s="15">
        <f>1</f>
        <v>1</v>
      </c>
      <c r="AB17" s="79" t="str">
        <f>IF(OR(MACROS!$A17="",MACROS!$B17="",MACROS!$C17="",MACROS!$D17="",MACROS!$E17="",MACROS!$F17="",MACROS!$Z17="",MACROS!$AA17=""),"",((MACROS!$F17-MACROS!$Z17)*MACROS!$AA17*(1/10000)*(1/22.99)*MACROS!$D17*(1/MACROS!$C17)*MACROS!$E17*1000))</f>
        <v/>
      </c>
      <c r="AC17" s="78" t="str">
        <f>IF(AND(MACROS!$N17="",MACROS!$O17="",MACROS!$P17="",MACROS!$Q17=""),"",AVERAGE(MACROS!$N17,MACROS!$O17,MACROS!$P17,MACROS!$Q17))</f>
        <v/>
      </c>
      <c r="AD17" s="15">
        <f>1</f>
        <v>1</v>
      </c>
      <c r="AE17" s="79" t="str">
        <f>IF(OR(MACROS!$A17="",MACROS!$B17="",MACROS!$C17="",MACROS!$D17="",MACROS!$E17="",MACROS!$G17="",MACROS!$AC17="",MACROS!$AD17=""),"",((MACROS!$G17-MACROS!$AC17)*MACROS!$AD17*(1/10000)*(1/39.098)*MACROS!$D17*(1/MACROS!$C17)*MACROS!$E17*1000))</f>
        <v/>
      </c>
      <c r="AF17" s="80" t="str">
        <f>IF(MACROS!$AE17="","",MACROS!$AE17*391)</f>
        <v/>
      </c>
      <c r="AG17" s="78" t="str">
        <f>IF(AND(MACROS!$R17="",MACROS!$S17="",MACROS!$T17="",MACROS!$U17=""),"",AVERAGE(MACROS!$R17,MACROS!$S17,MACROS!$T17,MACROS!$U17))</f>
        <v/>
      </c>
      <c r="AH17" s="15">
        <f>1</f>
        <v>1</v>
      </c>
      <c r="AI17" s="79" t="str">
        <f>IF(OR(MACROS!$A17="",MACROS!$B17="",MACROS!$C17="",MACROS!$D17="",MACROS!$E17="",MACROS!$H17="",MACROS!$AG17="",MACROS!$AH17=""),"",((MACROS!$H17-MACROS!$AG17)*MACROS!$AH17*(1/10000)*(1/20.04)*MACROS!$D17*(1/MACROS!$C17)*MACROS!$E17*1000))</f>
        <v/>
      </c>
      <c r="AJ17" s="78" t="str">
        <f>IF(AND(MACROS!$V17="",MACROS!$W17="",MACROS!$X17="",MACROS!$Y17=""),"",AVERAGE(MACROS!$V17,MACROS!$W17,MACROS!$X17,MACROS!$Y17))</f>
        <v/>
      </c>
      <c r="AK17" s="15">
        <f>1</f>
        <v>1</v>
      </c>
      <c r="AL17" s="79" t="str">
        <f>IF(OR(MACROS!$A17="",MACROS!$B17="",MACROS!$C17="",MACROS!$D17="",MACROS!$E17="",MACROS!$I17="",MACROS!$AJ17="",MACROS!$AK17=""),"",((MACROS!$I17-MACROS!$AJ17)*MACROS!$AK17*(1/10000)*(1/12.1525)*MACROS!$D17*(1/MACROS!$C17)*MACROS!$E17*1000))</f>
        <v/>
      </c>
      <c r="AM17" s="79" t="str">
        <f>IF(OR(MACROS!$AE17="",MACROS!$AL17=""),"",MACROS!$AE17/MACROS!$AL17)</f>
        <v/>
      </c>
      <c r="AN17" s="79" t="str">
        <f>IF(OR(MACROS!$AI17="",MACROS!$AL17=""),"",MACROS!$AI17/MACROS!$AL17)</f>
        <v/>
      </c>
      <c r="AO17" s="20" t="str">
        <f>IF(MACROS!$A17="","",IF(ISNUMBER(VLOOKUP(MACROS!$A17,AC!A:J,10,FALSE)),VLOOKUP(MACROS!$A17,AC!A:J,10,FALSE),""))</f>
        <v/>
      </c>
      <c r="AP17" s="79" t="str">
        <f>IF(OR(MACROS!$AB17="",MACROS!$AE17="",MACROS!$AI17="",MACROS!$AL17="",MACROS!$AO17=""),"",SUM(MACROS!$AB17,MACROS!$AE17,MACROS!$AI17,MACROS!$AL17,MACROS!$AO17))</f>
        <v/>
      </c>
      <c r="AQ17" s="79" t="str">
        <f>IF(OR(MACROS!$AO17="",MACROS!$AP17=""),"",MACROS!$AO17/MACROS!$AP17*100)</f>
        <v/>
      </c>
      <c r="AR17" s="80" t="str">
        <f>IF(MACROS!$AQ17="","",IF(MACROS!$AW17+(MACROS!$AQ17-MACROS!$AU17)/(MACROS!$AV17-MACROS!$AU17)*(MACROS!$AX17-MACROS!$AW17)&gt;MAX(Interpolación!$C$2:$C$13),Interpolación!$C$13,CEILING(MACROS!$AW17+(MACROS!$AQ17-MACROS!$AU17)/(MACROS!$AV17-MACROS!$AU17)*(MACROS!$AX17-MACROS!$AW17),100)))</f>
        <v/>
      </c>
      <c r="AS17" s="80" t="str">
        <f>IF(MACROS!$AQ17="","",IF(ISNA(MATCH(MACROS!$AQ17,Interpolación!$B$2:$B$13,1)),Interpolación!$A$2,MIN(MATCH(MACROS!$AQ17,Interpolación!$B$2:$B$13,1),Interpolación!$A$13-1)))</f>
        <v/>
      </c>
      <c r="AT17" s="80" t="str">
        <f>IF(MACROS!$AS17="","",MACROS!$AS17+1)</f>
        <v/>
      </c>
      <c r="AU17" s="80" t="str">
        <f>IF(MACROS!$AS17="","",INDEX(Interpolación!$B$2:$B$13,MACROS!$AS17))</f>
        <v/>
      </c>
      <c r="AV17" s="80" t="str">
        <f>IF(MACROS!$AT17="","",INDEX(Interpolación!$B$2:$B$13,MACROS!$AT17))</f>
        <v/>
      </c>
      <c r="AW17" s="80" t="str">
        <f>IF(MACROS!$AS17="","",INDEX(Interpolación!$C$2:$C$13,MACROS!$AS17))</f>
        <v/>
      </c>
      <c r="AX17" s="80" t="str">
        <f>IF(MACROS!$AT17="","",INDEX(Interpolación!$C$2:$C$13,MACROS!$AT17))</f>
        <v/>
      </c>
    </row>
    <row r="18" spans="1:50" x14ac:dyDescent="0.25">
      <c r="A18" s="75" t="str">
        <f>IF('Pesada Macros'!A18="","",'Pesada Macros'!A18)</f>
        <v/>
      </c>
      <c r="B18" s="76" t="str">
        <f>IF('Pesada Macros'!B18="","",'Pesada Macros'!B18)</f>
        <v/>
      </c>
      <c r="C18" s="77" t="str">
        <f>IF('Pesada Macros'!C18="","",VALUE('Pesada Macros'!C18))</f>
        <v/>
      </c>
      <c r="D18" s="15">
        <f>50</f>
        <v>50</v>
      </c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78" t="str">
        <f>IF(AND(MACROS!$J18="",MACROS!$K18="",MACROS!$L18="",MACROS!$M18=""),"",AVERAGE(MACROS!$J18,MACROS!$K18,MACROS!$L18,MACROS!$M18))</f>
        <v/>
      </c>
      <c r="AA18" s="15">
        <f>1</f>
        <v>1</v>
      </c>
      <c r="AB18" s="79" t="str">
        <f>IF(OR(MACROS!$A18="",MACROS!$B18="",MACROS!$C18="",MACROS!$D18="",MACROS!$E18="",MACROS!$F18="",MACROS!$Z18="",MACROS!$AA18=""),"",((MACROS!$F18-MACROS!$Z18)*MACROS!$AA18*(1/10000)*(1/22.99)*MACROS!$D18*(1/MACROS!$C18)*MACROS!$E18*1000))</f>
        <v/>
      </c>
      <c r="AC18" s="78" t="str">
        <f>IF(AND(MACROS!$N18="",MACROS!$O18="",MACROS!$P18="",MACROS!$Q18=""),"",AVERAGE(MACROS!$N18,MACROS!$O18,MACROS!$P18,MACROS!$Q18))</f>
        <v/>
      </c>
      <c r="AD18" s="15">
        <f>1</f>
        <v>1</v>
      </c>
      <c r="AE18" s="79" t="str">
        <f>IF(OR(MACROS!$A18="",MACROS!$B18="",MACROS!$C18="",MACROS!$D18="",MACROS!$E18="",MACROS!$G18="",MACROS!$AC18="",MACROS!$AD18=""),"",((MACROS!$G18-MACROS!$AC18)*MACROS!$AD18*(1/10000)*(1/39.098)*MACROS!$D18*(1/MACROS!$C18)*MACROS!$E18*1000))</f>
        <v/>
      </c>
      <c r="AF18" s="80" t="str">
        <f>IF(MACROS!$AE18="","",MACROS!$AE18*391)</f>
        <v/>
      </c>
      <c r="AG18" s="78" t="str">
        <f>IF(AND(MACROS!$R18="",MACROS!$S18="",MACROS!$T18="",MACROS!$U18=""),"",AVERAGE(MACROS!$R18,MACROS!$S18,MACROS!$T18,MACROS!$U18))</f>
        <v/>
      </c>
      <c r="AH18" s="15">
        <f>1</f>
        <v>1</v>
      </c>
      <c r="AI18" s="79" t="str">
        <f>IF(OR(MACROS!$A18="",MACROS!$B18="",MACROS!$C18="",MACROS!$D18="",MACROS!$E18="",MACROS!$H18="",MACROS!$AG18="",MACROS!$AH18=""),"",((MACROS!$H18-MACROS!$AG18)*MACROS!$AH18*(1/10000)*(1/20.04)*MACROS!$D18*(1/MACROS!$C18)*MACROS!$E18*1000))</f>
        <v/>
      </c>
      <c r="AJ18" s="78" t="str">
        <f>IF(AND(MACROS!$V18="",MACROS!$W18="",MACROS!$X18="",MACROS!$Y18=""),"",AVERAGE(MACROS!$V18,MACROS!$W18,MACROS!$X18,MACROS!$Y18))</f>
        <v/>
      </c>
      <c r="AK18" s="15">
        <f>1</f>
        <v>1</v>
      </c>
      <c r="AL18" s="79" t="str">
        <f>IF(OR(MACROS!$A18="",MACROS!$B18="",MACROS!$C18="",MACROS!$D18="",MACROS!$E18="",MACROS!$I18="",MACROS!$AJ18="",MACROS!$AK18=""),"",((MACROS!$I18-MACROS!$AJ18)*MACROS!$AK18*(1/10000)*(1/12.1525)*MACROS!$D18*(1/MACROS!$C18)*MACROS!$E18*1000))</f>
        <v/>
      </c>
      <c r="AM18" s="79" t="str">
        <f>IF(OR(MACROS!$AE18="",MACROS!$AL18=""),"",MACROS!$AE18/MACROS!$AL18)</f>
        <v/>
      </c>
      <c r="AN18" s="79" t="str">
        <f>IF(OR(MACROS!$AI18="",MACROS!$AL18=""),"",MACROS!$AI18/MACROS!$AL18)</f>
        <v/>
      </c>
      <c r="AO18" s="20" t="str">
        <f>IF(MACROS!$A18="","",IF(ISNUMBER(VLOOKUP(MACROS!$A18,AC!A:J,10,FALSE)),VLOOKUP(MACROS!$A18,AC!A:J,10,FALSE),""))</f>
        <v/>
      </c>
      <c r="AP18" s="79" t="str">
        <f>IF(OR(MACROS!$AB18="",MACROS!$AE18="",MACROS!$AI18="",MACROS!$AL18="",MACROS!$AO18=""),"",SUM(MACROS!$AB18,MACROS!$AE18,MACROS!$AI18,MACROS!$AL18,MACROS!$AO18))</f>
        <v/>
      </c>
      <c r="AQ18" s="79" t="str">
        <f>IF(OR(MACROS!$AO18="",MACROS!$AP18=""),"",MACROS!$AO18/MACROS!$AP18*100)</f>
        <v/>
      </c>
      <c r="AR18" s="80" t="str">
        <f>IF(MACROS!$AQ18="","",IF(MACROS!$AW18+(MACROS!$AQ18-MACROS!$AU18)/(MACROS!$AV18-MACROS!$AU18)*(MACROS!$AX18-MACROS!$AW18)&gt;MAX(Interpolación!$C$2:$C$13),Interpolación!$C$13,CEILING(MACROS!$AW18+(MACROS!$AQ18-MACROS!$AU18)/(MACROS!$AV18-MACROS!$AU18)*(MACROS!$AX18-MACROS!$AW18),100)))</f>
        <v/>
      </c>
      <c r="AS18" s="80" t="str">
        <f>IF(MACROS!$AQ18="","",IF(ISNA(MATCH(MACROS!$AQ18,Interpolación!$B$2:$B$13,1)),Interpolación!$A$2,MIN(MATCH(MACROS!$AQ18,Interpolación!$B$2:$B$13,1),Interpolación!$A$13-1)))</f>
        <v/>
      </c>
      <c r="AT18" s="80" t="str">
        <f>IF(MACROS!$AS18="","",MACROS!$AS18+1)</f>
        <v/>
      </c>
      <c r="AU18" s="80" t="str">
        <f>IF(MACROS!$AS18="","",INDEX(Interpolación!$B$2:$B$13,MACROS!$AS18))</f>
        <v/>
      </c>
      <c r="AV18" s="80" t="str">
        <f>IF(MACROS!$AT18="","",INDEX(Interpolación!$B$2:$B$13,MACROS!$AT18))</f>
        <v/>
      </c>
      <c r="AW18" s="80" t="str">
        <f>IF(MACROS!$AS18="","",INDEX(Interpolación!$C$2:$C$13,MACROS!$AS18))</f>
        <v/>
      </c>
      <c r="AX18" s="80" t="str">
        <f>IF(MACROS!$AT18="","",INDEX(Interpolación!$C$2:$C$13,MACROS!$AT18))</f>
        <v/>
      </c>
    </row>
    <row r="19" spans="1:50" x14ac:dyDescent="0.25">
      <c r="A19" s="75" t="str">
        <f>IF('Pesada Macros'!A19="","",'Pesada Macros'!A19)</f>
        <v/>
      </c>
      <c r="B19" s="76" t="str">
        <f>IF('Pesada Macros'!B19="","",'Pesada Macros'!B19)</f>
        <v/>
      </c>
      <c r="C19" s="77" t="str">
        <f>IF('Pesada Macros'!C19="","",VALUE('Pesada Macros'!C19))</f>
        <v/>
      </c>
      <c r="D19" s="15">
        <f>50</f>
        <v>50</v>
      </c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78" t="str">
        <f>IF(AND(MACROS!$J19="",MACROS!$K19="",MACROS!$L19="",MACROS!$M19=""),"",AVERAGE(MACROS!$J19,MACROS!$K19,MACROS!$L19,MACROS!$M19))</f>
        <v/>
      </c>
      <c r="AA19" s="15">
        <f>1</f>
        <v>1</v>
      </c>
      <c r="AB19" s="79" t="str">
        <f>IF(OR(MACROS!$A19="",MACROS!$B19="",MACROS!$C19="",MACROS!$D19="",MACROS!$E19="",MACROS!$F19="",MACROS!$Z19="",MACROS!$AA19=""),"",((MACROS!$F19-MACROS!$Z19)*MACROS!$AA19*(1/10000)*(1/22.99)*MACROS!$D19*(1/MACROS!$C19)*MACROS!$E19*1000))</f>
        <v/>
      </c>
      <c r="AC19" s="78" t="str">
        <f>IF(AND(MACROS!$N19="",MACROS!$O19="",MACROS!$P19="",MACROS!$Q19=""),"",AVERAGE(MACROS!$N19,MACROS!$O19,MACROS!$P19,MACROS!$Q19))</f>
        <v/>
      </c>
      <c r="AD19" s="15">
        <f>1</f>
        <v>1</v>
      </c>
      <c r="AE19" s="79" t="str">
        <f>IF(OR(MACROS!$A19="",MACROS!$B19="",MACROS!$C19="",MACROS!$D19="",MACROS!$E19="",MACROS!$G19="",MACROS!$AC19="",MACROS!$AD19=""),"",((MACROS!$G19-MACROS!$AC19)*MACROS!$AD19*(1/10000)*(1/39.098)*MACROS!$D19*(1/MACROS!$C19)*MACROS!$E19*1000))</f>
        <v/>
      </c>
      <c r="AF19" s="80" t="str">
        <f>IF(MACROS!$AE19="","",MACROS!$AE19*391)</f>
        <v/>
      </c>
      <c r="AG19" s="78" t="str">
        <f>IF(AND(MACROS!$R19="",MACROS!$S19="",MACROS!$T19="",MACROS!$U19=""),"",AVERAGE(MACROS!$R19,MACROS!$S19,MACROS!$T19,MACROS!$U19))</f>
        <v/>
      </c>
      <c r="AH19" s="15">
        <f>1</f>
        <v>1</v>
      </c>
      <c r="AI19" s="79" t="str">
        <f>IF(OR(MACROS!$A19="",MACROS!$B19="",MACROS!$C19="",MACROS!$D19="",MACROS!$E19="",MACROS!$H19="",MACROS!$AG19="",MACROS!$AH19=""),"",((MACROS!$H19-MACROS!$AG19)*MACROS!$AH19*(1/10000)*(1/20.04)*MACROS!$D19*(1/MACROS!$C19)*MACROS!$E19*1000))</f>
        <v/>
      </c>
      <c r="AJ19" s="78" t="str">
        <f>IF(AND(MACROS!$V19="",MACROS!$W19="",MACROS!$X19="",MACROS!$Y19=""),"",AVERAGE(MACROS!$V19,MACROS!$W19,MACROS!$X19,MACROS!$Y19))</f>
        <v/>
      </c>
      <c r="AK19" s="15">
        <f>1</f>
        <v>1</v>
      </c>
      <c r="AL19" s="79" t="str">
        <f>IF(OR(MACROS!$A19="",MACROS!$B19="",MACROS!$C19="",MACROS!$D19="",MACROS!$E19="",MACROS!$I19="",MACROS!$AJ19="",MACROS!$AK19=""),"",((MACROS!$I19-MACROS!$AJ19)*MACROS!$AK19*(1/10000)*(1/12.1525)*MACROS!$D19*(1/MACROS!$C19)*MACROS!$E19*1000))</f>
        <v/>
      </c>
      <c r="AM19" s="79" t="str">
        <f>IF(OR(MACROS!$AE19="",MACROS!$AL19=""),"",MACROS!$AE19/MACROS!$AL19)</f>
        <v/>
      </c>
      <c r="AN19" s="79" t="str">
        <f>IF(OR(MACROS!$AI19="",MACROS!$AL19=""),"",MACROS!$AI19/MACROS!$AL19)</f>
        <v/>
      </c>
      <c r="AO19" s="20" t="str">
        <f>IF(MACROS!$A19="","",IF(ISNUMBER(VLOOKUP(MACROS!$A19,AC!A:J,10,FALSE)),VLOOKUP(MACROS!$A19,AC!A:J,10,FALSE),""))</f>
        <v/>
      </c>
      <c r="AP19" s="79" t="str">
        <f>IF(OR(MACROS!$AB19="",MACROS!$AE19="",MACROS!$AI19="",MACROS!$AL19="",MACROS!$AO19=""),"",SUM(MACROS!$AB19,MACROS!$AE19,MACROS!$AI19,MACROS!$AL19,MACROS!$AO19))</f>
        <v/>
      </c>
      <c r="AQ19" s="79" t="str">
        <f>IF(OR(MACROS!$AO19="",MACROS!$AP19=""),"",MACROS!$AO19/MACROS!$AP19*100)</f>
        <v/>
      </c>
      <c r="AR19" s="80" t="str">
        <f>IF(MACROS!$AQ19="","",IF(MACROS!$AW19+(MACROS!$AQ19-MACROS!$AU19)/(MACROS!$AV19-MACROS!$AU19)*(MACROS!$AX19-MACROS!$AW19)&gt;MAX(Interpolación!$C$2:$C$13),Interpolación!$C$13,CEILING(MACROS!$AW19+(MACROS!$AQ19-MACROS!$AU19)/(MACROS!$AV19-MACROS!$AU19)*(MACROS!$AX19-MACROS!$AW19),100)))</f>
        <v/>
      </c>
      <c r="AS19" s="80" t="str">
        <f>IF(MACROS!$AQ19="","",IF(ISNA(MATCH(MACROS!$AQ19,Interpolación!$B$2:$B$13,1)),Interpolación!$A$2,MIN(MATCH(MACROS!$AQ19,Interpolación!$B$2:$B$13,1),Interpolación!$A$13-1)))</f>
        <v/>
      </c>
      <c r="AT19" s="80" t="str">
        <f>IF(MACROS!$AS19="","",MACROS!$AS19+1)</f>
        <v/>
      </c>
      <c r="AU19" s="80" t="str">
        <f>IF(MACROS!$AS19="","",INDEX(Interpolación!$B$2:$B$13,MACROS!$AS19))</f>
        <v/>
      </c>
      <c r="AV19" s="80" t="str">
        <f>IF(MACROS!$AT19="","",INDEX(Interpolación!$B$2:$B$13,MACROS!$AT19))</f>
        <v/>
      </c>
      <c r="AW19" s="80" t="str">
        <f>IF(MACROS!$AS19="","",INDEX(Interpolación!$C$2:$C$13,MACROS!$AS19))</f>
        <v/>
      </c>
      <c r="AX19" s="80" t="str">
        <f>IF(MACROS!$AT19="","",INDEX(Interpolación!$C$2:$C$13,MACROS!$AT19))</f>
        <v/>
      </c>
    </row>
    <row r="20" spans="1:50" x14ac:dyDescent="0.25">
      <c r="A20" s="75" t="str">
        <f>IF('Pesada Macros'!A20="","",'Pesada Macros'!A20)</f>
        <v/>
      </c>
      <c r="B20" s="76" t="str">
        <f>IF('Pesada Macros'!B20="","",'Pesada Macros'!B20)</f>
        <v/>
      </c>
      <c r="C20" s="77" t="str">
        <f>IF('Pesada Macros'!C20="","",VALUE('Pesada Macros'!C20))</f>
        <v/>
      </c>
      <c r="D20" s="15">
        <f>50</f>
        <v>50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78" t="str">
        <f>IF(AND(MACROS!$J20="",MACROS!$K20="",MACROS!$L20="",MACROS!$M20=""),"",AVERAGE(MACROS!$J20,MACROS!$K20,MACROS!$L20,MACROS!$M20))</f>
        <v/>
      </c>
      <c r="AA20" s="15">
        <f>1</f>
        <v>1</v>
      </c>
      <c r="AB20" s="79" t="str">
        <f>IF(OR(MACROS!$A20="",MACROS!$B20="",MACROS!$C20="",MACROS!$D20="",MACROS!$E20="",MACROS!$F20="",MACROS!$Z20="",MACROS!$AA20=""),"",((MACROS!$F20-MACROS!$Z20)*MACROS!$AA20*(1/10000)*(1/22.99)*MACROS!$D20*(1/MACROS!$C20)*MACROS!$E20*1000))</f>
        <v/>
      </c>
      <c r="AC20" s="78" t="str">
        <f>IF(AND(MACROS!$N20="",MACROS!$O20="",MACROS!$P20="",MACROS!$Q20=""),"",AVERAGE(MACROS!$N20,MACROS!$O20,MACROS!$P20,MACROS!$Q20))</f>
        <v/>
      </c>
      <c r="AD20" s="15">
        <f>1</f>
        <v>1</v>
      </c>
      <c r="AE20" s="79" t="str">
        <f>IF(OR(MACROS!$A20="",MACROS!$B20="",MACROS!$C20="",MACROS!$D20="",MACROS!$E20="",MACROS!$G20="",MACROS!$AC20="",MACROS!$AD20=""),"",((MACROS!$G20-MACROS!$AC20)*MACROS!$AD20*(1/10000)*(1/39.098)*MACROS!$D20*(1/MACROS!$C20)*MACROS!$E20*1000))</f>
        <v/>
      </c>
      <c r="AF20" s="80" t="str">
        <f>IF(MACROS!$AE20="","",MACROS!$AE20*391)</f>
        <v/>
      </c>
      <c r="AG20" s="78" t="str">
        <f>IF(AND(MACROS!$R20="",MACROS!$S20="",MACROS!$T20="",MACROS!$U20=""),"",AVERAGE(MACROS!$R20,MACROS!$S20,MACROS!$T20,MACROS!$U20))</f>
        <v/>
      </c>
      <c r="AH20" s="15">
        <f>1</f>
        <v>1</v>
      </c>
      <c r="AI20" s="79" t="str">
        <f>IF(OR(MACROS!$A20="",MACROS!$B20="",MACROS!$C20="",MACROS!$D20="",MACROS!$E20="",MACROS!$H20="",MACROS!$AG20="",MACROS!$AH20=""),"",((MACROS!$H20-MACROS!$AG20)*MACROS!$AH20*(1/10000)*(1/20.04)*MACROS!$D20*(1/MACROS!$C20)*MACROS!$E20*1000))</f>
        <v/>
      </c>
      <c r="AJ20" s="78" t="str">
        <f>IF(AND(MACROS!$V20="",MACROS!$W20="",MACROS!$X20="",MACROS!$Y20=""),"",AVERAGE(MACROS!$V20,MACROS!$W20,MACROS!$X20,MACROS!$Y20))</f>
        <v/>
      </c>
      <c r="AK20" s="15">
        <f>1</f>
        <v>1</v>
      </c>
      <c r="AL20" s="79" t="str">
        <f>IF(OR(MACROS!$A20="",MACROS!$B20="",MACROS!$C20="",MACROS!$D20="",MACROS!$E20="",MACROS!$I20="",MACROS!$AJ20="",MACROS!$AK20=""),"",((MACROS!$I20-MACROS!$AJ20)*MACROS!$AK20*(1/10000)*(1/12.1525)*MACROS!$D20*(1/MACROS!$C20)*MACROS!$E20*1000))</f>
        <v/>
      </c>
      <c r="AM20" s="79" t="str">
        <f>IF(OR(MACROS!$AE20="",MACROS!$AL20=""),"",MACROS!$AE20/MACROS!$AL20)</f>
        <v/>
      </c>
      <c r="AN20" s="79" t="str">
        <f>IF(OR(MACROS!$AI20="",MACROS!$AL20=""),"",MACROS!$AI20/MACROS!$AL20)</f>
        <v/>
      </c>
      <c r="AO20" s="20" t="str">
        <f>IF(MACROS!$A20="","",IF(ISNUMBER(VLOOKUP(MACROS!$A20,AC!A:J,10,FALSE)),VLOOKUP(MACROS!$A20,AC!A:J,10,FALSE),""))</f>
        <v/>
      </c>
      <c r="AP20" s="79" t="str">
        <f>IF(OR(MACROS!$AB20="",MACROS!$AE20="",MACROS!$AI20="",MACROS!$AL20="",MACROS!$AO20=""),"",SUM(MACROS!$AB20,MACROS!$AE20,MACROS!$AI20,MACROS!$AL20,MACROS!$AO20))</f>
        <v/>
      </c>
      <c r="AQ20" s="79" t="str">
        <f>IF(OR(MACROS!$AO20="",MACROS!$AP20=""),"",MACROS!$AO20/MACROS!$AP20*100)</f>
        <v/>
      </c>
      <c r="AR20" s="80" t="str">
        <f>IF(MACROS!$AQ20="","",IF(MACROS!$AW20+(MACROS!$AQ20-MACROS!$AU20)/(MACROS!$AV20-MACROS!$AU20)*(MACROS!$AX20-MACROS!$AW20)&gt;MAX(Interpolación!$C$2:$C$13),Interpolación!$C$13,CEILING(MACROS!$AW20+(MACROS!$AQ20-MACROS!$AU20)/(MACROS!$AV20-MACROS!$AU20)*(MACROS!$AX20-MACROS!$AW20),100)))</f>
        <v/>
      </c>
      <c r="AS20" s="80" t="str">
        <f>IF(MACROS!$AQ20="","",IF(ISNA(MATCH(MACROS!$AQ20,Interpolación!$B$2:$B$13,1)),Interpolación!$A$2,MIN(MATCH(MACROS!$AQ20,Interpolación!$B$2:$B$13,1),Interpolación!$A$13-1)))</f>
        <v/>
      </c>
      <c r="AT20" s="80" t="str">
        <f>IF(MACROS!$AS20="","",MACROS!$AS20+1)</f>
        <v/>
      </c>
      <c r="AU20" s="80" t="str">
        <f>IF(MACROS!$AS20="","",INDEX(Interpolación!$B$2:$B$13,MACROS!$AS20))</f>
        <v/>
      </c>
      <c r="AV20" s="80" t="str">
        <f>IF(MACROS!$AT20="","",INDEX(Interpolación!$B$2:$B$13,MACROS!$AT20))</f>
        <v/>
      </c>
      <c r="AW20" s="80" t="str">
        <f>IF(MACROS!$AS20="","",INDEX(Interpolación!$C$2:$C$13,MACROS!$AS20))</f>
        <v/>
      </c>
      <c r="AX20" s="80" t="str">
        <f>IF(MACROS!$AT20="","",INDEX(Interpolación!$C$2:$C$13,MACROS!$AT20))</f>
        <v/>
      </c>
    </row>
    <row r="21" spans="1:50" x14ac:dyDescent="0.25">
      <c r="A21" s="75" t="str">
        <f>IF('Pesada Macros'!A21="","",'Pesada Macros'!A21)</f>
        <v/>
      </c>
      <c r="B21" s="76" t="str">
        <f>IF('Pesada Macros'!B21="","",'Pesada Macros'!B21)</f>
        <v/>
      </c>
      <c r="C21" s="77" t="str">
        <f>IF('Pesada Macros'!C21="","",VALUE('Pesada Macros'!C21))</f>
        <v/>
      </c>
      <c r="D21" s="15">
        <f>50</f>
        <v>50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78" t="str">
        <f>IF(AND(MACROS!$J21="",MACROS!$K21="",MACROS!$L21="",MACROS!$M21=""),"",AVERAGE(MACROS!$J21,MACROS!$K21,MACROS!$L21,MACROS!$M21))</f>
        <v/>
      </c>
      <c r="AA21" s="15">
        <f>1</f>
        <v>1</v>
      </c>
      <c r="AB21" s="79" t="str">
        <f>IF(OR(MACROS!$A21="",MACROS!$B21="",MACROS!$C21="",MACROS!$D21="",MACROS!$E21="",MACROS!$F21="",MACROS!$Z21="",MACROS!$AA21=""),"",((MACROS!$F21-MACROS!$Z21)*MACROS!$AA21*(1/10000)*(1/22.99)*MACROS!$D21*(1/MACROS!$C21)*MACROS!$E21*1000))</f>
        <v/>
      </c>
      <c r="AC21" s="78" t="str">
        <f>IF(AND(MACROS!$N21="",MACROS!$O21="",MACROS!$P21="",MACROS!$Q21=""),"",AVERAGE(MACROS!$N21,MACROS!$O21,MACROS!$P21,MACROS!$Q21))</f>
        <v/>
      </c>
      <c r="AD21" s="15">
        <f>1</f>
        <v>1</v>
      </c>
      <c r="AE21" s="79" t="str">
        <f>IF(OR(MACROS!$A21="",MACROS!$B21="",MACROS!$C21="",MACROS!$D21="",MACROS!$E21="",MACROS!$G21="",MACROS!$AC21="",MACROS!$AD21=""),"",((MACROS!$G21-MACROS!$AC21)*MACROS!$AD21*(1/10000)*(1/39.098)*MACROS!$D21*(1/MACROS!$C21)*MACROS!$E21*1000))</f>
        <v/>
      </c>
      <c r="AF21" s="80" t="str">
        <f>IF(MACROS!$AE21="","",MACROS!$AE21*391)</f>
        <v/>
      </c>
      <c r="AG21" s="78" t="str">
        <f>IF(AND(MACROS!$R21="",MACROS!$S21="",MACROS!$T21="",MACROS!$U21=""),"",AVERAGE(MACROS!$R21,MACROS!$S21,MACROS!$T21,MACROS!$U21))</f>
        <v/>
      </c>
      <c r="AH21" s="15">
        <f>1</f>
        <v>1</v>
      </c>
      <c r="AI21" s="79" t="str">
        <f>IF(OR(MACROS!$A21="",MACROS!$B21="",MACROS!$C21="",MACROS!$D21="",MACROS!$E21="",MACROS!$H21="",MACROS!$AG21="",MACROS!$AH21=""),"",((MACROS!$H21-MACROS!$AG21)*MACROS!$AH21*(1/10000)*(1/20.04)*MACROS!$D21*(1/MACROS!$C21)*MACROS!$E21*1000))</f>
        <v/>
      </c>
      <c r="AJ21" s="78" t="str">
        <f>IF(AND(MACROS!$V21="",MACROS!$W21="",MACROS!$X21="",MACROS!$Y21=""),"",AVERAGE(MACROS!$V21,MACROS!$W21,MACROS!$X21,MACROS!$Y21))</f>
        <v/>
      </c>
      <c r="AK21" s="15">
        <f>1</f>
        <v>1</v>
      </c>
      <c r="AL21" s="79" t="str">
        <f>IF(OR(MACROS!$A21="",MACROS!$B21="",MACROS!$C21="",MACROS!$D21="",MACROS!$E21="",MACROS!$I21="",MACROS!$AJ21="",MACROS!$AK21=""),"",((MACROS!$I21-MACROS!$AJ21)*MACROS!$AK21*(1/10000)*(1/12.1525)*MACROS!$D21*(1/MACROS!$C21)*MACROS!$E21*1000))</f>
        <v/>
      </c>
      <c r="AM21" s="79" t="str">
        <f>IF(OR(MACROS!$AE21="",MACROS!$AL21=""),"",MACROS!$AE21/MACROS!$AL21)</f>
        <v/>
      </c>
      <c r="AN21" s="79" t="str">
        <f>IF(OR(MACROS!$AI21="",MACROS!$AL21=""),"",MACROS!$AI21/MACROS!$AL21)</f>
        <v/>
      </c>
      <c r="AO21" s="20" t="str">
        <f>IF(MACROS!$A21="","",IF(ISNUMBER(VLOOKUP(MACROS!$A21,AC!A:J,10,FALSE)),VLOOKUP(MACROS!$A21,AC!A:J,10,FALSE),""))</f>
        <v/>
      </c>
      <c r="AP21" s="79" t="str">
        <f>IF(OR(MACROS!$AB21="",MACROS!$AE21="",MACROS!$AI21="",MACROS!$AL21="",MACROS!$AO21=""),"",SUM(MACROS!$AB21,MACROS!$AE21,MACROS!$AI21,MACROS!$AL21,MACROS!$AO21))</f>
        <v/>
      </c>
      <c r="AQ21" s="79" t="str">
        <f>IF(OR(MACROS!$AO21="",MACROS!$AP21=""),"",MACROS!$AO21/MACROS!$AP21*100)</f>
        <v/>
      </c>
      <c r="AR21" s="80" t="str">
        <f>IF(MACROS!$AQ21="","",IF(MACROS!$AW21+(MACROS!$AQ21-MACROS!$AU21)/(MACROS!$AV21-MACROS!$AU21)*(MACROS!$AX21-MACROS!$AW21)&gt;MAX(Interpolación!$C$2:$C$13),Interpolación!$C$13,CEILING(MACROS!$AW21+(MACROS!$AQ21-MACROS!$AU21)/(MACROS!$AV21-MACROS!$AU21)*(MACROS!$AX21-MACROS!$AW21),100)))</f>
        <v/>
      </c>
      <c r="AS21" s="80" t="str">
        <f>IF(MACROS!$AQ21="","",IF(ISNA(MATCH(MACROS!$AQ21,Interpolación!$B$2:$B$13,1)),Interpolación!$A$2,MIN(MATCH(MACROS!$AQ21,Interpolación!$B$2:$B$13,1),Interpolación!$A$13-1)))</f>
        <v/>
      </c>
      <c r="AT21" s="80" t="str">
        <f>IF(MACROS!$AS21="","",MACROS!$AS21+1)</f>
        <v/>
      </c>
      <c r="AU21" s="80" t="str">
        <f>IF(MACROS!$AS21="","",INDEX(Interpolación!$B$2:$B$13,MACROS!$AS21))</f>
        <v/>
      </c>
      <c r="AV21" s="80" t="str">
        <f>IF(MACROS!$AT21="","",INDEX(Interpolación!$B$2:$B$13,MACROS!$AT21))</f>
        <v/>
      </c>
      <c r="AW21" s="80" t="str">
        <f>IF(MACROS!$AS21="","",INDEX(Interpolación!$C$2:$C$13,MACROS!$AS21))</f>
        <v/>
      </c>
      <c r="AX21" s="80" t="str">
        <f>IF(MACROS!$AT21="","",INDEX(Interpolación!$C$2:$C$13,MACROS!$AT21))</f>
        <v/>
      </c>
    </row>
    <row r="22" spans="1:50" x14ac:dyDescent="0.25">
      <c r="A22" s="75" t="str">
        <f>IF('Pesada Macros'!A22="","",'Pesada Macros'!A22)</f>
        <v/>
      </c>
      <c r="B22" s="76" t="str">
        <f>IF('Pesada Macros'!B22="","",'Pesada Macros'!B22)</f>
        <v/>
      </c>
      <c r="C22" s="77" t="str">
        <f>IF('Pesada Macros'!C22="","",VALUE('Pesada Macros'!C22))</f>
        <v/>
      </c>
      <c r="D22" s="15">
        <f>50</f>
        <v>50</v>
      </c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78" t="str">
        <f>IF(AND(MACROS!$J22="",MACROS!$K22="",MACROS!$L22="",MACROS!$M22=""),"",AVERAGE(MACROS!$J22,MACROS!$K22,MACROS!$L22,MACROS!$M22))</f>
        <v/>
      </c>
      <c r="AA22" s="15">
        <f>1</f>
        <v>1</v>
      </c>
      <c r="AB22" s="79" t="str">
        <f>IF(OR(MACROS!$A22="",MACROS!$B22="",MACROS!$C22="",MACROS!$D22="",MACROS!$E22="",MACROS!$F22="",MACROS!$Z22="",MACROS!$AA22=""),"",((MACROS!$F22-MACROS!$Z22)*MACROS!$AA22*(1/10000)*(1/22.99)*MACROS!$D22*(1/MACROS!$C22)*MACROS!$E22*1000))</f>
        <v/>
      </c>
      <c r="AC22" s="78" t="str">
        <f>IF(AND(MACROS!$N22="",MACROS!$O22="",MACROS!$P22="",MACROS!$Q22=""),"",AVERAGE(MACROS!$N22,MACROS!$O22,MACROS!$P22,MACROS!$Q22))</f>
        <v/>
      </c>
      <c r="AD22" s="15">
        <f>1</f>
        <v>1</v>
      </c>
      <c r="AE22" s="79" t="str">
        <f>IF(OR(MACROS!$A22="",MACROS!$B22="",MACROS!$C22="",MACROS!$D22="",MACROS!$E22="",MACROS!$G22="",MACROS!$AC22="",MACROS!$AD22=""),"",((MACROS!$G22-MACROS!$AC22)*MACROS!$AD22*(1/10000)*(1/39.098)*MACROS!$D22*(1/MACROS!$C22)*MACROS!$E22*1000))</f>
        <v/>
      </c>
      <c r="AF22" s="80" t="str">
        <f>IF(MACROS!$AE22="","",MACROS!$AE22*391)</f>
        <v/>
      </c>
      <c r="AG22" s="78" t="str">
        <f>IF(AND(MACROS!$R22="",MACROS!$S22="",MACROS!$T22="",MACROS!$U22=""),"",AVERAGE(MACROS!$R22,MACROS!$S22,MACROS!$T22,MACROS!$U22))</f>
        <v/>
      </c>
      <c r="AH22" s="15">
        <f>1</f>
        <v>1</v>
      </c>
      <c r="AI22" s="79" t="str">
        <f>IF(OR(MACROS!$A22="",MACROS!$B22="",MACROS!$C22="",MACROS!$D22="",MACROS!$E22="",MACROS!$H22="",MACROS!$AG22="",MACROS!$AH22=""),"",((MACROS!$H22-MACROS!$AG22)*MACROS!$AH22*(1/10000)*(1/20.04)*MACROS!$D22*(1/MACROS!$C22)*MACROS!$E22*1000))</f>
        <v/>
      </c>
      <c r="AJ22" s="78" t="str">
        <f>IF(AND(MACROS!$V22="",MACROS!$W22="",MACROS!$X22="",MACROS!$Y22=""),"",AVERAGE(MACROS!$V22,MACROS!$W22,MACROS!$X22,MACROS!$Y22))</f>
        <v/>
      </c>
      <c r="AK22" s="15">
        <f>1</f>
        <v>1</v>
      </c>
      <c r="AL22" s="79" t="str">
        <f>IF(OR(MACROS!$A22="",MACROS!$B22="",MACROS!$C22="",MACROS!$D22="",MACROS!$E22="",MACROS!$I22="",MACROS!$AJ22="",MACROS!$AK22=""),"",((MACROS!$I22-MACROS!$AJ22)*MACROS!$AK22*(1/10000)*(1/12.1525)*MACROS!$D22*(1/MACROS!$C22)*MACROS!$E22*1000))</f>
        <v/>
      </c>
      <c r="AM22" s="79" t="str">
        <f>IF(OR(MACROS!$AE22="",MACROS!$AL22=""),"",MACROS!$AE22/MACROS!$AL22)</f>
        <v/>
      </c>
      <c r="AN22" s="79" t="str">
        <f>IF(OR(MACROS!$AI22="",MACROS!$AL22=""),"",MACROS!$AI22/MACROS!$AL22)</f>
        <v/>
      </c>
      <c r="AO22" s="20" t="str">
        <f>IF(MACROS!$A22="","",IF(ISNUMBER(VLOOKUP(MACROS!$A22,AC!A:J,10,FALSE)),VLOOKUP(MACROS!$A22,AC!A:J,10,FALSE),""))</f>
        <v/>
      </c>
      <c r="AP22" s="79" t="str">
        <f>IF(OR(MACROS!$AB22="",MACROS!$AE22="",MACROS!$AI22="",MACROS!$AL22="",MACROS!$AO22=""),"",SUM(MACROS!$AB22,MACROS!$AE22,MACROS!$AI22,MACROS!$AL22,MACROS!$AO22))</f>
        <v/>
      </c>
      <c r="AQ22" s="79" t="str">
        <f>IF(OR(MACROS!$AO22="",MACROS!$AP22=""),"",MACROS!$AO22/MACROS!$AP22*100)</f>
        <v/>
      </c>
      <c r="AR22" s="80" t="str">
        <f>IF(MACROS!$AQ22="","",IF(MACROS!$AW22+(MACROS!$AQ22-MACROS!$AU22)/(MACROS!$AV22-MACROS!$AU22)*(MACROS!$AX22-MACROS!$AW22)&gt;MAX(Interpolación!$C$2:$C$13),Interpolación!$C$13,CEILING(MACROS!$AW22+(MACROS!$AQ22-MACROS!$AU22)/(MACROS!$AV22-MACROS!$AU22)*(MACROS!$AX22-MACROS!$AW22),100)))</f>
        <v/>
      </c>
      <c r="AS22" s="80" t="str">
        <f>IF(MACROS!$AQ22="","",IF(ISNA(MATCH(MACROS!$AQ22,Interpolación!$B$2:$B$13,1)),Interpolación!$A$2,MIN(MATCH(MACROS!$AQ22,Interpolación!$B$2:$B$13,1),Interpolación!$A$13-1)))</f>
        <v/>
      </c>
      <c r="AT22" s="80" t="str">
        <f>IF(MACROS!$AS22="","",MACROS!$AS22+1)</f>
        <v/>
      </c>
      <c r="AU22" s="80" t="str">
        <f>IF(MACROS!$AS22="","",INDEX(Interpolación!$B$2:$B$13,MACROS!$AS22))</f>
        <v/>
      </c>
      <c r="AV22" s="80" t="str">
        <f>IF(MACROS!$AT22="","",INDEX(Interpolación!$B$2:$B$13,MACROS!$AT22))</f>
        <v/>
      </c>
      <c r="AW22" s="80" t="str">
        <f>IF(MACROS!$AS22="","",INDEX(Interpolación!$C$2:$C$13,MACROS!$AS22))</f>
        <v/>
      </c>
      <c r="AX22" s="80" t="str">
        <f>IF(MACROS!$AT22="","",INDEX(Interpolación!$C$2:$C$13,MACROS!$AT22))</f>
        <v/>
      </c>
    </row>
    <row r="23" spans="1:50" x14ac:dyDescent="0.25">
      <c r="A23" s="75" t="str">
        <f>IF('Pesada Macros'!A23="","",'Pesada Macros'!A23)</f>
        <v/>
      </c>
      <c r="B23" s="76" t="str">
        <f>IF('Pesada Macros'!B23="","",'Pesada Macros'!B23)</f>
        <v/>
      </c>
      <c r="C23" s="77" t="str">
        <f>IF('Pesada Macros'!C23="","",VALUE('Pesada Macros'!C23))</f>
        <v/>
      </c>
      <c r="D23" s="15">
        <f>50</f>
        <v>50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78" t="str">
        <f>IF(AND(MACROS!$J23="",MACROS!$K23="",MACROS!$L23="",MACROS!$M23=""),"",AVERAGE(MACROS!$J23,MACROS!$K23,MACROS!$L23,MACROS!$M23))</f>
        <v/>
      </c>
      <c r="AA23" s="15">
        <f>1</f>
        <v>1</v>
      </c>
      <c r="AB23" s="79" t="str">
        <f>IF(OR(MACROS!$A23="",MACROS!$B23="",MACROS!$C23="",MACROS!$D23="",MACROS!$E23="",MACROS!$F23="",MACROS!$Z23="",MACROS!$AA23=""),"",((MACROS!$F23-MACROS!$Z23)*MACROS!$AA23*(1/10000)*(1/22.99)*MACROS!$D23*(1/MACROS!$C23)*MACROS!$E23*1000))</f>
        <v/>
      </c>
      <c r="AC23" s="78" t="str">
        <f>IF(AND(MACROS!$N23="",MACROS!$O23="",MACROS!$P23="",MACROS!$Q23=""),"",AVERAGE(MACROS!$N23,MACROS!$O23,MACROS!$P23,MACROS!$Q23))</f>
        <v/>
      </c>
      <c r="AD23" s="15">
        <f>1</f>
        <v>1</v>
      </c>
      <c r="AE23" s="79" t="str">
        <f>IF(OR(MACROS!$A23="",MACROS!$B23="",MACROS!$C23="",MACROS!$D23="",MACROS!$E23="",MACROS!$G23="",MACROS!$AC23="",MACROS!$AD23=""),"",((MACROS!$G23-MACROS!$AC23)*MACROS!$AD23*(1/10000)*(1/39.098)*MACROS!$D23*(1/MACROS!$C23)*MACROS!$E23*1000))</f>
        <v/>
      </c>
      <c r="AF23" s="80" t="str">
        <f>IF(MACROS!$AE23="","",MACROS!$AE23*391)</f>
        <v/>
      </c>
      <c r="AG23" s="78" t="str">
        <f>IF(AND(MACROS!$R23="",MACROS!$S23="",MACROS!$T23="",MACROS!$U23=""),"",AVERAGE(MACROS!$R23,MACROS!$S23,MACROS!$T23,MACROS!$U23))</f>
        <v/>
      </c>
      <c r="AH23" s="15">
        <f>1</f>
        <v>1</v>
      </c>
      <c r="AI23" s="79" t="str">
        <f>IF(OR(MACROS!$A23="",MACROS!$B23="",MACROS!$C23="",MACROS!$D23="",MACROS!$E23="",MACROS!$H23="",MACROS!$AG23="",MACROS!$AH23=""),"",((MACROS!$H23-MACROS!$AG23)*MACROS!$AH23*(1/10000)*(1/20.04)*MACROS!$D23*(1/MACROS!$C23)*MACROS!$E23*1000))</f>
        <v/>
      </c>
      <c r="AJ23" s="78" t="str">
        <f>IF(AND(MACROS!$V23="",MACROS!$W23="",MACROS!$X23="",MACROS!$Y23=""),"",AVERAGE(MACROS!$V23,MACROS!$W23,MACROS!$X23,MACROS!$Y23))</f>
        <v/>
      </c>
      <c r="AK23" s="15">
        <f>1</f>
        <v>1</v>
      </c>
      <c r="AL23" s="79" t="str">
        <f>IF(OR(MACROS!$A23="",MACROS!$B23="",MACROS!$C23="",MACROS!$D23="",MACROS!$E23="",MACROS!$I23="",MACROS!$AJ23="",MACROS!$AK23=""),"",((MACROS!$I23-MACROS!$AJ23)*MACROS!$AK23*(1/10000)*(1/12.1525)*MACROS!$D23*(1/MACROS!$C23)*MACROS!$E23*1000))</f>
        <v/>
      </c>
      <c r="AM23" s="79" t="str">
        <f>IF(OR(MACROS!$AE23="",MACROS!$AL23=""),"",MACROS!$AE23/MACROS!$AL23)</f>
        <v/>
      </c>
      <c r="AN23" s="79" t="str">
        <f>IF(OR(MACROS!$AI23="",MACROS!$AL23=""),"",MACROS!$AI23/MACROS!$AL23)</f>
        <v/>
      </c>
      <c r="AO23" s="20" t="str">
        <f>IF(MACROS!$A23="","",IF(ISNUMBER(VLOOKUP(MACROS!$A23,AC!A:J,10,FALSE)),VLOOKUP(MACROS!$A23,AC!A:J,10,FALSE),""))</f>
        <v/>
      </c>
      <c r="AP23" s="79" t="str">
        <f>IF(OR(MACROS!$AB23="",MACROS!$AE23="",MACROS!$AI23="",MACROS!$AL23="",MACROS!$AO23=""),"",SUM(MACROS!$AB23,MACROS!$AE23,MACROS!$AI23,MACROS!$AL23,MACROS!$AO23))</f>
        <v/>
      </c>
      <c r="AQ23" s="79" t="str">
        <f>IF(OR(MACROS!$AO23="",MACROS!$AP23=""),"",MACROS!$AO23/MACROS!$AP23*100)</f>
        <v/>
      </c>
      <c r="AR23" s="80" t="str">
        <f>IF(MACROS!$AQ23="","",IF(MACROS!$AW23+(MACROS!$AQ23-MACROS!$AU23)/(MACROS!$AV23-MACROS!$AU23)*(MACROS!$AX23-MACROS!$AW23)&gt;MAX(Interpolación!$C$2:$C$13),Interpolación!$C$13,CEILING(MACROS!$AW23+(MACROS!$AQ23-MACROS!$AU23)/(MACROS!$AV23-MACROS!$AU23)*(MACROS!$AX23-MACROS!$AW23),100)))</f>
        <v/>
      </c>
      <c r="AS23" s="80" t="str">
        <f>IF(MACROS!$AQ23="","",IF(ISNA(MATCH(MACROS!$AQ23,Interpolación!$B$2:$B$13,1)),Interpolación!$A$2,MIN(MATCH(MACROS!$AQ23,Interpolación!$B$2:$B$13,1),Interpolación!$A$13-1)))</f>
        <v/>
      </c>
      <c r="AT23" s="80" t="str">
        <f>IF(MACROS!$AS23="","",MACROS!$AS23+1)</f>
        <v/>
      </c>
      <c r="AU23" s="80" t="str">
        <f>IF(MACROS!$AS23="","",INDEX(Interpolación!$B$2:$B$13,MACROS!$AS23))</f>
        <v/>
      </c>
      <c r="AV23" s="80" t="str">
        <f>IF(MACROS!$AT23="","",INDEX(Interpolación!$B$2:$B$13,MACROS!$AT23))</f>
        <v/>
      </c>
      <c r="AW23" s="80" t="str">
        <f>IF(MACROS!$AS23="","",INDEX(Interpolación!$C$2:$C$13,MACROS!$AS23))</f>
        <v/>
      </c>
      <c r="AX23" s="80" t="str">
        <f>IF(MACROS!$AT23="","",INDEX(Interpolación!$C$2:$C$13,MACROS!$AT23))</f>
        <v/>
      </c>
    </row>
    <row r="24" spans="1:50" x14ac:dyDescent="0.25">
      <c r="A24" s="75" t="str">
        <f>IF('Pesada Macros'!A24="","",'Pesada Macros'!A24)</f>
        <v/>
      </c>
      <c r="B24" s="76" t="str">
        <f>IF('Pesada Macros'!B24="","",'Pesada Macros'!B24)</f>
        <v/>
      </c>
      <c r="C24" s="77" t="str">
        <f>IF('Pesada Macros'!C24="","",VALUE('Pesada Macros'!C24))</f>
        <v/>
      </c>
      <c r="D24" s="15">
        <f>50</f>
        <v>50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78" t="str">
        <f>IF(AND(MACROS!$J24="",MACROS!$K24="",MACROS!$L24="",MACROS!$M24=""),"",AVERAGE(MACROS!$J24,MACROS!$K24,MACROS!$L24,MACROS!$M24))</f>
        <v/>
      </c>
      <c r="AA24" s="15">
        <f>1</f>
        <v>1</v>
      </c>
      <c r="AB24" s="79" t="str">
        <f>IF(OR(MACROS!$A24="",MACROS!$B24="",MACROS!$C24="",MACROS!$D24="",MACROS!$E24="",MACROS!$F24="",MACROS!$Z24="",MACROS!$AA24=""),"",((MACROS!$F24-MACROS!$Z24)*MACROS!$AA24*(1/10000)*(1/22.99)*MACROS!$D24*(1/MACROS!$C24)*MACROS!$E24*1000))</f>
        <v/>
      </c>
      <c r="AC24" s="78" t="str">
        <f>IF(AND(MACROS!$N24="",MACROS!$O24="",MACROS!$P24="",MACROS!$Q24=""),"",AVERAGE(MACROS!$N24,MACROS!$O24,MACROS!$P24,MACROS!$Q24))</f>
        <v/>
      </c>
      <c r="AD24" s="15">
        <f>1</f>
        <v>1</v>
      </c>
      <c r="AE24" s="79" t="str">
        <f>IF(OR(MACROS!$A24="",MACROS!$B24="",MACROS!$C24="",MACROS!$D24="",MACROS!$E24="",MACROS!$G24="",MACROS!$AC24="",MACROS!$AD24=""),"",((MACROS!$G24-MACROS!$AC24)*MACROS!$AD24*(1/10000)*(1/39.098)*MACROS!$D24*(1/MACROS!$C24)*MACROS!$E24*1000))</f>
        <v/>
      </c>
      <c r="AF24" s="80" t="str">
        <f>IF(MACROS!$AE24="","",MACROS!$AE24*391)</f>
        <v/>
      </c>
      <c r="AG24" s="78" t="str">
        <f>IF(AND(MACROS!$R24="",MACROS!$S24="",MACROS!$T24="",MACROS!$U24=""),"",AVERAGE(MACROS!$R24,MACROS!$S24,MACROS!$T24,MACROS!$U24))</f>
        <v/>
      </c>
      <c r="AH24" s="15">
        <f>1</f>
        <v>1</v>
      </c>
      <c r="AI24" s="79" t="str">
        <f>IF(OR(MACROS!$A24="",MACROS!$B24="",MACROS!$C24="",MACROS!$D24="",MACROS!$E24="",MACROS!$H24="",MACROS!$AG24="",MACROS!$AH24=""),"",((MACROS!$H24-MACROS!$AG24)*MACROS!$AH24*(1/10000)*(1/20.04)*MACROS!$D24*(1/MACROS!$C24)*MACROS!$E24*1000))</f>
        <v/>
      </c>
      <c r="AJ24" s="78" t="str">
        <f>IF(AND(MACROS!$V24="",MACROS!$W24="",MACROS!$X24="",MACROS!$Y24=""),"",AVERAGE(MACROS!$V24,MACROS!$W24,MACROS!$X24,MACROS!$Y24))</f>
        <v/>
      </c>
      <c r="AK24" s="15">
        <f>1</f>
        <v>1</v>
      </c>
      <c r="AL24" s="79" t="str">
        <f>IF(OR(MACROS!$A24="",MACROS!$B24="",MACROS!$C24="",MACROS!$D24="",MACROS!$E24="",MACROS!$I24="",MACROS!$AJ24="",MACROS!$AK24=""),"",((MACROS!$I24-MACROS!$AJ24)*MACROS!$AK24*(1/10000)*(1/12.1525)*MACROS!$D24*(1/MACROS!$C24)*MACROS!$E24*1000))</f>
        <v/>
      </c>
      <c r="AM24" s="79" t="str">
        <f>IF(OR(MACROS!$AE24="",MACROS!$AL24=""),"",MACROS!$AE24/MACROS!$AL24)</f>
        <v/>
      </c>
      <c r="AN24" s="79" t="str">
        <f>IF(OR(MACROS!$AI24="",MACROS!$AL24=""),"",MACROS!$AI24/MACROS!$AL24)</f>
        <v/>
      </c>
      <c r="AO24" s="20" t="str">
        <f>IF(MACROS!$A24="","",IF(ISNUMBER(VLOOKUP(MACROS!$A24,AC!A:J,10,FALSE)),VLOOKUP(MACROS!$A24,AC!A:J,10,FALSE),""))</f>
        <v/>
      </c>
      <c r="AP24" s="79" t="str">
        <f>IF(OR(MACROS!$AB24="",MACROS!$AE24="",MACROS!$AI24="",MACROS!$AL24="",MACROS!$AO24=""),"",SUM(MACROS!$AB24,MACROS!$AE24,MACROS!$AI24,MACROS!$AL24,MACROS!$AO24))</f>
        <v/>
      </c>
      <c r="AQ24" s="79" t="str">
        <f>IF(OR(MACROS!$AO24="",MACROS!$AP24=""),"",MACROS!$AO24/MACROS!$AP24*100)</f>
        <v/>
      </c>
      <c r="AR24" s="80" t="str">
        <f>IF(MACROS!$AQ24="","",IF(MACROS!$AW24+(MACROS!$AQ24-MACROS!$AU24)/(MACROS!$AV24-MACROS!$AU24)*(MACROS!$AX24-MACROS!$AW24)&gt;MAX(Interpolación!$C$2:$C$13),Interpolación!$C$13,CEILING(MACROS!$AW24+(MACROS!$AQ24-MACROS!$AU24)/(MACROS!$AV24-MACROS!$AU24)*(MACROS!$AX24-MACROS!$AW24),100)))</f>
        <v/>
      </c>
      <c r="AS24" s="80" t="str">
        <f>IF(MACROS!$AQ24="","",IF(ISNA(MATCH(MACROS!$AQ24,Interpolación!$B$2:$B$13,1)),Interpolación!$A$2,MIN(MATCH(MACROS!$AQ24,Interpolación!$B$2:$B$13,1),Interpolación!$A$13-1)))</f>
        <v/>
      </c>
      <c r="AT24" s="80" t="str">
        <f>IF(MACROS!$AS24="","",MACROS!$AS24+1)</f>
        <v/>
      </c>
      <c r="AU24" s="80" t="str">
        <f>IF(MACROS!$AS24="","",INDEX(Interpolación!$B$2:$B$13,MACROS!$AS24))</f>
        <v/>
      </c>
      <c r="AV24" s="80" t="str">
        <f>IF(MACROS!$AT24="","",INDEX(Interpolación!$B$2:$B$13,MACROS!$AT24))</f>
        <v/>
      </c>
      <c r="AW24" s="80" t="str">
        <f>IF(MACROS!$AS24="","",INDEX(Interpolación!$C$2:$C$13,MACROS!$AS24))</f>
        <v/>
      </c>
      <c r="AX24" s="80" t="str">
        <f>IF(MACROS!$AT24="","",INDEX(Interpolación!$C$2:$C$13,MACROS!$AT24))</f>
        <v/>
      </c>
    </row>
    <row r="25" spans="1:50" x14ac:dyDescent="0.25">
      <c r="A25" s="75" t="str">
        <f>IF('Pesada Macros'!A25="","",'Pesada Macros'!A25)</f>
        <v/>
      </c>
      <c r="B25" s="76" t="str">
        <f>IF('Pesada Macros'!B25="","",'Pesada Macros'!B25)</f>
        <v/>
      </c>
      <c r="C25" s="77" t="str">
        <f>IF('Pesada Macros'!C25="","",VALUE('Pesada Macros'!C25))</f>
        <v/>
      </c>
      <c r="D25" s="15">
        <f>50</f>
        <v>50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78" t="str">
        <f>IF(AND(MACROS!$J25="",MACROS!$K25="",MACROS!$L25="",MACROS!$M25=""),"",AVERAGE(MACROS!$J25,MACROS!$K25,MACROS!$L25,MACROS!$M25))</f>
        <v/>
      </c>
      <c r="AA25" s="15">
        <f>1</f>
        <v>1</v>
      </c>
      <c r="AB25" s="79" t="str">
        <f>IF(OR(MACROS!$A25="",MACROS!$B25="",MACROS!$C25="",MACROS!$D25="",MACROS!$E25="",MACROS!$F25="",MACROS!$Z25="",MACROS!$AA25=""),"",((MACROS!$F25-MACROS!$Z25)*MACROS!$AA25*(1/10000)*(1/22.99)*MACROS!$D25*(1/MACROS!$C25)*MACROS!$E25*1000))</f>
        <v/>
      </c>
      <c r="AC25" s="78" t="str">
        <f>IF(AND(MACROS!$N25="",MACROS!$O25="",MACROS!$P25="",MACROS!$Q25=""),"",AVERAGE(MACROS!$N25,MACROS!$O25,MACROS!$P25,MACROS!$Q25))</f>
        <v/>
      </c>
      <c r="AD25" s="15">
        <f>1</f>
        <v>1</v>
      </c>
      <c r="AE25" s="79" t="str">
        <f>IF(OR(MACROS!$A25="",MACROS!$B25="",MACROS!$C25="",MACROS!$D25="",MACROS!$E25="",MACROS!$G25="",MACROS!$AC25="",MACROS!$AD25=""),"",((MACROS!$G25-MACROS!$AC25)*MACROS!$AD25*(1/10000)*(1/39.098)*MACROS!$D25*(1/MACROS!$C25)*MACROS!$E25*1000))</f>
        <v/>
      </c>
      <c r="AF25" s="80" t="str">
        <f>IF(MACROS!$AE25="","",MACROS!$AE25*391)</f>
        <v/>
      </c>
      <c r="AG25" s="78" t="str">
        <f>IF(AND(MACROS!$R25="",MACROS!$S25="",MACROS!$T25="",MACROS!$U25=""),"",AVERAGE(MACROS!$R25,MACROS!$S25,MACROS!$T25,MACROS!$U25))</f>
        <v/>
      </c>
      <c r="AH25" s="15">
        <f>1</f>
        <v>1</v>
      </c>
      <c r="AI25" s="79" t="str">
        <f>IF(OR(MACROS!$A25="",MACROS!$B25="",MACROS!$C25="",MACROS!$D25="",MACROS!$E25="",MACROS!$H25="",MACROS!$AG25="",MACROS!$AH25=""),"",((MACROS!$H25-MACROS!$AG25)*MACROS!$AH25*(1/10000)*(1/20.04)*MACROS!$D25*(1/MACROS!$C25)*MACROS!$E25*1000))</f>
        <v/>
      </c>
      <c r="AJ25" s="78" t="str">
        <f>IF(AND(MACROS!$V25="",MACROS!$W25="",MACROS!$X25="",MACROS!$Y25=""),"",AVERAGE(MACROS!$V25,MACROS!$W25,MACROS!$X25,MACROS!$Y25))</f>
        <v/>
      </c>
      <c r="AK25" s="15">
        <f>1</f>
        <v>1</v>
      </c>
      <c r="AL25" s="79" t="str">
        <f>IF(OR(MACROS!$A25="",MACROS!$B25="",MACROS!$C25="",MACROS!$D25="",MACROS!$E25="",MACROS!$I25="",MACROS!$AJ25="",MACROS!$AK25=""),"",((MACROS!$I25-MACROS!$AJ25)*MACROS!$AK25*(1/10000)*(1/12.1525)*MACROS!$D25*(1/MACROS!$C25)*MACROS!$E25*1000))</f>
        <v/>
      </c>
      <c r="AM25" s="79" t="str">
        <f>IF(OR(MACROS!$AE25="",MACROS!$AL25=""),"",MACROS!$AE25/MACROS!$AL25)</f>
        <v/>
      </c>
      <c r="AN25" s="79" t="str">
        <f>IF(OR(MACROS!$AI25="",MACROS!$AL25=""),"",MACROS!$AI25/MACROS!$AL25)</f>
        <v/>
      </c>
      <c r="AO25" s="20" t="str">
        <f>IF(MACROS!$A25="","",IF(ISNUMBER(VLOOKUP(MACROS!$A25,AC!A:J,10,FALSE)),VLOOKUP(MACROS!$A25,AC!A:J,10,FALSE),""))</f>
        <v/>
      </c>
      <c r="AP25" s="79" t="str">
        <f>IF(OR(MACROS!$AB25="",MACROS!$AE25="",MACROS!$AI25="",MACROS!$AL25="",MACROS!$AO25=""),"",SUM(MACROS!$AB25,MACROS!$AE25,MACROS!$AI25,MACROS!$AL25,MACROS!$AO25))</f>
        <v/>
      </c>
      <c r="AQ25" s="79" t="str">
        <f>IF(OR(MACROS!$AO25="",MACROS!$AP25=""),"",MACROS!$AO25/MACROS!$AP25*100)</f>
        <v/>
      </c>
      <c r="AR25" s="80" t="str">
        <f>IF(MACROS!$AQ25="","",IF(MACROS!$AW25+(MACROS!$AQ25-MACROS!$AU25)/(MACROS!$AV25-MACROS!$AU25)*(MACROS!$AX25-MACROS!$AW25)&gt;MAX(Interpolación!$C$2:$C$13),Interpolación!$C$13,CEILING(MACROS!$AW25+(MACROS!$AQ25-MACROS!$AU25)/(MACROS!$AV25-MACROS!$AU25)*(MACROS!$AX25-MACROS!$AW25),100)))</f>
        <v/>
      </c>
      <c r="AS25" s="80" t="str">
        <f>IF(MACROS!$AQ25="","",IF(ISNA(MATCH(MACROS!$AQ25,Interpolación!$B$2:$B$13,1)),Interpolación!$A$2,MIN(MATCH(MACROS!$AQ25,Interpolación!$B$2:$B$13,1),Interpolación!$A$13-1)))</f>
        <v/>
      </c>
      <c r="AT25" s="80" t="str">
        <f>IF(MACROS!$AS25="","",MACROS!$AS25+1)</f>
        <v/>
      </c>
      <c r="AU25" s="80" t="str">
        <f>IF(MACROS!$AS25="","",INDEX(Interpolación!$B$2:$B$13,MACROS!$AS25))</f>
        <v/>
      </c>
      <c r="AV25" s="80" t="str">
        <f>IF(MACROS!$AT25="","",INDEX(Interpolación!$B$2:$B$13,MACROS!$AT25))</f>
        <v/>
      </c>
      <c r="AW25" s="80" t="str">
        <f>IF(MACROS!$AS25="","",INDEX(Interpolación!$C$2:$C$13,MACROS!$AS25))</f>
        <v/>
      </c>
      <c r="AX25" s="80" t="str">
        <f>IF(MACROS!$AT25="","",INDEX(Interpolación!$C$2:$C$13,MACROS!$AT25))</f>
        <v/>
      </c>
    </row>
    <row r="26" spans="1:50" x14ac:dyDescent="0.25">
      <c r="A26" s="75" t="str">
        <f>IF('Pesada Macros'!A26="","",'Pesada Macros'!A26)</f>
        <v/>
      </c>
      <c r="B26" s="76" t="str">
        <f>IF('Pesada Macros'!B26="","",'Pesada Macros'!B26)</f>
        <v/>
      </c>
      <c r="C26" s="77" t="str">
        <f>IF('Pesada Macros'!C26="","",VALUE('Pesada Macros'!C26))</f>
        <v/>
      </c>
      <c r="D26" s="15">
        <f>50</f>
        <v>50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78" t="str">
        <f>IF(AND(MACROS!$J26="",MACROS!$K26="",MACROS!$L26="",MACROS!$M26=""),"",AVERAGE(MACROS!$J26,MACROS!$K26,MACROS!$L26,MACROS!$M26))</f>
        <v/>
      </c>
      <c r="AA26" s="15">
        <f>1</f>
        <v>1</v>
      </c>
      <c r="AB26" s="79" t="str">
        <f>IF(OR(MACROS!$A26="",MACROS!$B26="",MACROS!$C26="",MACROS!$D26="",MACROS!$E26="",MACROS!$F26="",MACROS!$Z26="",MACROS!$AA26=""),"",((MACROS!$F26-MACROS!$Z26)*MACROS!$AA26*(1/10000)*(1/22.99)*MACROS!$D26*(1/MACROS!$C26)*MACROS!$E26*1000))</f>
        <v/>
      </c>
      <c r="AC26" s="78" t="str">
        <f>IF(AND(MACROS!$N26="",MACROS!$O26="",MACROS!$P26="",MACROS!$Q26=""),"",AVERAGE(MACROS!$N26,MACROS!$O26,MACROS!$P26,MACROS!$Q26))</f>
        <v/>
      </c>
      <c r="AD26" s="15">
        <f>1</f>
        <v>1</v>
      </c>
      <c r="AE26" s="79" t="str">
        <f>IF(OR(MACROS!$A26="",MACROS!$B26="",MACROS!$C26="",MACROS!$D26="",MACROS!$E26="",MACROS!$G26="",MACROS!$AC26="",MACROS!$AD26=""),"",((MACROS!$G26-MACROS!$AC26)*MACROS!$AD26*(1/10000)*(1/39.098)*MACROS!$D26*(1/MACROS!$C26)*MACROS!$E26*1000))</f>
        <v/>
      </c>
      <c r="AF26" s="80" t="str">
        <f>IF(MACROS!$AE26="","",MACROS!$AE26*391)</f>
        <v/>
      </c>
      <c r="AG26" s="78" t="str">
        <f>IF(AND(MACROS!$R26="",MACROS!$S26="",MACROS!$T26="",MACROS!$U26=""),"",AVERAGE(MACROS!$R26,MACROS!$S26,MACROS!$T26,MACROS!$U26))</f>
        <v/>
      </c>
      <c r="AH26" s="15">
        <f>1</f>
        <v>1</v>
      </c>
      <c r="AI26" s="79" t="str">
        <f>IF(OR(MACROS!$A26="",MACROS!$B26="",MACROS!$C26="",MACROS!$D26="",MACROS!$E26="",MACROS!$H26="",MACROS!$AG26="",MACROS!$AH26=""),"",((MACROS!$H26-MACROS!$AG26)*MACROS!$AH26*(1/10000)*(1/20.04)*MACROS!$D26*(1/MACROS!$C26)*MACROS!$E26*1000))</f>
        <v/>
      </c>
      <c r="AJ26" s="78" t="str">
        <f>IF(AND(MACROS!$V26="",MACROS!$W26="",MACROS!$X26="",MACROS!$Y26=""),"",AVERAGE(MACROS!$V26,MACROS!$W26,MACROS!$X26,MACROS!$Y26))</f>
        <v/>
      </c>
      <c r="AK26" s="15">
        <f>1</f>
        <v>1</v>
      </c>
      <c r="AL26" s="79" t="str">
        <f>IF(OR(MACROS!$A26="",MACROS!$B26="",MACROS!$C26="",MACROS!$D26="",MACROS!$E26="",MACROS!$I26="",MACROS!$AJ26="",MACROS!$AK26=""),"",((MACROS!$I26-MACROS!$AJ26)*MACROS!$AK26*(1/10000)*(1/12.1525)*MACROS!$D26*(1/MACROS!$C26)*MACROS!$E26*1000))</f>
        <v/>
      </c>
      <c r="AM26" s="79" t="str">
        <f>IF(OR(MACROS!$AE26="",MACROS!$AL26=""),"",MACROS!$AE26/MACROS!$AL26)</f>
        <v/>
      </c>
      <c r="AN26" s="79" t="str">
        <f>IF(OR(MACROS!$AI26="",MACROS!$AL26=""),"",MACROS!$AI26/MACROS!$AL26)</f>
        <v/>
      </c>
      <c r="AO26" s="20" t="str">
        <f>IF(MACROS!$A26="","",IF(ISNUMBER(VLOOKUP(MACROS!$A26,AC!A:J,10,FALSE)),VLOOKUP(MACROS!$A26,AC!A:J,10,FALSE),""))</f>
        <v/>
      </c>
      <c r="AP26" s="79" t="str">
        <f>IF(OR(MACROS!$AB26="",MACROS!$AE26="",MACROS!$AI26="",MACROS!$AL26="",MACROS!$AO26=""),"",SUM(MACROS!$AB26,MACROS!$AE26,MACROS!$AI26,MACROS!$AL26,MACROS!$AO26))</f>
        <v/>
      </c>
      <c r="AQ26" s="79" t="str">
        <f>IF(OR(MACROS!$AO26="",MACROS!$AP26=""),"",MACROS!$AO26/MACROS!$AP26*100)</f>
        <v/>
      </c>
      <c r="AR26" s="80" t="str">
        <f>IF(MACROS!$AQ26="","",IF(MACROS!$AW26+(MACROS!$AQ26-MACROS!$AU26)/(MACROS!$AV26-MACROS!$AU26)*(MACROS!$AX26-MACROS!$AW26)&gt;MAX(Interpolación!$C$2:$C$13),Interpolación!$C$13,CEILING(MACROS!$AW26+(MACROS!$AQ26-MACROS!$AU26)/(MACROS!$AV26-MACROS!$AU26)*(MACROS!$AX26-MACROS!$AW26),100)))</f>
        <v/>
      </c>
      <c r="AS26" s="80" t="str">
        <f>IF(MACROS!$AQ26="","",IF(ISNA(MATCH(MACROS!$AQ26,Interpolación!$B$2:$B$13,1)),Interpolación!$A$2,MIN(MATCH(MACROS!$AQ26,Interpolación!$B$2:$B$13,1),Interpolación!$A$13-1)))</f>
        <v/>
      </c>
      <c r="AT26" s="80" t="str">
        <f>IF(MACROS!$AS26="","",MACROS!$AS26+1)</f>
        <v/>
      </c>
      <c r="AU26" s="80" t="str">
        <f>IF(MACROS!$AS26="","",INDEX(Interpolación!$B$2:$B$13,MACROS!$AS26))</f>
        <v/>
      </c>
      <c r="AV26" s="80" t="str">
        <f>IF(MACROS!$AT26="","",INDEX(Interpolación!$B$2:$B$13,MACROS!$AT26))</f>
        <v/>
      </c>
      <c r="AW26" s="80" t="str">
        <f>IF(MACROS!$AS26="","",INDEX(Interpolación!$C$2:$C$13,MACROS!$AS26))</f>
        <v/>
      </c>
      <c r="AX26" s="80" t="str">
        <f>IF(MACROS!$AT26="","",INDEX(Interpolación!$C$2:$C$13,MACROS!$AT26))</f>
        <v/>
      </c>
    </row>
    <row r="27" spans="1:50" x14ac:dyDescent="0.25">
      <c r="A27" s="75" t="str">
        <f>IF('Pesada Macros'!A27="","",'Pesada Macros'!A27)</f>
        <v/>
      </c>
      <c r="B27" s="76" t="str">
        <f>IF('Pesada Macros'!B27="","",'Pesada Macros'!B27)</f>
        <v/>
      </c>
      <c r="C27" s="77" t="str">
        <f>IF('Pesada Macros'!C27="","",VALUE('Pesada Macros'!C27))</f>
        <v/>
      </c>
      <c r="D27" s="15">
        <f>50</f>
        <v>50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78" t="str">
        <f>IF(AND(MACROS!$J27="",MACROS!$K27="",MACROS!$L27="",MACROS!$M27=""),"",AVERAGE(MACROS!$J27,MACROS!$K27,MACROS!$L27,MACROS!$M27))</f>
        <v/>
      </c>
      <c r="AA27" s="15">
        <f>1</f>
        <v>1</v>
      </c>
      <c r="AB27" s="79" t="str">
        <f>IF(OR(MACROS!$A27="",MACROS!$B27="",MACROS!$C27="",MACROS!$D27="",MACROS!$E27="",MACROS!$F27="",MACROS!$Z27="",MACROS!$AA27=""),"",((MACROS!$F27-MACROS!$Z27)*MACROS!$AA27*(1/10000)*(1/22.99)*MACROS!$D27*(1/MACROS!$C27)*MACROS!$E27*1000))</f>
        <v/>
      </c>
      <c r="AC27" s="78" t="str">
        <f>IF(AND(MACROS!$N27="",MACROS!$O27="",MACROS!$P27="",MACROS!$Q27=""),"",AVERAGE(MACROS!$N27,MACROS!$O27,MACROS!$P27,MACROS!$Q27))</f>
        <v/>
      </c>
      <c r="AD27" s="15">
        <f>1</f>
        <v>1</v>
      </c>
      <c r="AE27" s="79" t="str">
        <f>IF(OR(MACROS!$A27="",MACROS!$B27="",MACROS!$C27="",MACROS!$D27="",MACROS!$E27="",MACROS!$G27="",MACROS!$AC27="",MACROS!$AD27=""),"",((MACROS!$G27-MACROS!$AC27)*MACROS!$AD27*(1/10000)*(1/39.098)*MACROS!$D27*(1/MACROS!$C27)*MACROS!$E27*1000))</f>
        <v/>
      </c>
      <c r="AF27" s="80" t="str">
        <f>IF(MACROS!$AE27="","",MACROS!$AE27*391)</f>
        <v/>
      </c>
      <c r="AG27" s="78" t="str">
        <f>IF(AND(MACROS!$R27="",MACROS!$S27="",MACROS!$T27="",MACROS!$U27=""),"",AVERAGE(MACROS!$R27,MACROS!$S27,MACROS!$T27,MACROS!$U27))</f>
        <v/>
      </c>
      <c r="AH27" s="15">
        <f>1</f>
        <v>1</v>
      </c>
      <c r="AI27" s="79" t="str">
        <f>IF(OR(MACROS!$A27="",MACROS!$B27="",MACROS!$C27="",MACROS!$D27="",MACROS!$E27="",MACROS!$H27="",MACROS!$AG27="",MACROS!$AH27=""),"",((MACROS!$H27-MACROS!$AG27)*MACROS!$AH27*(1/10000)*(1/20.04)*MACROS!$D27*(1/MACROS!$C27)*MACROS!$E27*1000))</f>
        <v/>
      </c>
      <c r="AJ27" s="78" t="str">
        <f>IF(AND(MACROS!$V27="",MACROS!$W27="",MACROS!$X27="",MACROS!$Y27=""),"",AVERAGE(MACROS!$V27,MACROS!$W27,MACROS!$X27,MACROS!$Y27))</f>
        <v/>
      </c>
      <c r="AK27" s="15">
        <f>1</f>
        <v>1</v>
      </c>
      <c r="AL27" s="79" t="str">
        <f>IF(OR(MACROS!$A27="",MACROS!$B27="",MACROS!$C27="",MACROS!$D27="",MACROS!$E27="",MACROS!$I27="",MACROS!$AJ27="",MACROS!$AK27=""),"",((MACROS!$I27-MACROS!$AJ27)*MACROS!$AK27*(1/10000)*(1/12.1525)*MACROS!$D27*(1/MACROS!$C27)*MACROS!$E27*1000))</f>
        <v/>
      </c>
      <c r="AM27" s="79" t="str">
        <f>IF(OR(MACROS!$AE27="",MACROS!$AL27=""),"",MACROS!$AE27/MACROS!$AL27)</f>
        <v/>
      </c>
      <c r="AN27" s="79" t="str">
        <f>IF(OR(MACROS!$AI27="",MACROS!$AL27=""),"",MACROS!$AI27/MACROS!$AL27)</f>
        <v/>
      </c>
      <c r="AO27" s="20" t="str">
        <f>IF(MACROS!$A27="","",IF(ISNUMBER(VLOOKUP(MACROS!$A27,AC!A:J,10,FALSE)),VLOOKUP(MACROS!$A27,AC!A:J,10,FALSE),""))</f>
        <v/>
      </c>
      <c r="AP27" s="79" t="str">
        <f>IF(OR(MACROS!$AB27="",MACROS!$AE27="",MACROS!$AI27="",MACROS!$AL27="",MACROS!$AO27=""),"",SUM(MACROS!$AB27,MACROS!$AE27,MACROS!$AI27,MACROS!$AL27,MACROS!$AO27))</f>
        <v/>
      </c>
      <c r="AQ27" s="79" t="str">
        <f>IF(OR(MACROS!$AO27="",MACROS!$AP27=""),"",MACROS!$AO27/MACROS!$AP27*100)</f>
        <v/>
      </c>
      <c r="AR27" s="80" t="str">
        <f>IF(MACROS!$AQ27="","",IF(MACROS!$AW27+(MACROS!$AQ27-MACROS!$AU27)/(MACROS!$AV27-MACROS!$AU27)*(MACROS!$AX27-MACROS!$AW27)&gt;MAX(Interpolación!$C$2:$C$13),Interpolación!$C$13,CEILING(MACROS!$AW27+(MACROS!$AQ27-MACROS!$AU27)/(MACROS!$AV27-MACROS!$AU27)*(MACROS!$AX27-MACROS!$AW27),100)))</f>
        <v/>
      </c>
      <c r="AS27" s="80" t="str">
        <f>IF(MACROS!$AQ27="","",IF(ISNA(MATCH(MACROS!$AQ27,Interpolación!$B$2:$B$13,1)),Interpolación!$A$2,MIN(MATCH(MACROS!$AQ27,Interpolación!$B$2:$B$13,1),Interpolación!$A$13-1)))</f>
        <v/>
      </c>
      <c r="AT27" s="80" t="str">
        <f>IF(MACROS!$AS27="","",MACROS!$AS27+1)</f>
        <v/>
      </c>
      <c r="AU27" s="80" t="str">
        <f>IF(MACROS!$AS27="","",INDEX(Interpolación!$B$2:$B$13,MACROS!$AS27))</f>
        <v/>
      </c>
      <c r="AV27" s="80" t="str">
        <f>IF(MACROS!$AT27="","",INDEX(Interpolación!$B$2:$B$13,MACROS!$AT27))</f>
        <v/>
      </c>
      <c r="AW27" s="80" t="str">
        <f>IF(MACROS!$AS27="","",INDEX(Interpolación!$C$2:$C$13,MACROS!$AS27))</f>
        <v/>
      </c>
      <c r="AX27" s="80" t="str">
        <f>IF(MACROS!$AT27="","",INDEX(Interpolación!$C$2:$C$13,MACROS!$AT27))</f>
        <v/>
      </c>
    </row>
    <row r="28" spans="1:50" x14ac:dyDescent="0.25">
      <c r="A28" s="75" t="str">
        <f>IF('Pesada Macros'!A28="","",'Pesada Macros'!A28)</f>
        <v/>
      </c>
      <c r="B28" s="76" t="str">
        <f>IF('Pesada Macros'!B28="","",'Pesada Macros'!B28)</f>
        <v/>
      </c>
      <c r="C28" s="77" t="str">
        <f>IF('Pesada Macros'!C28="","",VALUE('Pesada Macros'!C28))</f>
        <v/>
      </c>
      <c r="D28" s="15">
        <f>50</f>
        <v>50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78" t="str">
        <f>IF(AND(MACROS!$J28="",MACROS!$K28="",MACROS!$L28="",MACROS!$M28=""),"",AVERAGE(MACROS!$J28,MACROS!$K28,MACROS!$L28,MACROS!$M28))</f>
        <v/>
      </c>
      <c r="AA28" s="15">
        <f>1</f>
        <v>1</v>
      </c>
      <c r="AB28" s="79" t="str">
        <f>IF(OR(MACROS!$A28="",MACROS!$B28="",MACROS!$C28="",MACROS!$D28="",MACROS!$E28="",MACROS!$F28="",MACROS!$Z28="",MACROS!$AA28=""),"",((MACROS!$F28-MACROS!$Z28)*MACROS!$AA28*(1/10000)*(1/22.99)*MACROS!$D28*(1/MACROS!$C28)*MACROS!$E28*1000))</f>
        <v/>
      </c>
      <c r="AC28" s="78" t="str">
        <f>IF(AND(MACROS!$N28="",MACROS!$O28="",MACROS!$P28="",MACROS!$Q28=""),"",AVERAGE(MACROS!$N28,MACROS!$O28,MACROS!$P28,MACROS!$Q28))</f>
        <v/>
      </c>
      <c r="AD28" s="15">
        <f>1</f>
        <v>1</v>
      </c>
      <c r="AE28" s="79" t="str">
        <f>IF(OR(MACROS!$A28="",MACROS!$B28="",MACROS!$C28="",MACROS!$D28="",MACROS!$E28="",MACROS!$G28="",MACROS!$AC28="",MACROS!$AD28=""),"",((MACROS!$G28-MACROS!$AC28)*MACROS!$AD28*(1/10000)*(1/39.098)*MACROS!$D28*(1/MACROS!$C28)*MACROS!$E28*1000))</f>
        <v/>
      </c>
      <c r="AF28" s="80" t="str">
        <f>IF(MACROS!$AE28="","",MACROS!$AE28*391)</f>
        <v/>
      </c>
      <c r="AG28" s="78" t="str">
        <f>IF(AND(MACROS!$R28="",MACROS!$S28="",MACROS!$T28="",MACROS!$U28=""),"",AVERAGE(MACROS!$R28,MACROS!$S28,MACROS!$T28,MACROS!$U28))</f>
        <v/>
      </c>
      <c r="AH28" s="15">
        <f>1</f>
        <v>1</v>
      </c>
      <c r="AI28" s="79" t="str">
        <f>IF(OR(MACROS!$A28="",MACROS!$B28="",MACROS!$C28="",MACROS!$D28="",MACROS!$E28="",MACROS!$H28="",MACROS!$AG28="",MACROS!$AH28=""),"",((MACROS!$H28-MACROS!$AG28)*MACROS!$AH28*(1/10000)*(1/20.04)*MACROS!$D28*(1/MACROS!$C28)*MACROS!$E28*1000))</f>
        <v/>
      </c>
      <c r="AJ28" s="78" t="str">
        <f>IF(AND(MACROS!$V28="",MACROS!$W28="",MACROS!$X28="",MACROS!$Y28=""),"",AVERAGE(MACROS!$V28,MACROS!$W28,MACROS!$X28,MACROS!$Y28))</f>
        <v/>
      </c>
      <c r="AK28" s="15">
        <f>1</f>
        <v>1</v>
      </c>
      <c r="AL28" s="79" t="str">
        <f>IF(OR(MACROS!$A28="",MACROS!$B28="",MACROS!$C28="",MACROS!$D28="",MACROS!$E28="",MACROS!$I28="",MACROS!$AJ28="",MACROS!$AK28=""),"",((MACROS!$I28-MACROS!$AJ28)*MACROS!$AK28*(1/10000)*(1/12.1525)*MACROS!$D28*(1/MACROS!$C28)*MACROS!$E28*1000))</f>
        <v/>
      </c>
      <c r="AM28" s="79" t="str">
        <f>IF(OR(MACROS!$AE28="",MACROS!$AL28=""),"",MACROS!$AE28/MACROS!$AL28)</f>
        <v/>
      </c>
      <c r="AN28" s="79" t="str">
        <f>IF(OR(MACROS!$AI28="",MACROS!$AL28=""),"",MACROS!$AI28/MACROS!$AL28)</f>
        <v/>
      </c>
      <c r="AO28" s="20" t="str">
        <f>IF(MACROS!$A28="","",IF(ISNUMBER(VLOOKUP(MACROS!$A28,AC!A:J,10,FALSE)),VLOOKUP(MACROS!$A28,AC!A:J,10,FALSE),""))</f>
        <v/>
      </c>
      <c r="AP28" s="79" t="str">
        <f>IF(OR(MACROS!$AB28="",MACROS!$AE28="",MACROS!$AI28="",MACROS!$AL28="",MACROS!$AO28=""),"",SUM(MACROS!$AB28,MACROS!$AE28,MACROS!$AI28,MACROS!$AL28,MACROS!$AO28))</f>
        <v/>
      </c>
      <c r="AQ28" s="79" t="str">
        <f>IF(OR(MACROS!$AO28="",MACROS!$AP28=""),"",MACROS!$AO28/MACROS!$AP28*100)</f>
        <v/>
      </c>
      <c r="AR28" s="80" t="str">
        <f>IF(MACROS!$AQ28="","",IF(MACROS!$AW28+(MACROS!$AQ28-MACROS!$AU28)/(MACROS!$AV28-MACROS!$AU28)*(MACROS!$AX28-MACROS!$AW28)&gt;MAX(Interpolación!$C$2:$C$13),Interpolación!$C$13,CEILING(MACROS!$AW28+(MACROS!$AQ28-MACROS!$AU28)/(MACROS!$AV28-MACROS!$AU28)*(MACROS!$AX28-MACROS!$AW28),100)))</f>
        <v/>
      </c>
      <c r="AS28" s="80" t="str">
        <f>IF(MACROS!$AQ28="","",IF(ISNA(MATCH(MACROS!$AQ28,Interpolación!$B$2:$B$13,1)),Interpolación!$A$2,MIN(MATCH(MACROS!$AQ28,Interpolación!$B$2:$B$13,1),Interpolación!$A$13-1)))</f>
        <v/>
      </c>
      <c r="AT28" s="80" t="str">
        <f>IF(MACROS!$AS28="","",MACROS!$AS28+1)</f>
        <v/>
      </c>
      <c r="AU28" s="80" t="str">
        <f>IF(MACROS!$AS28="","",INDEX(Interpolación!$B$2:$B$13,MACROS!$AS28))</f>
        <v/>
      </c>
      <c r="AV28" s="80" t="str">
        <f>IF(MACROS!$AT28="","",INDEX(Interpolación!$B$2:$B$13,MACROS!$AT28))</f>
        <v/>
      </c>
      <c r="AW28" s="80" t="str">
        <f>IF(MACROS!$AS28="","",INDEX(Interpolación!$C$2:$C$13,MACROS!$AS28))</f>
        <v/>
      </c>
      <c r="AX28" s="80" t="str">
        <f>IF(MACROS!$AT28="","",INDEX(Interpolación!$C$2:$C$13,MACROS!$AT28))</f>
        <v/>
      </c>
    </row>
    <row r="29" spans="1:50" x14ac:dyDescent="0.25">
      <c r="A29" s="75" t="str">
        <f>IF('Pesada Macros'!A29="","",'Pesada Macros'!A29)</f>
        <v/>
      </c>
      <c r="B29" s="76" t="str">
        <f>IF('Pesada Macros'!B29="","",'Pesada Macros'!B29)</f>
        <v/>
      </c>
      <c r="C29" s="77" t="str">
        <f>IF('Pesada Macros'!C29="","",VALUE('Pesada Macros'!C29))</f>
        <v/>
      </c>
      <c r="D29" s="15">
        <f>50</f>
        <v>50</v>
      </c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78" t="str">
        <f>IF(AND(MACROS!$J29="",MACROS!$K29="",MACROS!$L29="",MACROS!$M29=""),"",AVERAGE(MACROS!$J29,MACROS!$K29,MACROS!$L29,MACROS!$M29))</f>
        <v/>
      </c>
      <c r="AA29" s="15">
        <f>1</f>
        <v>1</v>
      </c>
      <c r="AB29" s="79" t="str">
        <f>IF(OR(MACROS!$A29="",MACROS!$B29="",MACROS!$C29="",MACROS!$D29="",MACROS!$E29="",MACROS!$F29="",MACROS!$Z29="",MACROS!$AA29=""),"",((MACROS!$F29-MACROS!$Z29)*MACROS!$AA29*(1/10000)*(1/22.99)*MACROS!$D29*(1/MACROS!$C29)*MACROS!$E29*1000))</f>
        <v/>
      </c>
      <c r="AC29" s="78" t="str">
        <f>IF(AND(MACROS!$N29="",MACROS!$O29="",MACROS!$P29="",MACROS!$Q29=""),"",AVERAGE(MACROS!$N29,MACROS!$O29,MACROS!$P29,MACROS!$Q29))</f>
        <v/>
      </c>
      <c r="AD29" s="15">
        <f>1</f>
        <v>1</v>
      </c>
      <c r="AE29" s="79" t="str">
        <f>IF(OR(MACROS!$A29="",MACROS!$B29="",MACROS!$C29="",MACROS!$D29="",MACROS!$E29="",MACROS!$G29="",MACROS!$AC29="",MACROS!$AD29=""),"",((MACROS!$G29-MACROS!$AC29)*MACROS!$AD29*(1/10000)*(1/39.098)*MACROS!$D29*(1/MACROS!$C29)*MACROS!$E29*1000))</f>
        <v/>
      </c>
      <c r="AF29" s="80" t="str">
        <f>IF(MACROS!$AE29="","",MACROS!$AE29*391)</f>
        <v/>
      </c>
      <c r="AG29" s="78" t="str">
        <f>IF(AND(MACROS!$R29="",MACROS!$S29="",MACROS!$T29="",MACROS!$U29=""),"",AVERAGE(MACROS!$R29,MACROS!$S29,MACROS!$T29,MACROS!$U29))</f>
        <v/>
      </c>
      <c r="AH29" s="15">
        <f>1</f>
        <v>1</v>
      </c>
      <c r="AI29" s="79" t="str">
        <f>IF(OR(MACROS!$A29="",MACROS!$B29="",MACROS!$C29="",MACROS!$D29="",MACROS!$E29="",MACROS!$H29="",MACROS!$AG29="",MACROS!$AH29=""),"",((MACROS!$H29-MACROS!$AG29)*MACROS!$AH29*(1/10000)*(1/20.04)*MACROS!$D29*(1/MACROS!$C29)*MACROS!$E29*1000))</f>
        <v/>
      </c>
      <c r="AJ29" s="78" t="str">
        <f>IF(AND(MACROS!$V29="",MACROS!$W29="",MACROS!$X29="",MACROS!$Y29=""),"",AVERAGE(MACROS!$V29,MACROS!$W29,MACROS!$X29,MACROS!$Y29))</f>
        <v/>
      </c>
      <c r="AK29" s="15">
        <f>1</f>
        <v>1</v>
      </c>
      <c r="AL29" s="79" t="str">
        <f>IF(OR(MACROS!$A29="",MACROS!$B29="",MACROS!$C29="",MACROS!$D29="",MACROS!$E29="",MACROS!$I29="",MACROS!$AJ29="",MACROS!$AK29=""),"",((MACROS!$I29-MACROS!$AJ29)*MACROS!$AK29*(1/10000)*(1/12.1525)*MACROS!$D29*(1/MACROS!$C29)*MACROS!$E29*1000))</f>
        <v/>
      </c>
      <c r="AM29" s="79" t="str">
        <f>IF(OR(MACROS!$AE29="",MACROS!$AL29=""),"",MACROS!$AE29/MACROS!$AL29)</f>
        <v/>
      </c>
      <c r="AN29" s="79" t="str">
        <f>IF(OR(MACROS!$AI29="",MACROS!$AL29=""),"",MACROS!$AI29/MACROS!$AL29)</f>
        <v/>
      </c>
      <c r="AO29" s="20" t="str">
        <f>IF(MACROS!$A29="","",IF(ISNUMBER(VLOOKUP(MACROS!$A29,AC!A:J,10,FALSE)),VLOOKUP(MACROS!$A29,AC!A:J,10,FALSE),""))</f>
        <v/>
      </c>
      <c r="AP29" s="79" t="str">
        <f>IF(OR(MACROS!$AB29="",MACROS!$AE29="",MACROS!$AI29="",MACROS!$AL29="",MACROS!$AO29=""),"",SUM(MACROS!$AB29,MACROS!$AE29,MACROS!$AI29,MACROS!$AL29,MACROS!$AO29))</f>
        <v/>
      </c>
      <c r="AQ29" s="79" t="str">
        <f>IF(OR(MACROS!$AO29="",MACROS!$AP29=""),"",MACROS!$AO29/MACROS!$AP29*100)</f>
        <v/>
      </c>
      <c r="AR29" s="80" t="str">
        <f>IF(MACROS!$AQ29="","",IF(MACROS!$AW29+(MACROS!$AQ29-MACROS!$AU29)/(MACROS!$AV29-MACROS!$AU29)*(MACROS!$AX29-MACROS!$AW29)&gt;MAX(Interpolación!$C$2:$C$13),Interpolación!$C$13,CEILING(MACROS!$AW29+(MACROS!$AQ29-MACROS!$AU29)/(MACROS!$AV29-MACROS!$AU29)*(MACROS!$AX29-MACROS!$AW29),100)))</f>
        <v/>
      </c>
      <c r="AS29" s="80" t="str">
        <f>IF(MACROS!$AQ29="","",IF(ISNA(MATCH(MACROS!$AQ29,Interpolación!$B$2:$B$13,1)),Interpolación!$A$2,MIN(MATCH(MACROS!$AQ29,Interpolación!$B$2:$B$13,1),Interpolación!$A$13-1)))</f>
        <v/>
      </c>
      <c r="AT29" s="80" t="str">
        <f>IF(MACROS!$AS29="","",MACROS!$AS29+1)</f>
        <v/>
      </c>
      <c r="AU29" s="80" t="str">
        <f>IF(MACROS!$AS29="","",INDEX(Interpolación!$B$2:$B$13,MACROS!$AS29))</f>
        <v/>
      </c>
      <c r="AV29" s="80" t="str">
        <f>IF(MACROS!$AT29="","",INDEX(Interpolación!$B$2:$B$13,MACROS!$AT29))</f>
        <v/>
      </c>
      <c r="AW29" s="80" t="str">
        <f>IF(MACROS!$AS29="","",INDEX(Interpolación!$C$2:$C$13,MACROS!$AS29))</f>
        <v/>
      </c>
      <c r="AX29" s="80" t="str">
        <f>IF(MACROS!$AT29="","",INDEX(Interpolación!$C$2:$C$13,MACROS!$AT29))</f>
        <v/>
      </c>
    </row>
    <row r="30" spans="1:50" x14ac:dyDescent="0.25">
      <c r="A30" s="75" t="str">
        <f>IF('Pesada Macros'!A30="","",'Pesada Macros'!A30)</f>
        <v/>
      </c>
      <c r="B30" s="76" t="str">
        <f>IF('Pesada Macros'!B30="","",'Pesada Macros'!B30)</f>
        <v/>
      </c>
      <c r="C30" s="77" t="str">
        <f>IF('Pesada Macros'!C30="","",VALUE('Pesada Macros'!C30))</f>
        <v/>
      </c>
      <c r="D30" s="15">
        <f>50</f>
        <v>50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78" t="str">
        <f>IF(AND(MACROS!$J30="",MACROS!$K30="",MACROS!$L30="",MACROS!$M30=""),"",AVERAGE(MACROS!$J30,MACROS!$K30,MACROS!$L30,MACROS!$M30))</f>
        <v/>
      </c>
      <c r="AA30" s="15">
        <f>1</f>
        <v>1</v>
      </c>
      <c r="AB30" s="79" t="str">
        <f>IF(OR(MACROS!$A30="",MACROS!$B30="",MACROS!$C30="",MACROS!$D30="",MACROS!$E30="",MACROS!$F30="",MACROS!$Z30="",MACROS!$AA30=""),"",((MACROS!$F30-MACROS!$Z30)*MACROS!$AA30*(1/10000)*(1/22.99)*MACROS!$D30*(1/MACROS!$C30)*MACROS!$E30*1000))</f>
        <v/>
      </c>
      <c r="AC30" s="78" t="str">
        <f>IF(AND(MACROS!$N30="",MACROS!$O30="",MACROS!$P30="",MACROS!$Q30=""),"",AVERAGE(MACROS!$N30,MACROS!$O30,MACROS!$P30,MACROS!$Q30))</f>
        <v/>
      </c>
      <c r="AD30" s="15">
        <f>1</f>
        <v>1</v>
      </c>
      <c r="AE30" s="79" t="str">
        <f>IF(OR(MACROS!$A30="",MACROS!$B30="",MACROS!$C30="",MACROS!$D30="",MACROS!$E30="",MACROS!$G30="",MACROS!$AC30="",MACROS!$AD30=""),"",((MACROS!$G30-MACROS!$AC30)*MACROS!$AD30*(1/10000)*(1/39.098)*MACROS!$D30*(1/MACROS!$C30)*MACROS!$E30*1000))</f>
        <v/>
      </c>
      <c r="AF30" s="80" t="str">
        <f>IF(MACROS!$AE30="","",MACROS!$AE30*391)</f>
        <v/>
      </c>
      <c r="AG30" s="78" t="str">
        <f>IF(AND(MACROS!$R30="",MACROS!$S30="",MACROS!$T30="",MACROS!$U30=""),"",AVERAGE(MACROS!$R30,MACROS!$S30,MACROS!$T30,MACROS!$U30))</f>
        <v/>
      </c>
      <c r="AH30" s="15">
        <f>1</f>
        <v>1</v>
      </c>
      <c r="AI30" s="79" t="str">
        <f>IF(OR(MACROS!$A30="",MACROS!$B30="",MACROS!$C30="",MACROS!$D30="",MACROS!$E30="",MACROS!$H30="",MACROS!$AG30="",MACROS!$AH30=""),"",((MACROS!$H30-MACROS!$AG30)*MACROS!$AH30*(1/10000)*(1/20.04)*MACROS!$D30*(1/MACROS!$C30)*MACROS!$E30*1000))</f>
        <v/>
      </c>
      <c r="AJ30" s="78" t="str">
        <f>IF(AND(MACROS!$V30="",MACROS!$W30="",MACROS!$X30="",MACROS!$Y30=""),"",AVERAGE(MACROS!$V30,MACROS!$W30,MACROS!$X30,MACROS!$Y30))</f>
        <v/>
      </c>
      <c r="AK30" s="15">
        <f>1</f>
        <v>1</v>
      </c>
      <c r="AL30" s="79" t="str">
        <f>IF(OR(MACROS!$A30="",MACROS!$B30="",MACROS!$C30="",MACROS!$D30="",MACROS!$E30="",MACROS!$I30="",MACROS!$AJ30="",MACROS!$AK30=""),"",((MACROS!$I30-MACROS!$AJ30)*MACROS!$AK30*(1/10000)*(1/12.1525)*MACROS!$D30*(1/MACROS!$C30)*MACROS!$E30*1000))</f>
        <v/>
      </c>
      <c r="AM30" s="79" t="str">
        <f>IF(OR(MACROS!$AE30="",MACROS!$AL30=""),"",MACROS!$AE30/MACROS!$AL30)</f>
        <v/>
      </c>
      <c r="AN30" s="79" t="str">
        <f>IF(OR(MACROS!$AI30="",MACROS!$AL30=""),"",MACROS!$AI30/MACROS!$AL30)</f>
        <v/>
      </c>
      <c r="AO30" s="20" t="str">
        <f>IF(MACROS!$A30="","",IF(ISNUMBER(VLOOKUP(MACROS!$A30,AC!A:J,10,FALSE)),VLOOKUP(MACROS!$A30,AC!A:J,10,FALSE),""))</f>
        <v/>
      </c>
      <c r="AP30" s="79" t="str">
        <f>IF(OR(MACROS!$AB30="",MACROS!$AE30="",MACROS!$AI30="",MACROS!$AL30="",MACROS!$AO30=""),"",SUM(MACROS!$AB30,MACROS!$AE30,MACROS!$AI30,MACROS!$AL30,MACROS!$AO30))</f>
        <v/>
      </c>
      <c r="AQ30" s="79" t="str">
        <f>IF(OR(MACROS!$AO30="",MACROS!$AP30=""),"",MACROS!$AO30/MACROS!$AP30*100)</f>
        <v/>
      </c>
      <c r="AR30" s="80" t="str">
        <f>IF(MACROS!$AQ30="","",IF(MACROS!$AW30+(MACROS!$AQ30-MACROS!$AU30)/(MACROS!$AV30-MACROS!$AU30)*(MACROS!$AX30-MACROS!$AW30)&gt;MAX(Interpolación!$C$2:$C$13),Interpolación!$C$13,CEILING(MACROS!$AW30+(MACROS!$AQ30-MACROS!$AU30)/(MACROS!$AV30-MACROS!$AU30)*(MACROS!$AX30-MACROS!$AW30),100)))</f>
        <v/>
      </c>
      <c r="AS30" s="80" t="str">
        <f>IF(MACROS!$AQ30="","",IF(ISNA(MATCH(MACROS!$AQ30,Interpolación!$B$2:$B$13,1)),Interpolación!$A$2,MIN(MATCH(MACROS!$AQ30,Interpolación!$B$2:$B$13,1),Interpolación!$A$13-1)))</f>
        <v/>
      </c>
      <c r="AT30" s="80" t="str">
        <f>IF(MACROS!$AS30="","",MACROS!$AS30+1)</f>
        <v/>
      </c>
      <c r="AU30" s="80" t="str">
        <f>IF(MACROS!$AS30="","",INDEX(Interpolación!$B$2:$B$13,MACROS!$AS30))</f>
        <v/>
      </c>
      <c r="AV30" s="80" t="str">
        <f>IF(MACROS!$AT30="","",INDEX(Interpolación!$B$2:$B$13,MACROS!$AT30))</f>
        <v/>
      </c>
      <c r="AW30" s="80" t="str">
        <f>IF(MACROS!$AS30="","",INDEX(Interpolación!$C$2:$C$13,MACROS!$AS30))</f>
        <v/>
      </c>
      <c r="AX30" s="80" t="str">
        <f>IF(MACROS!$AT30="","",INDEX(Interpolación!$C$2:$C$13,MACROS!$AT30))</f>
        <v/>
      </c>
    </row>
    <row r="31" spans="1:50" x14ac:dyDescent="0.25">
      <c r="A31" s="75" t="str">
        <f>IF('Pesada Macros'!A31="","",'Pesada Macros'!A31)</f>
        <v/>
      </c>
      <c r="B31" s="76" t="str">
        <f>IF('Pesada Macros'!B31="","",'Pesada Macros'!B31)</f>
        <v/>
      </c>
      <c r="C31" s="77" t="str">
        <f>IF('Pesada Macros'!C31="","",VALUE('Pesada Macros'!C31))</f>
        <v/>
      </c>
      <c r="D31" s="15">
        <f>50</f>
        <v>50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78" t="str">
        <f>IF(AND(MACROS!$J31="",MACROS!$K31="",MACROS!$L31="",MACROS!$M31=""),"",AVERAGE(MACROS!$J31,MACROS!$K31,MACROS!$L31,MACROS!$M31))</f>
        <v/>
      </c>
      <c r="AA31" s="15">
        <f>1</f>
        <v>1</v>
      </c>
      <c r="AB31" s="79" t="str">
        <f>IF(OR(MACROS!$A31="",MACROS!$B31="",MACROS!$C31="",MACROS!$D31="",MACROS!$E31="",MACROS!$F31="",MACROS!$Z31="",MACROS!$AA31=""),"",((MACROS!$F31-MACROS!$Z31)*MACROS!$AA31*(1/10000)*(1/22.99)*MACROS!$D31*(1/MACROS!$C31)*MACROS!$E31*1000))</f>
        <v/>
      </c>
      <c r="AC31" s="78" t="str">
        <f>IF(AND(MACROS!$N31="",MACROS!$O31="",MACROS!$P31="",MACROS!$Q31=""),"",AVERAGE(MACROS!$N31,MACROS!$O31,MACROS!$P31,MACROS!$Q31))</f>
        <v/>
      </c>
      <c r="AD31" s="15">
        <f>1</f>
        <v>1</v>
      </c>
      <c r="AE31" s="79" t="str">
        <f>IF(OR(MACROS!$A31="",MACROS!$B31="",MACROS!$C31="",MACROS!$D31="",MACROS!$E31="",MACROS!$G31="",MACROS!$AC31="",MACROS!$AD31=""),"",((MACROS!$G31-MACROS!$AC31)*MACROS!$AD31*(1/10000)*(1/39.098)*MACROS!$D31*(1/MACROS!$C31)*MACROS!$E31*1000))</f>
        <v/>
      </c>
      <c r="AF31" s="80" t="str">
        <f>IF(MACROS!$AE31="","",MACROS!$AE31*391)</f>
        <v/>
      </c>
      <c r="AG31" s="78" t="str">
        <f>IF(AND(MACROS!$R31="",MACROS!$S31="",MACROS!$T31="",MACROS!$U31=""),"",AVERAGE(MACROS!$R31,MACROS!$S31,MACROS!$T31,MACROS!$U31))</f>
        <v/>
      </c>
      <c r="AH31" s="15">
        <f>1</f>
        <v>1</v>
      </c>
      <c r="AI31" s="79" t="str">
        <f>IF(OR(MACROS!$A31="",MACROS!$B31="",MACROS!$C31="",MACROS!$D31="",MACROS!$E31="",MACROS!$H31="",MACROS!$AG31="",MACROS!$AH31=""),"",((MACROS!$H31-MACROS!$AG31)*MACROS!$AH31*(1/10000)*(1/20.04)*MACROS!$D31*(1/MACROS!$C31)*MACROS!$E31*1000))</f>
        <v/>
      </c>
      <c r="AJ31" s="78" t="str">
        <f>IF(AND(MACROS!$V31="",MACROS!$W31="",MACROS!$X31="",MACROS!$Y31=""),"",AVERAGE(MACROS!$V31,MACROS!$W31,MACROS!$X31,MACROS!$Y31))</f>
        <v/>
      </c>
      <c r="AK31" s="15">
        <f>1</f>
        <v>1</v>
      </c>
      <c r="AL31" s="79" t="str">
        <f>IF(OR(MACROS!$A31="",MACROS!$B31="",MACROS!$C31="",MACROS!$D31="",MACROS!$E31="",MACROS!$I31="",MACROS!$AJ31="",MACROS!$AK31=""),"",((MACROS!$I31-MACROS!$AJ31)*MACROS!$AK31*(1/10000)*(1/12.1525)*MACROS!$D31*(1/MACROS!$C31)*MACROS!$E31*1000))</f>
        <v/>
      </c>
      <c r="AM31" s="79" t="str">
        <f>IF(OR(MACROS!$AE31="",MACROS!$AL31=""),"",MACROS!$AE31/MACROS!$AL31)</f>
        <v/>
      </c>
      <c r="AN31" s="79" t="str">
        <f>IF(OR(MACROS!$AI31="",MACROS!$AL31=""),"",MACROS!$AI31/MACROS!$AL31)</f>
        <v/>
      </c>
      <c r="AO31" s="20" t="str">
        <f>IF(MACROS!$A31="","",IF(ISNUMBER(VLOOKUP(MACROS!$A31,AC!A:J,10,FALSE)),VLOOKUP(MACROS!$A31,AC!A:J,10,FALSE),""))</f>
        <v/>
      </c>
      <c r="AP31" s="79" t="str">
        <f>IF(OR(MACROS!$AB31="",MACROS!$AE31="",MACROS!$AI31="",MACROS!$AL31="",MACROS!$AO31=""),"",SUM(MACROS!$AB31,MACROS!$AE31,MACROS!$AI31,MACROS!$AL31,MACROS!$AO31))</f>
        <v/>
      </c>
      <c r="AQ31" s="79" t="str">
        <f>IF(OR(MACROS!$AO31="",MACROS!$AP31=""),"",MACROS!$AO31/MACROS!$AP31*100)</f>
        <v/>
      </c>
      <c r="AR31" s="80" t="str">
        <f>IF(MACROS!$AQ31="","",IF(MACROS!$AW31+(MACROS!$AQ31-MACROS!$AU31)/(MACROS!$AV31-MACROS!$AU31)*(MACROS!$AX31-MACROS!$AW31)&gt;MAX(Interpolación!$C$2:$C$13),Interpolación!$C$13,CEILING(MACROS!$AW31+(MACROS!$AQ31-MACROS!$AU31)/(MACROS!$AV31-MACROS!$AU31)*(MACROS!$AX31-MACROS!$AW31),100)))</f>
        <v/>
      </c>
      <c r="AS31" s="80" t="str">
        <f>IF(MACROS!$AQ31="","",IF(ISNA(MATCH(MACROS!$AQ31,Interpolación!$B$2:$B$13,1)),Interpolación!$A$2,MIN(MATCH(MACROS!$AQ31,Interpolación!$B$2:$B$13,1),Interpolación!$A$13-1)))</f>
        <v/>
      </c>
      <c r="AT31" s="80" t="str">
        <f>IF(MACROS!$AS31="","",MACROS!$AS31+1)</f>
        <v/>
      </c>
      <c r="AU31" s="80" t="str">
        <f>IF(MACROS!$AS31="","",INDEX(Interpolación!$B$2:$B$13,MACROS!$AS31))</f>
        <v/>
      </c>
      <c r="AV31" s="80" t="str">
        <f>IF(MACROS!$AT31="","",INDEX(Interpolación!$B$2:$B$13,MACROS!$AT31))</f>
        <v/>
      </c>
      <c r="AW31" s="80" t="str">
        <f>IF(MACROS!$AS31="","",INDEX(Interpolación!$C$2:$C$13,MACROS!$AS31))</f>
        <v/>
      </c>
      <c r="AX31" s="80" t="str">
        <f>IF(MACROS!$AT31="","",INDEX(Interpolación!$C$2:$C$13,MACROS!$AT31))</f>
        <v/>
      </c>
    </row>
    <row r="32" spans="1:50" x14ac:dyDescent="0.25">
      <c r="A32" s="75" t="str">
        <f>IF('Pesada Macros'!A32="","",'Pesada Macros'!A32)</f>
        <v/>
      </c>
      <c r="B32" s="76" t="str">
        <f>IF('Pesada Macros'!B32="","",'Pesada Macros'!B32)</f>
        <v/>
      </c>
      <c r="C32" s="77" t="str">
        <f>IF('Pesada Macros'!C32="","",VALUE('Pesada Macros'!C32))</f>
        <v/>
      </c>
      <c r="D32" s="15">
        <f>50</f>
        <v>50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78" t="str">
        <f>IF(AND(MACROS!$J32="",MACROS!$K32="",MACROS!$L32="",MACROS!$M32=""),"",AVERAGE(MACROS!$J32,MACROS!$K32,MACROS!$L32,MACROS!$M32))</f>
        <v/>
      </c>
      <c r="AA32" s="15">
        <f>1</f>
        <v>1</v>
      </c>
      <c r="AB32" s="79" t="str">
        <f>IF(OR(MACROS!$A32="",MACROS!$B32="",MACROS!$C32="",MACROS!$D32="",MACROS!$E32="",MACROS!$F32="",MACROS!$Z32="",MACROS!$AA32=""),"",((MACROS!$F32-MACROS!$Z32)*MACROS!$AA32*(1/10000)*(1/22.99)*MACROS!$D32*(1/MACROS!$C32)*MACROS!$E32*1000))</f>
        <v/>
      </c>
      <c r="AC32" s="78" t="str">
        <f>IF(AND(MACROS!$N32="",MACROS!$O32="",MACROS!$P32="",MACROS!$Q32=""),"",AVERAGE(MACROS!$N32,MACROS!$O32,MACROS!$P32,MACROS!$Q32))</f>
        <v/>
      </c>
      <c r="AD32" s="15">
        <f>1</f>
        <v>1</v>
      </c>
      <c r="AE32" s="79" t="str">
        <f>IF(OR(MACROS!$A32="",MACROS!$B32="",MACROS!$C32="",MACROS!$D32="",MACROS!$E32="",MACROS!$G32="",MACROS!$AC32="",MACROS!$AD32=""),"",((MACROS!$G32-MACROS!$AC32)*MACROS!$AD32*(1/10000)*(1/39.098)*MACROS!$D32*(1/MACROS!$C32)*MACROS!$E32*1000))</f>
        <v/>
      </c>
      <c r="AF32" s="80" t="str">
        <f>IF(MACROS!$AE32="","",MACROS!$AE32*391)</f>
        <v/>
      </c>
      <c r="AG32" s="78" t="str">
        <f>IF(AND(MACROS!$R32="",MACROS!$S32="",MACROS!$T32="",MACROS!$U32=""),"",AVERAGE(MACROS!$R32,MACROS!$S32,MACROS!$T32,MACROS!$U32))</f>
        <v/>
      </c>
      <c r="AH32" s="15">
        <f>1</f>
        <v>1</v>
      </c>
      <c r="AI32" s="79" t="str">
        <f>IF(OR(MACROS!$A32="",MACROS!$B32="",MACROS!$C32="",MACROS!$D32="",MACROS!$E32="",MACROS!$H32="",MACROS!$AG32="",MACROS!$AH32=""),"",((MACROS!$H32-MACROS!$AG32)*MACROS!$AH32*(1/10000)*(1/20.04)*MACROS!$D32*(1/MACROS!$C32)*MACROS!$E32*1000))</f>
        <v/>
      </c>
      <c r="AJ32" s="78" t="str">
        <f>IF(AND(MACROS!$V32="",MACROS!$W32="",MACROS!$X32="",MACROS!$Y32=""),"",AVERAGE(MACROS!$V32,MACROS!$W32,MACROS!$X32,MACROS!$Y32))</f>
        <v/>
      </c>
      <c r="AK32" s="15">
        <f>1</f>
        <v>1</v>
      </c>
      <c r="AL32" s="79" t="str">
        <f>IF(OR(MACROS!$A32="",MACROS!$B32="",MACROS!$C32="",MACROS!$D32="",MACROS!$E32="",MACROS!$I32="",MACROS!$AJ32="",MACROS!$AK32=""),"",((MACROS!$I32-MACROS!$AJ32)*MACROS!$AK32*(1/10000)*(1/12.1525)*MACROS!$D32*(1/MACROS!$C32)*MACROS!$E32*1000))</f>
        <v/>
      </c>
      <c r="AM32" s="79" t="str">
        <f>IF(OR(MACROS!$AE32="",MACROS!$AL32=""),"",MACROS!$AE32/MACROS!$AL32)</f>
        <v/>
      </c>
      <c r="AN32" s="79" t="str">
        <f>IF(OR(MACROS!$AI32="",MACROS!$AL32=""),"",MACROS!$AI32/MACROS!$AL32)</f>
        <v/>
      </c>
      <c r="AO32" s="20" t="str">
        <f>IF(MACROS!$A32="","",IF(ISNUMBER(VLOOKUP(MACROS!$A32,AC!A:J,10,FALSE)),VLOOKUP(MACROS!$A32,AC!A:J,10,FALSE),""))</f>
        <v/>
      </c>
      <c r="AP32" s="79" t="str">
        <f>IF(OR(MACROS!$AB32="",MACROS!$AE32="",MACROS!$AI32="",MACROS!$AL32="",MACROS!$AO32=""),"",SUM(MACROS!$AB32,MACROS!$AE32,MACROS!$AI32,MACROS!$AL32,MACROS!$AO32))</f>
        <v/>
      </c>
      <c r="AQ32" s="79" t="str">
        <f>IF(OR(MACROS!$AO32="",MACROS!$AP32=""),"",MACROS!$AO32/MACROS!$AP32*100)</f>
        <v/>
      </c>
      <c r="AR32" s="80" t="str">
        <f>IF(MACROS!$AQ32="","",IF(MACROS!$AW32+(MACROS!$AQ32-MACROS!$AU32)/(MACROS!$AV32-MACROS!$AU32)*(MACROS!$AX32-MACROS!$AW32)&gt;MAX(Interpolación!$C$2:$C$13),Interpolación!$C$13,CEILING(MACROS!$AW32+(MACROS!$AQ32-MACROS!$AU32)/(MACROS!$AV32-MACROS!$AU32)*(MACROS!$AX32-MACROS!$AW32),100)))</f>
        <v/>
      </c>
      <c r="AS32" s="80" t="str">
        <f>IF(MACROS!$AQ32="","",IF(ISNA(MATCH(MACROS!$AQ32,Interpolación!$B$2:$B$13,1)),Interpolación!$A$2,MIN(MATCH(MACROS!$AQ32,Interpolación!$B$2:$B$13,1),Interpolación!$A$13-1)))</f>
        <v/>
      </c>
      <c r="AT32" s="80" t="str">
        <f>IF(MACROS!$AS32="","",MACROS!$AS32+1)</f>
        <v/>
      </c>
      <c r="AU32" s="80" t="str">
        <f>IF(MACROS!$AS32="","",INDEX(Interpolación!$B$2:$B$13,MACROS!$AS32))</f>
        <v/>
      </c>
      <c r="AV32" s="80" t="str">
        <f>IF(MACROS!$AT32="","",INDEX(Interpolación!$B$2:$B$13,MACROS!$AT32))</f>
        <v/>
      </c>
      <c r="AW32" s="80" t="str">
        <f>IF(MACROS!$AS32="","",INDEX(Interpolación!$C$2:$C$13,MACROS!$AS32))</f>
        <v/>
      </c>
      <c r="AX32" s="80" t="str">
        <f>IF(MACROS!$AT32="","",INDEX(Interpolación!$C$2:$C$13,MACROS!$AT32))</f>
        <v/>
      </c>
    </row>
    <row r="33" spans="1:50" x14ac:dyDescent="0.25">
      <c r="A33" s="75" t="str">
        <f>IF('Pesada Macros'!A33="","",'Pesada Macros'!A33)</f>
        <v/>
      </c>
      <c r="B33" s="76" t="str">
        <f>IF('Pesada Macros'!B33="","",'Pesada Macros'!B33)</f>
        <v/>
      </c>
      <c r="C33" s="77" t="str">
        <f>IF('Pesada Macros'!C33="","",VALUE('Pesada Macros'!C33))</f>
        <v/>
      </c>
      <c r="D33" s="15">
        <f>50</f>
        <v>50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78" t="str">
        <f>IF(AND(MACROS!$J33="",MACROS!$K33="",MACROS!$L33="",MACROS!$M33=""),"",AVERAGE(MACROS!$J33,MACROS!$K33,MACROS!$L33,MACROS!$M33))</f>
        <v/>
      </c>
      <c r="AA33" s="15">
        <f>1</f>
        <v>1</v>
      </c>
      <c r="AB33" s="79" t="str">
        <f>IF(OR(MACROS!$A33="",MACROS!$B33="",MACROS!$C33="",MACROS!$D33="",MACROS!$E33="",MACROS!$F33="",MACROS!$Z33="",MACROS!$AA33=""),"",((MACROS!$F33-MACROS!$Z33)*MACROS!$AA33*(1/10000)*(1/22.99)*MACROS!$D33*(1/MACROS!$C33)*MACROS!$E33*1000))</f>
        <v/>
      </c>
      <c r="AC33" s="78" t="str">
        <f>IF(AND(MACROS!$N33="",MACROS!$O33="",MACROS!$P33="",MACROS!$Q33=""),"",AVERAGE(MACROS!$N33,MACROS!$O33,MACROS!$P33,MACROS!$Q33))</f>
        <v/>
      </c>
      <c r="AD33" s="15">
        <f>1</f>
        <v>1</v>
      </c>
      <c r="AE33" s="79" t="str">
        <f>IF(OR(MACROS!$A33="",MACROS!$B33="",MACROS!$C33="",MACROS!$D33="",MACROS!$E33="",MACROS!$G33="",MACROS!$AC33="",MACROS!$AD33=""),"",((MACROS!$G33-MACROS!$AC33)*MACROS!$AD33*(1/10000)*(1/39.098)*MACROS!$D33*(1/MACROS!$C33)*MACROS!$E33*1000))</f>
        <v/>
      </c>
      <c r="AF33" s="80" t="str">
        <f>IF(MACROS!$AE33="","",MACROS!$AE33*391)</f>
        <v/>
      </c>
      <c r="AG33" s="78" t="str">
        <f>IF(AND(MACROS!$R33="",MACROS!$S33="",MACROS!$T33="",MACROS!$U33=""),"",AVERAGE(MACROS!$R33,MACROS!$S33,MACROS!$T33,MACROS!$U33))</f>
        <v/>
      </c>
      <c r="AH33" s="15">
        <f>1</f>
        <v>1</v>
      </c>
      <c r="AI33" s="79" t="str">
        <f>IF(OR(MACROS!$A33="",MACROS!$B33="",MACROS!$C33="",MACROS!$D33="",MACROS!$E33="",MACROS!$H33="",MACROS!$AG33="",MACROS!$AH33=""),"",((MACROS!$H33-MACROS!$AG33)*MACROS!$AH33*(1/10000)*(1/20.04)*MACROS!$D33*(1/MACROS!$C33)*MACROS!$E33*1000))</f>
        <v/>
      </c>
      <c r="AJ33" s="78" t="str">
        <f>IF(AND(MACROS!$V33="",MACROS!$W33="",MACROS!$X33="",MACROS!$Y33=""),"",AVERAGE(MACROS!$V33,MACROS!$W33,MACROS!$X33,MACROS!$Y33))</f>
        <v/>
      </c>
      <c r="AK33" s="15">
        <f>1</f>
        <v>1</v>
      </c>
      <c r="AL33" s="79" t="str">
        <f>IF(OR(MACROS!$A33="",MACROS!$B33="",MACROS!$C33="",MACROS!$D33="",MACROS!$E33="",MACROS!$I33="",MACROS!$AJ33="",MACROS!$AK33=""),"",((MACROS!$I33-MACROS!$AJ33)*MACROS!$AK33*(1/10000)*(1/12.1525)*MACROS!$D33*(1/MACROS!$C33)*MACROS!$E33*1000))</f>
        <v/>
      </c>
      <c r="AM33" s="79" t="str">
        <f>IF(OR(MACROS!$AE33="",MACROS!$AL33=""),"",MACROS!$AE33/MACROS!$AL33)</f>
        <v/>
      </c>
      <c r="AN33" s="79" t="str">
        <f>IF(OR(MACROS!$AI33="",MACROS!$AL33=""),"",MACROS!$AI33/MACROS!$AL33)</f>
        <v/>
      </c>
      <c r="AO33" s="20" t="str">
        <f>IF(MACROS!$A33="","",IF(ISNUMBER(VLOOKUP(MACROS!$A33,AC!A:J,10,FALSE)),VLOOKUP(MACROS!$A33,AC!A:J,10,FALSE),""))</f>
        <v/>
      </c>
      <c r="AP33" s="79" t="str">
        <f>IF(OR(MACROS!$AB33="",MACROS!$AE33="",MACROS!$AI33="",MACROS!$AL33="",MACROS!$AO33=""),"",SUM(MACROS!$AB33,MACROS!$AE33,MACROS!$AI33,MACROS!$AL33,MACROS!$AO33))</f>
        <v/>
      </c>
      <c r="AQ33" s="79" t="str">
        <f>IF(OR(MACROS!$AO33="",MACROS!$AP33=""),"",MACROS!$AO33/MACROS!$AP33*100)</f>
        <v/>
      </c>
      <c r="AR33" s="80" t="str">
        <f>IF(MACROS!$AQ33="","",IF(MACROS!$AW33+(MACROS!$AQ33-MACROS!$AU33)/(MACROS!$AV33-MACROS!$AU33)*(MACROS!$AX33-MACROS!$AW33)&gt;MAX(Interpolación!$C$2:$C$13),Interpolación!$C$13,CEILING(MACROS!$AW33+(MACROS!$AQ33-MACROS!$AU33)/(MACROS!$AV33-MACROS!$AU33)*(MACROS!$AX33-MACROS!$AW33),100)))</f>
        <v/>
      </c>
      <c r="AS33" s="80" t="str">
        <f>IF(MACROS!$AQ33="","",IF(ISNA(MATCH(MACROS!$AQ33,Interpolación!$B$2:$B$13,1)),Interpolación!$A$2,MIN(MATCH(MACROS!$AQ33,Interpolación!$B$2:$B$13,1),Interpolación!$A$13-1)))</f>
        <v/>
      </c>
      <c r="AT33" s="80" t="str">
        <f>IF(MACROS!$AS33="","",MACROS!$AS33+1)</f>
        <v/>
      </c>
      <c r="AU33" s="80" t="str">
        <f>IF(MACROS!$AS33="","",INDEX(Interpolación!$B$2:$B$13,MACROS!$AS33))</f>
        <v/>
      </c>
      <c r="AV33" s="80" t="str">
        <f>IF(MACROS!$AT33="","",INDEX(Interpolación!$B$2:$B$13,MACROS!$AT33))</f>
        <v/>
      </c>
      <c r="AW33" s="80" t="str">
        <f>IF(MACROS!$AS33="","",INDEX(Interpolación!$C$2:$C$13,MACROS!$AS33))</f>
        <v/>
      </c>
      <c r="AX33" s="80" t="str">
        <f>IF(MACROS!$AT33="","",INDEX(Interpolación!$C$2:$C$13,MACROS!$AT33))</f>
        <v/>
      </c>
    </row>
    <row r="34" spans="1:50" x14ac:dyDescent="0.25">
      <c r="A34" s="75" t="str">
        <f>IF('Pesada Macros'!A34="","",'Pesada Macros'!A34)</f>
        <v/>
      </c>
      <c r="B34" s="76" t="str">
        <f>IF('Pesada Macros'!B34="","",'Pesada Macros'!B34)</f>
        <v/>
      </c>
      <c r="C34" s="77" t="str">
        <f>IF('Pesada Macros'!C34="","",VALUE('Pesada Macros'!C34))</f>
        <v/>
      </c>
      <c r="D34" s="15">
        <f>50</f>
        <v>50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78" t="str">
        <f>IF(AND(MACROS!$J34="",MACROS!$K34="",MACROS!$L34="",MACROS!$M34=""),"",AVERAGE(MACROS!$J34,MACROS!$K34,MACROS!$L34,MACROS!$M34))</f>
        <v/>
      </c>
      <c r="AA34" s="15">
        <f>1</f>
        <v>1</v>
      </c>
      <c r="AB34" s="79" t="str">
        <f>IF(OR(MACROS!$A34="",MACROS!$B34="",MACROS!$C34="",MACROS!$D34="",MACROS!$E34="",MACROS!$F34="",MACROS!$Z34="",MACROS!$AA34=""),"",((MACROS!$F34-MACROS!$Z34)*MACROS!$AA34*(1/10000)*(1/22.99)*MACROS!$D34*(1/MACROS!$C34)*MACROS!$E34*1000))</f>
        <v/>
      </c>
      <c r="AC34" s="78" t="str">
        <f>IF(AND(MACROS!$N34="",MACROS!$O34="",MACROS!$P34="",MACROS!$Q34=""),"",AVERAGE(MACROS!$N34,MACROS!$O34,MACROS!$P34,MACROS!$Q34))</f>
        <v/>
      </c>
      <c r="AD34" s="15">
        <f>1</f>
        <v>1</v>
      </c>
      <c r="AE34" s="79" t="str">
        <f>IF(OR(MACROS!$A34="",MACROS!$B34="",MACROS!$C34="",MACROS!$D34="",MACROS!$E34="",MACROS!$G34="",MACROS!$AC34="",MACROS!$AD34=""),"",((MACROS!$G34-MACROS!$AC34)*MACROS!$AD34*(1/10000)*(1/39.098)*MACROS!$D34*(1/MACROS!$C34)*MACROS!$E34*1000))</f>
        <v/>
      </c>
      <c r="AF34" s="80" t="str">
        <f>IF(MACROS!$AE34="","",MACROS!$AE34*391)</f>
        <v/>
      </c>
      <c r="AG34" s="78" t="str">
        <f>IF(AND(MACROS!$R34="",MACROS!$S34="",MACROS!$T34="",MACROS!$U34=""),"",AVERAGE(MACROS!$R34,MACROS!$S34,MACROS!$T34,MACROS!$U34))</f>
        <v/>
      </c>
      <c r="AH34" s="15">
        <f>1</f>
        <v>1</v>
      </c>
      <c r="AI34" s="79" t="str">
        <f>IF(OR(MACROS!$A34="",MACROS!$B34="",MACROS!$C34="",MACROS!$D34="",MACROS!$E34="",MACROS!$H34="",MACROS!$AG34="",MACROS!$AH34=""),"",((MACROS!$H34-MACROS!$AG34)*MACROS!$AH34*(1/10000)*(1/20.04)*MACROS!$D34*(1/MACROS!$C34)*MACROS!$E34*1000))</f>
        <v/>
      </c>
      <c r="AJ34" s="78" t="str">
        <f>IF(AND(MACROS!$V34="",MACROS!$W34="",MACROS!$X34="",MACROS!$Y34=""),"",AVERAGE(MACROS!$V34,MACROS!$W34,MACROS!$X34,MACROS!$Y34))</f>
        <v/>
      </c>
      <c r="AK34" s="15">
        <f>1</f>
        <v>1</v>
      </c>
      <c r="AL34" s="79" t="str">
        <f>IF(OR(MACROS!$A34="",MACROS!$B34="",MACROS!$C34="",MACROS!$D34="",MACROS!$E34="",MACROS!$I34="",MACROS!$AJ34="",MACROS!$AK34=""),"",((MACROS!$I34-MACROS!$AJ34)*MACROS!$AK34*(1/10000)*(1/12.1525)*MACROS!$D34*(1/MACROS!$C34)*MACROS!$E34*1000))</f>
        <v/>
      </c>
      <c r="AM34" s="79" t="str">
        <f>IF(OR(MACROS!$AE34="",MACROS!$AL34=""),"",MACROS!$AE34/MACROS!$AL34)</f>
        <v/>
      </c>
      <c r="AN34" s="79" t="str">
        <f>IF(OR(MACROS!$AI34="",MACROS!$AL34=""),"",MACROS!$AI34/MACROS!$AL34)</f>
        <v/>
      </c>
      <c r="AO34" s="20" t="str">
        <f>IF(MACROS!$A34="","",IF(ISNUMBER(VLOOKUP(MACROS!$A34,AC!A:J,10,FALSE)),VLOOKUP(MACROS!$A34,AC!A:J,10,FALSE),""))</f>
        <v/>
      </c>
      <c r="AP34" s="79" t="str">
        <f>IF(OR(MACROS!$AB34="",MACROS!$AE34="",MACROS!$AI34="",MACROS!$AL34="",MACROS!$AO34=""),"",SUM(MACROS!$AB34,MACROS!$AE34,MACROS!$AI34,MACROS!$AL34,MACROS!$AO34))</f>
        <v/>
      </c>
      <c r="AQ34" s="79" t="str">
        <f>IF(OR(MACROS!$AO34="",MACROS!$AP34=""),"",MACROS!$AO34/MACROS!$AP34*100)</f>
        <v/>
      </c>
      <c r="AR34" s="80" t="str">
        <f>IF(MACROS!$AQ34="","",IF(MACROS!$AW34+(MACROS!$AQ34-MACROS!$AU34)/(MACROS!$AV34-MACROS!$AU34)*(MACROS!$AX34-MACROS!$AW34)&gt;MAX(Interpolación!$C$2:$C$13),Interpolación!$C$13,CEILING(MACROS!$AW34+(MACROS!$AQ34-MACROS!$AU34)/(MACROS!$AV34-MACROS!$AU34)*(MACROS!$AX34-MACROS!$AW34),100)))</f>
        <v/>
      </c>
      <c r="AS34" s="80" t="str">
        <f>IF(MACROS!$AQ34="","",IF(ISNA(MATCH(MACROS!$AQ34,Interpolación!$B$2:$B$13,1)),Interpolación!$A$2,MIN(MATCH(MACROS!$AQ34,Interpolación!$B$2:$B$13,1),Interpolación!$A$13-1)))</f>
        <v/>
      </c>
      <c r="AT34" s="80" t="str">
        <f>IF(MACROS!$AS34="","",MACROS!$AS34+1)</f>
        <v/>
      </c>
      <c r="AU34" s="80" t="str">
        <f>IF(MACROS!$AS34="","",INDEX(Interpolación!$B$2:$B$13,MACROS!$AS34))</f>
        <v/>
      </c>
      <c r="AV34" s="80" t="str">
        <f>IF(MACROS!$AT34="","",INDEX(Interpolación!$B$2:$B$13,MACROS!$AT34))</f>
        <v/>
      </c>
      <c r="AW34" s="80" t="str">
        <f>IF(MACROS!$AS34="","",INDEX(Interpolación!$C$2:$C$13,MACROS!$AS34))</f>
        <v/>
      </c>
      <c r="AX34" s="80" t="str">
        <f>IF(MACROS!$AT34="","",INDEX(Interpolación!$C$2:$C$13,MACROS!$AT34))</f>
        <v/>
      </c>
    </row>
    <row r="35" spans="1:50" x14ac:dyDescent="0.25">
      <c r="A35" s="75" t="str">
        <f>IF('Pesada Macros'!A35="","",'Pesada Macros'!A35)</f>
        <v/>
      </c>
      <c r="B35" s="76" t="str">
        <f>IF('Pesada Macros'!B35="","",'Pesada Macros'!B35)</f>
        <v/>
      </c>
      <c r="C35" s="77" t="str">
        <f>IF('Pesada Macros'!C35="","",VALUE('Pesada Macros'!C35))</f>
        <v/>
      </c>
      <c r="D35" s="15">
        <f>50</f>
        <v>50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78" t="str">
        <f>IF(AND(MACROS!$J35="",MACROS!$K35="",MACROS!$L35="",MACROS!$M35=""),"",AVERAGE(MACROS!$J35,MACROS!$K35,MACROS!$L35,MACROS!$M35))</f>
        <v/>
      </c>
      <c r="AA35" s="15">
        <f>1</f>
        <v>1</v>
      </c>
      <c r="AB35" s="79" t="str">
        <f>IF(OR(MACROS!$A35="",MACROS!$B35="",MACROS!$C35="",MACROS!$D35="",MACROS!$E35="",MACROS!$F35="",MACROS!$Z35="",MACROS!$AA35=""),"",((MACROS!$F35-MACROS!$Z35)*MACROS!$AA35*(1/10000)*(1/22.99)*MACROS!$D35*(1/MACROS!$C35)*MACROS!$E35*1000))</f>
        <v/>
      </c>
      <c r="AC35" s="78" t="str">
        <f>IF(AND(MACROS!$N35="",MACROS!$O35="",MACROS!$P35="",MACROS!$Q35=""),"",AVERAGE(MACROS!$N35,MACROS!$O35,MACROS!$P35,MACROS!$Q35))</f>
        <v/>
      </c>
      <c r="AD35" s="15">
        <f>1</f>
        <v>1</v>
      </c>
      <c r="AE35" s="79" t="str">
        <f>IF(OR(MACROS!$A35="",MACROS!$B35="",MACROS!$C35="",MACROS!$D35="",MACROS!$E35="",MACROS!$G35="",MACROS!$AC35="",MACROS!$AD35=""),"",((MACROS!$G35-MACROS!$AC35)*MACROS!$AD35*(1/10000)*(1/39.098)*MACROS!$D35*(1/MACROS!$C35)*MACROS!$E35*1000))</f>
        <v/>
      </c>
      <c r="AF35" s="80" t="str">
        <f>IF(MACROS!$AE35="","",MACROS!$AE35*391)</f>
        <v/>
      </c>
      <c r="AG35" s="78" t="str">
        <f>IF(AND(MACROS!$R35="",MACROS!$S35="",MACROS!$T35="",MACROS!$U35=""),"",AVERAGE(MACROS!$R35,MACROS!$S35,MACROS!$T35,MACROS!$U35))</f>
        <v/>
      </c>
      <c r="AH35" s="15">
        <f>1</f>
        <v>1</v>
      </c>
      <c r="AI35" s="79" t="str">
        <f>IF(OR(MACROS!$A35="",MACROS!$B35="",MACROS!$C35="",MACROS!$D35="",MACROS!$E35="",MACROS!$H35="",MACROS!$AG35="",MACROS!$AH35=""),"",((MACROS!$H35-MACROS!$AG35)*MACROS!$AH35*(1/10000)*(1/20.04)*MACROS!$D35*(1/MACROS!$C35)*MACROS!$E35*1000))</f>
        <v/>
      </c>
      <c r="AJ35" s="78" t="str">
        <f>IF(AND(MACROS!$V35="",MACROS!$W35="",MACROS!$X35="",MACROS!$Y35=""),"",AVERAGE(MACROS!$V35,MACROS!$W35,MACROS!$X35,MACROS!$Y35))</f>
        <v/>
      </c>
      <c r="AK35" s="15">
        <f>1</f>
        <v>1</v>
      </c>
      <c r="AL35" s="79" t="str">
        <f>IF(OR(MACROS!$A35="",MACROS!$B35="",MACROS!$C35="",MACROS!$D35="",MACROS!$E35="",MACROS!$I35="",MACROS!$AJ35="",MACROS!$AK35=""),"",((MACROS!$I35-MACROS!$AJ35)*MACROS!$AK35*(1/10000)*(1/12.1525)*MACROS!$D35*(1/MACROS!$C35)*MACROS!$E35*1000))</f>
        <v/>
      </c>
      <c r="AM35" s="79" t="str">
        <f>IF(OR(MACROS!$AE35="",MACROS!$AL35=""),"",MACROS!$AE35/MACROS!$AL35)</f>
        <v/>
      </c>
      <c r="AN35" s="79" t="str">
        <f>IF(OR(MACROS!$AI35="",MACROS!$AL35=""),"",MACROS!$AI35/MACROS!$AL35)</f>
        <v/>
      </c>
      <c r="AO35" s="20" t="str">
        <f>IF(MACROS!$A35="","",IF(ISNUMBER(VLOOKUP(MACROS!$A35,AC!A:J,10,FALSE)),VLOOKUP(MACROS!$A35,AC!A:J,10,FALSE),""))</f>
        <v/>
      </c>
      <c r="AP35" s="79" t="str">
        <f>IF(OR(MACROS!$AB35="",MACROS!$AE35="",MACROS!$AI35="",MACROS!$AL35="",MACROS!$AO35=""),"",SUM(MACROS!$AB35,MACROS!$AE35,MACROS!$AI35,MACROS!$AL35,MACROS!$AO35))</f>
        <v/>
      </c>
      <c r="AQ35" s="79" t="str">
        <f>IF(OR(MACROS!$AO35="",MACROS!$AP35=""),"",MACROS!$AO35/MACROS!$AP35*100)</f>
        <v/>
      </c>
      <c r="AR35" s="80" t="str">
        <f>IF(MACROS!$AQ35="","",IF(MACROS!$AW35+(MACROS!$AQ35-MACROS!$AU35)/(MACROS!$AV35-MACROS!$AU35)*(MACROS!$AX35-MACROS!$AW35)&gt;MAX(Interpolación!$C$2:$C$13),Interpolación!$C$13,CEILING(MACROS!$AW35+(MACROS!$AQ35-MACROS!$AU35)/(MACROS!$AV35-MACROS!$AU35)*(MACROS!$AX35-MACROS!$AW35),100)))</f>
        <v/>
      </c>
      <c r="AS35" s="80" t="str">
        <f>IF(MACROS!$AQ35="","",IF(ISNA(MATCH(MACROS!$AQ35,Interpolación!$B$2:$B$13,1)),Interpolación!$A$2,MIN(MATCH(MACROS!$AQ35,Interpolación!$B$2:$B$13,1),Interpolación!$A$13-1)))</f>
        <v/>
      </c>
      <c r="AT35" s="80" t="str">
        <f>IF(MACROS!$AS35="","",MACROS!$AS35+1)</f>
        <v/>
      </c>
      <c r="AU35" s="80" t="str">
        <f>IF(MACROS!$AS35="","",INDEX(Interpolación!$B$2:$B$13,MACROS!$AS35))</f>
        <v/>
      </c>
      <c r="AV35" s="80" t="str">
        <f>IF(MACROS!$AT35="","",INDEX(Interpolación!$B$2:$B$13,MACROS!$AT35))</f>
        <v/>
      </c>
      <c r="AW35" s="80" t="str">
        <f>IF(MACROS!$AS35="","",INDEX(Interpolación!$C$2:$C$13,MACROS!$AS35))</f>
        <v/>
      </c>
      <c r="AX35" s="80" t="str">
        <f>IF(MACROS!$AT35="","",INDEX(Interpolación!$C$2:$C$13,MACROS!$AT35))</f>
        <v/>
      </c>
    </row>
    <row r="36" spans="1:50" x14ac:dyDescent="0.25">
      <c r="A36" s="75" t="str">
        <f>IF('Pesada Macros'!A36="","",'Pesada Macros'!A36)</f>
        <v/>
      </c>
      <c r="B36" s="76" t="str">
        <f>IF('Pesada Macros'!B36="","",'Pesada Macros'!B36)</f>
        <v/>
      </c>
      <c r="C36" s="77" t="str">
        <f>IF('Pesada Macros'!C36="","",VALUE('Pesada Macros'!C36))</f>
        <v/>
      </c>
      <c r="D36" s="15">
        <f>50</f>
        <v>50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78" t="str">
        <f>IF(AND(MACROS!$J36="",MACROS!$K36="",MACROS!$L36="",MACROS!$M36=""),"",AVERAGE(MACROS!$J36,MACROS!$K36,MACROS!$L36,MACROS!$M36))</f>
        <v/>
      </c>
      <c r="AA36" s="15">
        <f>1</f>
        <v>1</v>
      </c>
      <c r="AB36" s="79" t="str">
        <f>IF(OR(MACROS!$A36="",MACROS!$B36="",MACROS!$C36="",MACROS!$D36="",MACROS!$E36="",MACROS!$F36="",MACROS!$Z36="",MACROS!$AA36=""),"",((MACROS!$F36-MACROS!$Z36)*MACROS!$AA36*(1/10000)*(1/22.99)*MACROS!$D36*(1/MACROS!$C36)*MACROS!$E36*1000))</f>
        <v/>
      </c>
      <c r="AC36" s="78" t="str">
        <f>IF(AND(MACROS!$N36="",MACROS!$O36="",MACROS!$P36="",MACROS!$Q36=""),"",AVERAGE(MACROS!$N36,MACROS!$O36,MACROS!$P36,MACROS!$Q36))</f>
        <v/>
      </c>
      <c r="AD36" s="15">
        <f>1</f>
        <v>1</v>
      </c>
      <c r="AE36" s="79" t="str">
        <f>IF(OR(MACROS!$A36="",MACROS!$B36="",MACROS!$C36="",MACROS!$D36="",MACROS!$E36="",MACROS!$G36="",MACROS!$AC36="",MACROS!$AD36=""),"",((MACROS!$G36-MACROS!$AC36)*MACROS!$AD36*(1/10000)*(1/39.098)*MACROS!$D36*(1/MACROS!$C36)*MACROS!$E36*1000))</f>
        <v/>
      </c>
      <c r="AF36" s="80" t="str">
        <f>IF(MACROS!$AE36="","",MACROS!$AE36*391)</f>
        <v/>
      </c>
      <c r="AG36" s="78" t="str">
        <f>IF(AND(MACROS!$R36="",MACROS!$S36="",MACROS!$T36="",MACROS!$U36=""),"",AVERAGE(MACROS!$R36,MACROS!$S36,MACROS!$T36,MACROS!$U36))</f>
        <v/>
      </c>
      <c r="AH36" s="15">
        <f>1</f>
        <v>1</v>
      </c>
      <c r="AI36" s="79" t="str">
        <f>IF(OR(MACROS!$A36="",MACROS!$B36="",MACROS!$C36="",MACROS!$D36="",MACROS!$E36="",MACROS!$H36="",MACROS!$AG36="",MACROS!$AH36=""),"",((MACROS!$H36-MACROS!$AG36)*MACROS!$AH36*(1/10000)*(1/20.04)*MACROS!$D36*(1/MACROS!$C36)*MACROS!$E36*1000))</f>
        <v/>
      </c>
      <c r="AJ36" s="78" t="str">
        <f>IF(AND(MACROS!$V36="",MACROS!$W36="",MACROS!$X36="",MACROS!$Y36=""),"",AVERAGE(MACROS!$V36,MACROS!$W36,MACROS!$X36,MACROS!$Y36))</f>
        <v/>
      </c>
      <c r="AK36" s="15">
        <f>1</f>
        <v>1</v>
      </c>
      <c r="AL36" s="79" t="str">
        <f>IF(OR(MACROS!$A36="",MACROS!$B36="",MACROS!$C36="",MACROS!$D36="",MACROS!$E36="",MACROS!$I36="",MACROS!$AJ36="",MACROS!$AK36=""),"",((MACROS!$I36-MACROS!$AJ36)*MACROS!$AK36*(1/10000)*(1/12.1525)*MACROS!$D36*(1/MACROS!$C36)*MACROS!$E36*1000))</f>
        <v/>
      </c>
      <c r="AM36" s="79" t="str">
        <f>IF(OR(MACROS!$AE36="",MACROS!$AL36=""),"",MACROS!$AE36/MACROS!$AL36)</f>
        <v/>
      </c>
      <c r="AN36" s="79" t="str">
        <f>IF(OR(MACROS!$AI36="",MACROS!$AL36=""),"",MACROS!$AI36/MACROS!$AL36)</f>
        <v/>
      </c>
      <c r="AO36" s="20" t="str">
        <f>IF(MACROS!$A36="","",IF(ISNUMBER(VLOOKUP(MACROS!$A36,AC!A:J,10,FALSE)),VLOOKUP(MACROS!$A36,AC!A:J,10,FALSE),""))</f>
        <v/>
      </c>
      <c r="AP36" s="79" t="str">
        <f>IF(OR(MACROS!$AB36="",MACROS!$AE36="",MACROS!$AI36="",MACROS!$AL36="",MACROS!$AO36=""),"",SUM(MACROS!$AB36,MACROS!$AE36,MACROS!$AI36,MACROS!$AL36,MACROS!$AO36))</f>
        <v/>
      </c>
      <c r="AQ36" s="79" t="str">
        <f>IF(OR(MACROS!$AO36="",MACROS!$AP36=""),"",MACROS!$AO36/MACROS!$AP36*100)</f>
        <v/>
      </c>
      <c r="AR36" s="80" t="str">
        <f>IF(MACROS!$AQ36="","",IF(MACROS!$AW36+(MACROS!$AQ36-MACROS!$AU36)/(MACROS!$AV36-MACROS!$AU36)*(MACROS!$AX36-MACROS!$AW36)&gt;MAX(Interpolación!$C$2:$C$13),Interpolación!$C$13,CEILING(MACROS!$AW36+(MACROS!$AQ36-MACROS!$AU36)/(MACROS!$AV36-MACROS!$AU36)*(MACROS!$AX36-MACROS!$AW36),100)))</f>
        <v/>
      </c>
      <c r="AS36" s="80" t="str">
        <f>IF(MACROS!$AQ36="","",IF(ISNA(MATCH(MACROS!$AQ36,Interpolación!$B$2:$B$13,1)),Interpolación!$A$2,MIN(MATCH(MACROS!$AQ36,Interpolación!$B$2:$B$13,1),Interpolación!$A$13-1)))</f>
        <v/>
      </c>
      <c r="AT36" s="80" t="str">
        <f>IF(MACROS!$AS36="","",MACROS!$AS36+1)</f>
        <v/>
      </c>
      <c r="AU36" s="80" t="str">
        <f>IF(MACROS!$AS36="","",INDEX(Interpolación!$B$2:$B$13,MACROS!$AS36))</f>
        <v/>
      </c>
      <c r="AV36" s="80" t="str">
        <f>IF(MACROS!$AT36="","",INDEX(Interpolación!$B$2:$B$13,MACROS!$AT36))</f>
        <v/>
      </c>
      <c r="AW36" s="80" t="str">
        <f>IF(MACROS!$AS36="","",INDEX(Interpolación!$C$2:$C$13,MACROS!$AS36))</f>
        <v/>
      </c>
      <c r="AX36" s="80" t="str">
        <f>IF(MACROS!$AT36="","",INDEX(Interpolación!$C$2:$C$13,MACROS!$AT36))</f>
        <v/>
      </c>
    </row>
    <row r="37" spans="1:50" x14ac:dyDescent="0.25">
      <c r="A37" s="75" t="str">
        <f>IF('Pesada Macros'!A37="","",'Pesada Macros'!A37)</f>
        <v/>
      </c>
      <c r="B37" s="76" t="str">
        <f>IF('Pesada Macros'!B37="","",'Pesada Macros'!B37)</f>
        <v/>
      </c>
      <c r="C37" s="77" t="str">
        <f>IF('Pesada Macros'!C37="","",VALUE('Pesada Macros'!C37))</f>
        <v/>
      </c>
      <c r="D37" s="15">
        <f>50</f>
        <v>50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78" t="str">
        <f>IF(AND(MACROS!$J37="",MACROS!$K37="",MACROS!$L37="",MACROS!$M37=""),"",AVERAGE(MACROS!$J37,MACROS!$K37,MACROS!$L37,MACROS!$M37))</f>
        <v/>
      </c>
      <c r="AA37" s="15">
        <f>1</f>
        <v>1</v>
      </c>
      <c r="AB37" s="79" t="str">
        <f>IF(OR(MACROS!$A37="",MACROS!$B37="",MACROS!$C37="",MACROS!$D37="",MACROS!$E37="",MACROS!$F37="",MACROS!$Z37="",MACROS!$AA37=""),"",((MACROS!$F37-MACROS!$Z37)*MACROS!$AA37*(1/10000)*(1/22.99)*MACROS!$D37*(1/MACROS!$C37)*MACROS!$E37*1000))</f>
        <v/>
      </c>
      <c r="AC37" s="78" t="str">
        <f>IF(AND(MACROS!$N37="",MACROS!$O37="",MACROS!$P37="",MACROS!$Q37=""),"",AVERAGE(MACROS!$N37,MACROS!$O37,MACROS!$P37,MACROS!$Q37))</f>
        <v/>
      </c>
      <c r="AD37" s="15">
        <f>1</f>
        <v>1</v>
      </c>
      <c r="AE37" s="79" t="str">
        <f>IF(OR(MACROS!$A37="",MACROS!$B37="",MACROS!$C37="",MACROS!$D37="",MACROS!$E37="",MACROS!$G37="",MACROS!$AC37="",MACROS!$AD37=""),"",((MACROS!$G37-MACROS!$AC37)*MACROS!$AD37*(1/10000)*(1/39.098)*MACROS!$D37*(1/MACROS!$C37)*MACROS!$E37*1000))</f>
        <v/>
      </c>
      <c r="AF37" s="80" t="str">
        <f>IF(MACROS!$AE37="","",MACROS!$AE37*391)</f>
        <v/>
      </c>
      <c r="AG37" s="78" t="str">
        <f>IF(AND(MACROS!$R37="",MACROS!$S37="",MACROS!$T37="",MACROS!$U37=""),"",AVERAGE(MACROS!$R37,MACROS!$S37,MACROS!$T37,MACROS!$U37))</f>
        <v/>
      </c>
      <c r="AH37" s="15">
        <f>1</f>
        <v>1</v>
      </c>
      <c r="AI37" s="79" t="str">
        <f>IF(OR(MACROS!$A37="",MACROS!$B37="",MACROS!$C37="",MACROS!$D37="",MACROS!$E37="",MACROS!$H37="",MACROS!$AG37="",MACROS!$AH37=""),"",((MACROS!$H37-MACROS!$AG37)*MACROS!$AH37*(1/10000)*(1/20.04)*MACROS!$D37*(1/MACROS!$C37)*MACROS!$E37*1000))</f>
        <v/>
      </c>
      <c r="AJ37" s="78" t="str">
        <f>IF(AND(MACROS!$V37="",MACROS!$W37="",MACROS!$X37="",MACROS!$Y37=""),"",AVERAGE(MACROS!$V37,MACROS!$W37,MACROS!$X37,MACROS!$Y37))</f>
        <v/>
      </c>
      <c r="AK37" s="15">
        <f>1</f>
        <v>1</v>
      </c>
      <c r="AL37" s="79" t="str">
        <f>IF(OR(MACROS!$A37="",MACROS!$B37="",MACROS!$C37="",MACROS!$D37="",MACROS!$E37="",MACROS!$I37="",MACROS!$AJ37="",MACROS!$AK37=""),"",((MACROS!$I37-MACROS!$AJ37)*MACROS!$AK37*(1/10000)*(1/12.1525)*MACROS!$D37*(1/MACROS!$C37)*MACROS!$E37*1000))</f>
        <v/>
      </c>
      <c r="AM37" s="79" t="str">
        <f>IF(OR(MACROS!$AE37="",MACROS!$AL37=""),"",MACROS!$AE37/MACROS!$AL37)</f>
        <v/>
      </c>
      <c r="AN37" s="79" t="str">
        <f>IF(OR(MACROS!$AI37="",MACROS!$AL37=""),"",MACROS!$AI37/MACROS!$AL37)</f>
        <v/>
      </c>
      <c r="AO37" s="20" t="str">
        <f>IF(MACROS!$A37="","",IF(ISNUMBER(VLOOKUP(MACROS!$A37,AC!A:J,10,FALSE)),VLOOKUP(MACROS!$A37,AC!A:J,10,FALSE),""))</f>
        <v/>
      </c>
      <c r="AP37" s="79" t="str">
        <f>IF(OR(MACROS!$AB37="",MACROS!$AE37="",MACROS!$AI37="",MACROS!$AL37="",MACROS!$AO37=""),"",SUM(MACROS!$AB37,MACROS!$AE37,MACROS!$AI37,MACROS!$AL37,MACROS!$AO37))</f>
        <v/>
      </c>
      <c r="AQ37" s="79" t="str">
        <f>IF(OR(MACROS!$AO37="",MACROS!$AP37=""),"",MACROS!$AO37/MACROS!$AP37*100)</f>
        <v/>
      </c>
      <c r="AR37" s="80" t="str">
        <f>IF(MACROS!$AQ37="","",IF(MACROS!$AW37+(MACROS!$AQ37-MACROS!$AU37)/(MACROS!$AV37-MACROS!$AU37)*(MACROS!$AX37-MACROS!$AW37)&gt;MAX(Interpolación!$C$2:$C$13),Interpolación!$C$13,CEILING(MACROS!$AW37+(MACROS!$AQ37-MACROS!$AU37)/(MACROS!$AV37-MACROS!$AU37)*(MACROS!$AX37-MACROS!$AW37),100)))</f>
        <v/>
      </c>
      <c r="AS37" s="80" t="str">
        <f>IF(MACROS!$AQ37="","",IF(ISNA(MATCH(MACROS!$AQ37,Interpolación!$B$2:$B$13,1)),Interpolación!$A$2,MIN(MATCH(MACROS!$AQ37,Interpolación!$B$2:$B$13,1),Interpolación!$A$13-1)))</f>
        <v/>
      </c>
      <c r="AT37" s="80" t="str">
        <f>IF(MACROS!$AS37="","",MACROS!$AS37+1)</f>
        <v/>
      </c>
      <c r="AU37" s="80" t="str">
        <f>IF(MACROS!$AS37="","",INDEX(Interpolación!$B$2:$B$13,MACROS!$AS37))</f>
        <v/>
      </c>
      <c r="AV37" s="80" t="str">
        <f>IF(MACROS!$AT37="","",INDEX(Interpolación!$B$2:$B$13,MACROS!$AT37))</f>
        <v/>
      </c>
      <c r="AW37" s="80" t="str">
        <f>IF(MACROS!$AS37="","",INDEX(Interpolación!$C$2:$C$13,MACROS!$AS37))</f>
        <v/>
      </c>
      <c r="AX37" s="80" t="str">
        <f>IF(MACROS!$AT37="","",INDEX(Interpolación!$C$2:$C$13,MACROS!$AT37))</f>
        <v/>
      </c>
    </row>
    <row r="38" spans="1:50" x14ac:dyDescent="0.25">
      <c r="A38" s="75" t="str">
        <f>IF('Pesada Macros'!A38="","",'Pesada Macros'!A38)</f>
        <v/>
      </c>
      <c r="B38" s="76" t="str">
        <f>IF('Pesada Macros'!B38="","",'Pesada Macros'!B38)</f>
        <v/>
      </c>
      <c r="C38" s="77" t="str">
        <f>IF('Pesada Macros'!C38="","",VALUE('Pesada Macros'!C38))</f>
        <v/>
      </c>
      <c r="D38" s="15">
        <f>50</f>
        <v>50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78" t="str">
        <f>IF(AND(MACROS!$J38="",MACROS!$K38="",MACROS!$L38="",MACROS!$M38=""),"",AVERAGE(MACROS!$J38,MACROS!$K38,MACROS!$L38,MACROS!$M38))</f>
        <v/>
      </c>
      <c r="AA38" s="15">
        <f>1</f>
        <v>1</v>
      </c>
      <c r="AB38" s="79" t="str">
        <f>IF(OR(MACROS!$A38="",MACROS!$B38="",MACROS!$C38="",MACROS!$D38="",MACROS!$E38="",MACROS!$F38="",MACROS!$Z38="",MACROS!$AA38=""),"",((MACROS!$F38-MACROS!$Z38)*MACROS!$AA38*(1/10000)*(1/22.99)*MACROS!$D38*(1/MACROS!$C38)*MACROS!$E38*1000))</f>
        <v/>
      </c>
      <c r="AC38" s="78" t="str">
        <f>IF(AND(MACROS!$N38="",MACROS!$O38="",MACROS!$P38="",MACROS!$Q38=""),"",AVERAGE(MACROS!$N38,MACROS!$O38,MACROS!$P38,MACROS!$Q38))</f>
        <v/>
      </c>
      <c r="AD38" s="15">
        <f>1</f>
        <v>1</v>
      </c>
      <c r="AE38" s="79" t="str">
        <f>IF(OR(MACROS!$A38="",MACROS!$B38="",MACROS!$C38="",MACROS!$D38="",MACROS!$E38="",MACROS!$G38="",MACROS!$AC38="",MACROS!$AD38=""),"",((MACROS!$G38-MACROS!$AC38)*MACROS!$AD38*(1/10000)*(1/39.098)*MACROS!$D38*(1/MACROS!$C38)*MACROS!$E38*1000))</f>
        <v/>
      </c>
      <c r="AF38" s="80" t="str">
        <f>IF(MACROS!$AE38="","",MACROS!$AE38*391)</f>
        <v/>
      </c>
      <c r="AG38" s="78" t="str">
        <f>IF(AND(MACROS!$R38="",MACROS!$S38="",MACROS!$T38="",MACROS!$U38=""),"",AVERAGE(MACROS!$R38,MACROS!$S38,MACROS!$T38,MACROS!$U38))</f>
        <v/>
      </c>
      <c r="AH38" s="15">
        <f>1</f>
        <v>1</v>
      </c>
      <c r="AI38" s="79" t="str">
        <f>IF(OR(MACROS!$A38="",MACROS!$B38="",MACROS!$C38="",MACROS!$D38="",MACROS!$E38="",MACROS!$H38="",MACROS!$AG38="",MACROS!$AH38=""),"",((MACROS!$H38-MACROS!$AG38)*MACROS!$AH38*(1/10000)*(1/20.04)*MACROS!$D38*(1/MACROS!$C38)*MACROS!$E38*1000))</f>
        <v/>
      </c>
      <c r="AJ38" s="78" t="str">
        <f>IF(AND(MACROS!$V38="",MACROS!$W38="",MACROS!$X38="",MACROS!$Y38=""),"",AVERAGE(MACROS!$V38,MACROS!$W38,MACROS!$X38,MACROS!$Y38))</f>
        <v/>
      </c>
      <c r="AK38" s="15">
        <f>1</f>
        <v>1</v>
      </c>
      <c r="AL38" s="79" t="str">
        <f>IF(OR(MACROS!$A38="",MACROS!$B38="",MACROS!$C38="",MACROS!$D38="",MACROS!$E38="",MACROS!$I38="",MACROS!$AJ38="",MACROS!$AK38=""),"",((MACROS!$I38-MACROS!$AJ38)*MACROS!$AK38*(1/10000)*(1/12.1525)*MACROS!$D38*(1/MACROS!$C38)*MACROS!$E38*1000))</f>
        <v/>
      </c>
      <c r="AM38" s="79" t="str">
        <f>IF(OR(MACROS!$AE38="",MACROS!$AL38=""),"",MACROS!$AE38/MACROS!$AL38)</f>
        <v/>
      </c>
      <c r="AN38" s="79" t="str">
        <f>IF(OR(MACROS!$AI38="",MACROS!$AL38=""),"",MACROS!$AI38/MACROS!$AL38)</f>
        <v/>
      </c>
      <c r="AO38" s="20" t="str">
        <f>IF(MACROS!$A38="","",IF(ISNUMBER(VLOOKUP(MACROS!$A38,AC!A:J,10,FALSE)),VLOOKUP(MACROS!$A38,AC!A:J,10,FALSE),""))</f>
        <v/>
      </c>
      <c r="AP38" s="79" t="str">
        <f>IF(OR(MACROS!$AB38="",MACROS!$AE38="",MACROS!$AI38="",MACROS!$AL38="",MACROS!$AO38=""),"",SUM(MACROS!$AB38,MACROS!$AE38,MACROS!$AI38,MACROS!$AL38,MACROS!$AO38))</f>
        <v/>
      </c>
      <c r="AQ38" s="79" t="str">
        <f>IF(OR(MACROS!$AO38="",MACROS!$AP38=""),"",MACROS!$AO38/MACROS!$AP38*100)</f>
        <v/>
      </c>
      <c r="AR38" s="80" t="str">
        <f>IF(MACROS!$AQ38="","",IF(MACROS!$AW38+(MACROS!$AQ38-MACROS!$AU38)/(MACROS!$AV38-MACROS!$AU38)*(MACROS!$AX38-MACROS!$AW38)&gt;MAX(Interpolación!$C$2:$C$13),Interpolación!$C$13,CEILING(MACROS!$AW38+(MACROS!$AQ38-MACROS!$AU38)/(MACROS!$AV38-MACROS!$AU38)*(MACROS!$AX38-MACROS!$AW38),100)))</f>
        <v/>
      </c>
      <c r="AS38" s="80" t="str">
        <f>IF(MACROS!$AQ38="","",IF(ISNA(MATCH(MACROS!$AQ38,Interpolación!$B$2:$B$13,1)),Interpolación!$A$2,MIN(MATCH(MACROS!$AQ38,Interpolación!$B$2:$B$13,1),Interpolación!$A$13-1)))</f>
        <v/>
      </c>
      <c r="AT38" s="80" t="str">
        <f>IF(MACROS!$AS38="","",MACROS!$AS38+1)</f>
        <v/>
      </c>
      <c r="AU38" s="80" t="str">
        <f>IF(MACROS!$AS38="","",INDEX(Interpolación!$B$2:$B$13,MACROS!$AS38))</f>
        <v/>
      </c>
      <c r="AV38" s="80" t="str">
        <f>IF(MACROS!$AT38="","",INDEX(Interpolación!$B$2:$B$13,MACROS!$AT38))</f>
        <v/>
      </c>
      <c r="AW38" s="80" t="str">
        <f>IF(MACROS!$AS38="","",INDEX(Interpolación!$C$2:$C$13,MACROS!$AS38))</f>
        <v/>
      </c>
      <c r="AX38" s="80" t="str">
        <f>IF(MACROS!$AT38="","",INDEX(Interpolación!$C$2:$C$13,MACROS!$AT38))</f>
        <v/>
      </c>
    </row>
    <row r="39" spans="1:50" x14ac:dyDescent="0.25">
      <c r="A39" s="75" t="str">
        <f>IF('Pesada Macros'!A39="","",'Pesada Macros'!A39)</f>
        <v/>
      </c>
      <c r="B39" s="76" t="str">
        <f>IF('Pesada Macros'!B39="","",'Pesada Macros'!B39)</f>
        <v/>
      </c>
      <c r="C39" s="77" t="str">
        <f>IF('Pesada Macros'!C39="","",VALUE('Pesada Macros'!C39))</f>
        <v/>
      </c>
      <c r="D39" s="15">
        <f>50</f>
        <v>50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78" t="str">
        <f>IF(AND(MACROS!$J39="",MACROS!$K39="",MACROS!$L39="",MACROS!$M39=""),"",AVERAGE(MACROS!$J39,MACROS!$K39,MACROS!$L39,MACROS!$M39))</f>
        <v/>
      </c>
      <c r="AA39" s="15">
        <f>1</f>
        <v>1</v>
      </c>
      <c r="AB39" s="79" t="str">
        <f>IF(OR(MACROS!$A39="",MACROS!$B39="",MACROS!$C39="",MACROS!$D39="",MACROS!$E39="",MACROS!$F39="",MACROS!$Z39="",MACROS!$AA39=""),"",((MACROS!$F39-MACROS!$Z39)*MACROS!$AA39*(1/10000)*(1/22.99)*MACROS!$D39*(1/MACROS!$C39)*MACROS!$E39*1000))</f>
        <v/>
      </c>
      <c r="AC39" s="78" t="str">
        <f>IF(AND(MACROS!$N39="",MACROS!$O39="",MACROS!$P39="",MACROS!$Q39=""),"",AVERAGE(MACROS!$N39,MACROS!$O39,MACROS!$P39,MACROS!$Q39))</f>
        <v/>
      </c>
      <c r="AD39" s="15">
        <f>1</f>
        <v>1</v>
      </c>
      <c r="AE39" s="79" t="str">
        <f>IF(OR(MACROS!$A39="",MACROS!$B39="",MACROS!$C39="",MACROS!$D39="",MACROS!$E39="",MACROS!$G39="",MACROS!$AC39="",MACROS!$AD39=""),"",((MACROS!$G39-MACROS!$AC39)*MACROS!$AD39*(1/10000)*(1/39.098)*MACROS!$D39*(1/MACROS!$C39)*MACROS!$E39*1000))</f>
        <v/>
      </c>
      <c r="AF39" s="80" t="str">
        <f>IF(MACROS!$AE39="","",MACROS!$AE39*391)</f>
        <v/>
      </c>
      <c r="AG39" s="78" t="str">
        <f>IF(AND(MACROS!$R39="",MACROS!$S39="",MACROS!$T39="",MACROS!$U39=""),"",AVERAGE(MACROS!$R39,MACROS!$S39,MACROS!$T39,MACROS!$U39))</f>
        <v/>
      </c>
      <c r="AH39" s="15">
        <f>1</f>
        <v>1</v>
      </c>
      <c r="AI39" s="79" t="str">
        <f>IF(OR(MACROS!$A39="",MACROS!$B39="",MACROS!$C39="",MACROS!$D39="",MACROS!$E39="",MACROS!$H39="",MACROS!$AG39="",MACROS!$AH39=""),"",((MACROS!$H39-MACROS!$AG39)*MACROS!$AH39*(1/10000)*(1/20.04)*MACROS!$D39*(1/MACROS!$C39)*MACROS!$E39*1000))</f>
        <v/>
      </c>
      <c r="AJ39" s="78" t="str">
        <f>IF(AND(MACROS!$V39="",MACROS!$W39="",MACROS!$X39="",MACROS!$Y39=""),"",AVERAGE(MACROS!$V39,MACROS!$W39,MACROS!$X39,MACROS!$Y39))</f>
        <v/>
      </c>
      <c r="AK39" s="15">
        <f>1</f>
        <v>1</v>
      </c>
      <c r="AL39" s="79" t="str">
        <f>IF(OR(MACROS!$A39="",MACROS!$B39="",MACROS!$C39="",MACROS!$D39="",MACROS!$E39="",MACROS!$I39="",MACROS!$AJ39="",MACROS!$AK39=""),"",((MACROS!$I39-MACROS!$AJ39)*MACROS!$AK39*(1/10000)*(1/12.1525)*MACROS!$D39*(1/MACROS!$C39)*MACROS!$E39*1000))</f>
        <v/>
      </c>
      <c r="AM39" s="79" t="str">
        <f>IF(OR(MACROS!$AE39="",MACROS!$AL39=""),"",MACROS!$AE39/MACROS!$AL39)</f>
        <v/>
      </c>
      <c r="AN39" s="79" t="str">
        <f>IF(OR(MACROS!$AI39="",MACROS!$AL39=""),"",MACROS!$AI39/MACROS!$AL39)</f>
        <v/>
      </c>
      <c r="AO39" s="20" t="str">
        <f>IF(MACROS!$A39="","",IF(ISNUMBER(VLOOKUP(MACROS!$A39,AC!A:J,10,FALSE)),VLOOKUP(MACROS!$A39,AC!A:J,10,FALSE),""))</f>
        <v/>
      </c>
      <c r="AP39" s="79" t="str">
        <f>IF(OR(MACROS!$AB39="",MACROS!$AE39="",MACROS!$AI39="",MACROS!$AL39="",MACROS!$AO39=""),"",SUM(MACROS!$AB39,MACROS!$AE39,MACROS!$AI39,MACROS!$AL39,MACROS!$AO39))</f>
        <v/>
      </c>
      <c r="AQ39" s="79" t="str">
        <f>IF(OR(MACROS!$AO39="",MACROS!$AP39=""),"",MACROS!$AO39/MACROS!$AP39*100)</f>
        <v/>
      </c>
      <c r="AR39" s="80" t="str">
        <f>IF(MACROS!$AQ39="","",IF(MACROS!$AW39+(MACROS!$AQ39-MACROS!$AU39)/(MACROS!$AV39-MACROS!$AU39)*(MACROS!$AX39-MACROS!$AW39)&gt;MAX(Interpolación!$C$2:$C$13),Interpolación!$C$13,CEILING(MACROS!$AW39+(MACROS!$AQ39-MACROS!$AU39)/(MACROS!$AV39-MACROS!$AU39)*(MACROS!$AX39-MACROS!$AW39),100)))</f>
        <v/>
      </c>
      <c r="AS39" s="80" t="str">
        <f>IF(MACROS!$AQ39="","",IF(ISNA(MATCH(MACROS!$AQ39,Interpolación!$B$2:$B$13,1)),Interpolación!$A$2,MIN(MATCH(MACROS!$AQ39,Interpolación!$B$2:$B$13,1),Interpolación!$A$13-1)))</f>
        <v/>
      </c>
      <c r="AT39" s="80" t="str">
        <f>IF(MACROS!$AS39="","",MACROS!$AS39+1)</f>
        <v/>
      </c>
      <c r="AU39" s="80" t="str">
        <f>IF(MACROS!$AS39="","",INDEX(Interpolación!$B$2:$B$13,MACROS!$AS39))</f>
        <v/>
      </c>
      <c r="AV39" s="80" t="str">
        <f>IF(MACROS!$AT39="","",INDEX(Interpolación!$B$2:$B$13,MACROS!$AT39))</f>
        <v/>
      </c>
      <c r="AW39" s="80" t="str">
        <f>IF(MACROS!$AS39="","",INDEX(Interpolación!$C$2:$C$13,MACROS!$AS39))</f>
        <v/>
      </c>
      <c r="AX39" s="80" t="str">
        <f>IF(MACROS!$AT39="","",INDEX(Interpolación!$C$2:$C$13,MACROS!$AT39))</f>
        <v/>
      </c>
    </row>
    <row r="40" spans="1:50" x14ac:dyDescent="0.25">
      <c r="A40" s="75" t="str">
        <f>IF('Pesada Macros'!A40="","",'Pesada Macros'!A40)</f>
        <v/>
      </c>
      <c r="B40" s="76" t="str">
        <f>IF('Pesada Macros'!B40="","",'Pesada Macros'!B40)</f>
        <v/>
      </c>
      <c r="C40" s="77" t="str">
        <f>IF('Pesada Macros'!C40="","",VALUE('Pesada Macros'!C40))</f>
        <v/>
      </c>
      <c r="D40" s="15">
        <f>50</f>
        <v>50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78" t="str">
        <f>IF(AND(MACROS!$J40="",MACROS!$K40="",MACROS!$L40="",MACROS!$M40=""),"",AVERAGE(MACROS!$J40,MACROS!$K40,MACROS!$L40,MACROS!$M40))</f>
        <v/>
      </c>
      <c r="AA40" s="15">
        <f>1</f>
        <v>1</v>
      </c>
      <c r="AB40" s="79" t="str">
        <f>IF(OR(MACROS!$A40="",MACROS!$B40="",MACROS!$C40="",MACROS!$D40="",MACROS!$E40="",MACROS!$F40="",MACROS!$Z40="",MACROS!$AA40=""),"",((MACROS!$F40-MACROS!$Z40)*MACROS!$AA40*(1/10000)*(1/22.99)*MACROS!$D40*(1/MACROS!$C40)*MACROS!$E40*1000))</f>
        <v/>
      </c>
      <c r="AC40" s="78" t="str">
        <f>IF(AND(MACROS!$N40="",MACROS!$O40="",MACROS!$P40="",MACROS!$Q40=""),"",AVERAGE(MACROS!$N40,MACROS!$O40,MACROS!$P40,MACROS!$Q40))</f>
        <v/>
      </c>
      <c r="AD40" s="15">
        <f>1</f>
        <v>1</v>
      </c>
      <c r="AE40" s="79" t="str">
        <f>IF(OR(MACROS!$A40="",MACROS!$B40="",MACROS!$C40="",MACROS!$D40="",MACROS!$E40="",MACROS!$G40="",MACROS!$AC40="",MACROS!$AD40=""),"",((MACROS!$G40-MACROS!$AC40)*MACROS!$AD40*(1/10000)*(1/39.098)*MACROS!$D40*(1/MACROS!$C40)*MACROS!$E40*1000))</f>
        <v/>
      </c>
      <c r="AF40" s="80" t="str">
        <f>IF(MACROS!$AE40="","",MACROS!$AE40*391)</f>
        <v/>
      </c>
      <c r="AG40" s="78" t="str">
        <f>IF(AND(MACROS!$R40="",MACROS!$S40="",MACROS!$T40="",MACROS!$U40=""),"",AVERAGE(MACROS!$R40,MACROS!$S40,MACROS!$T40,MACROS!$U40))</f>
        <v/>
      </c>
      <c r="AH40" s="15">
        <f>1</f>
        <v>1</v>
      </c>
      <c r="AI40" s="79" t="str">
        <f>IF(OR(MACROS!$A40="",MACROS!$B40="",MACROS!$C40="",MACROS!$D40="",MACROS!$E40="",MACROS!$H40="",MACROS!$AG40="",MACROS!$AH40=""),"",((MACROS!$H40-MACROS!$AG40)*MACROS!$AH40*(1/10000)*(1/20.04)*MACROS!$D40*(1/MACROS!$C40)*MACROS!$E40*1000))</f>
        <v/>
      </c>
      <c r="AJ40" s="78" t="str">
        <f>IF(AND(MACROS!$V40="",MACROS!$W40="",MACROS!$X40="",MACROS!$Y40=""),"",AVERAGE(MACROS!$V40,MACROS!$W40,MACROS!$X40,MACROS!$Y40))</f>
        <v/>
      </c>
      <c r="AK40" s="15">
        <f>1</f>
        <v>1</v>
      </c>
      <c r="AL40" s="79" t="str">
        <f>IF(OR(MACROS!$A40="",MACROS!$B40="",MACROS!$C40="",MACROS!$D40="",MACROS!$E40="",MACROS!$I40="",MACROS!$AJ40="",MACROS!$AK40=""),"",((MACROS!$I40-MACROS!$AJ40)*MACROS!$AK40*(1/10000)*(1/12.1525)*MACROS!$D40*(1/MACROS!$C40)*MACROS!$E40*1000))</f>
        <v/>
      </c>
      <c r="AM40" s="79" t="str">
        <f>IF(OR(MACROS!$AE40="",MACROS!$AL40=""),"",MACROS!$AE40/MACROS!$AL40)</f>
        <v/>
      </c>
      <c r="AN40" s="79" t="str">
        <f>IF(OR(MACROS!$AI40="",MACROS!$AL40=""),"",MACROS!$AI40/MACROS!$AL40)</f>
        <v/>
      </c>
      <c r="AO40" s="20" t="str">
        <f>IF(MACROS!$A40="","",IF(ISNUMBER(VLOOKUP(MACROS!$A40,AC!A:J,10,FALSE)),VLOOKUP(MACROS!$A40,AC!A:J,10,FALSE),""))</f>
        <v/>
      </c>
      <c r="AP40" s="79" t="str">
        <f>IF(OR(MACROS!$AB40="",MACROS!$AE40="",MACROS!$AI40="",MACROS!$AL40="",MACROS!$AO40=""),"",SUM(MACROS!$AB40,MACROS!$AE40,MACROS!$AI40,MACROS!$AL40,MACROS!$AO40))</f>
        <v/>
      </c>
      <c r="AQ40" s="79" t="str">
        <f>IF(OR(MACROS!$AO40="",MACROS!$AP40=""),"",MACROS!$AO40/MACROS!$AP40*100)</f>
        <v/>
      </c>
      <c r="AR40" s="80" t="str">
        <f>IF(MACROS!$AQ40="","",IF(MACROS!$AW40+(MACROS!$AQ40-MACROS!$AU40)/(MACROS!$AV40-MACROS!$AU40)*(MACROS!$AX40-MACROS!$AW40)&gt;MAX(Interpolación!$C$2:$C$13),Interpolación!$C$13,CEILING(MACROS!$AW40+(MACROS!$AQ40-MACROS!$AU40)/(MACROS!$AV40-MACROS!$AU40)*(MACROS!$AX40-MACROS!$AW40),100)))</f>
        <v/>
      </c>
      <c r="AS40" s="80" t="str">
        <f>IF(MACROS!$AQ40="","",IF(ISNA(MATCH(MACROS!$AQ40,Interpolación!$B$2:$B$13,1)),Interpolación!$A$2,MIN(MATCH(MACROS!$AQ40,Interpolación!$B$2:$B$13,1),Interpolación!$A$13-1)))</f>
        <v/>
      </c>
      <c r="AT40" s="80" t="str">
        <f>IF(MACROS!$AS40="","",MACROS!$AS40+1)</f>
        <v/>
      </c>
      <c r="AU40" s="80" t="str">
        <f>IF(MACROS!$AS40="","",INDEX(Interpolación!$B$2:$B$13,MACROS!$AS40))</f>
        <v/>
      </c>
      <c r="AV40" s="80" t="str">
        <f>IF(MACROS!$AT40="","",INDEX(Interpolación!$B$2:$B$13,MACROS!$AT40))</f>
        <v/>
      </c>
      <c r="AW40" s="80" t="str">
        <f>IF(MACROS!$AS40="","",INDEX(Interpolación!$C$2:$C$13,MACROS!$AS40))</f>
        <v/>
      </c>
      <c r="AX40" s="80" t="str">
        <f>IF(MACROS!$AT40="","",INDEX(Interpolación!$C$2:$C$13,MACROS!$AT40))</f>
        <v/>
      </c>
    </row>
    <row r="41" spans="1:50" x14ac:dyDescent="0.25">
      <c r="A41" s="75" t="str">
        <f>IF('Pesada Macros'!A41="","",'Pesada Macros'!A41)</f>
        <v/>
      </c>
      <c r="B41" s="76" t="str">
        <f>IF('Pesada Macros'!B41="","",'Pesada Macros'!B41)</f>
        <v/>
      </c>
      <c r="C41" s="77" t="str">
        <f>IF('Pesada Macros'!C41="","",VALUE('Pesada Macros'!C41))</f>
        <v/>
      </c>
      <c r="D41" s="15">
        <f>50</f>
        <v>50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78" t="str">
        <f>IF(AND(MACROS!$J41="",MACROS!$K41="",MACROS!$L41="",MACROS!$M41=""),"",AVERAGE(MACROS!$J41,MACROS!$K41,MACROS!$L41,MACROS!$M41))</f>
        <v/>
      </c>
      <c r="AA41" s="15">
        <f>1</f>
        <v>1</v>
      </c>
      <c r="AB41" s="79" t="str">
        <f>IF(OR(MACROS!$A41="",MACROS!$B41="",MACROS!$C41="",MACROS!$D41="",MACROS!$E41="",MACROS!$F41="",MACROS!$Z41="",MACROS!$AA41=""),"",((MACROS!$F41-MACROS!$Z41)*MACROS!$AA41*(1/10000)*(1/22.99)*MACROS!$D41*(1/MACROS!$C41)*MACROS!$E41*1000))</f>
        <v/>
      </c>
      <c r="AC41" s="78" t="str">
        <f>IF(AND(MACROS!$N41="",MACROS!$O41="",MACROS!$P41="",MACROS!$Q41=""),"",AVERAGE(MACROS!$N41,MACROS!$O41,MACROS!$P41,MACROS!$Q41))</f>
        <v/>
      </c>
      <c r="AD41" s="15">
        <f>1</f>
        <v>1</v>
      </c>
      <c r="AE41" s="79" t="str">
        <f>IF(OR(MACROS!$A41="",MACROS!$B41="",MACROS!$C41="",MACROS!$D41="",MACROS!$E41="",MACROS!$G41="",MACROS!$AC41="",MACROS!$AD41=""),"",((MACROS!$G41-MACROS!$AC41)*MACROS!$AD41*(1/10000)*(1/39.098)*MACROS!$D41*(1/MACROS!$C41)*MACROS!$E41*1000))</f>
        <v/>
      </c>
      <c r="AF41" s="80" t="str">
        <f>IF(MACROS!$AE41="","",MACROS!$AE41*391)</f>
        <v/>
      </c>
      <c r="AG41" s="78" t="str">
        <f>IF(AND(MACROS!$R41="",MACROS!$S41="",MACROS!$T41="",MACROS!$U41=""),"",AVERAGE(MACROS!$R41,MACROS!$S41,MACROS!$T41,MACROS!$U41))</f>
        <v/>
      </c>
      <c r="AH41" s="15">
        <f>1</f>
        <v>1</v>
      </c>
      <c r="AI41" s="79" t="str">
        <f>IF(OR(MACROS!$A41="",MACROS!$B41="",MACROS!$C41="",MACROS!$D41="",MACROS!$E41="",MACROS!$H41="",MACROS!$AG41="",MACROS!$AH41=""),"",((MACROS!$H41-MACROS!$AG41)*MACROS!$AH41*(1/10000)*(1/20.04)*MACROS!$D41*(1/MACROS!$C41)*MACROS!$E41*1000))</f>
        <v/>
      </c>
      <c r="AJ41" s="78" t="str">
        <f>IF(AND(MACROS!$V41="",MACROS!$W41="",MACROS!$X41="",MACROS!$Y41=""),"",AVERAGE(MACROS!$V41,MACROS!$W41,MACROS!$X41,MACROS!$Y41))</f>
        <v/>
      </c>
      <c r="AK41" s="15">
        <f>1</f>
        <v>1</v>
      </c>
      <c r="AL41" s="79" t="str">
        <f>IF(OR(MACROS!$A41="",MACROS!$B41="",MACROS!$C41="",MACROS!$D41="",MACROS!$E41="",MACROS!$I41="",MACROS!$AJ41="",MACROS!$AK41=""),"",((MACROS!$I41-MACROS!$AJ41)*MACROS!$AK41*(1/10000)*(1/12.1525)*MACROS!$D41*(1/MACROS!$C41)*MACROS!$E41*1000))</f>
        <v/>
      </c>
      <c r="AM41" s="79" t="str">
        <f>IF(OR(MACROS!$AE41="",MACROS!$AL41=""),"",MACROS!$AE41/MACROS!$AL41)</f>
        <v/>
      </c>
      <c r="AN41" s="79" t="str">
        <f>IF(OR(MACROS!$AI41="",MACROS!$AL41=""),"",MACROS!$AI41/MACROS!$AL41)</f>
        <v/>
      </c>
      <c r="AO41" s="20" t="str">
        <f>IF(MACROS!$A41="","",IF(ISNUMBER(VLOOKUP(MACROS!$A41,AC!A:J,10,FALSE)),VLOOKUP(MACROS!$A41,AC!A:J,10,FALSE),""))</f>
        <v/>
      </c>
      <c r="AP41" s="79" t="str">
        <f>IF(OR(MACROS!$AB41="",MACROS!$AE41="",MACROS!$AI41="",MACROS!$AL41="",MACROS!$AO41=""),"",SUM(MACROS!$AB41,MACROS!$AE41,MACROS!$AI41,MACROS!$AL41,MACROS!$AO41))</f>
        <v/>
      </c>
      <c r="AQ41" s="79" t="str">
        <f>IF(OR(MACROS!$AO41="",MACROS!$AP41=""),"",MACROS!$AO41/MACROS!$AP41*100)</f>
        <v/>
      </c>
      <c r="AR41" s="80" t="str">
        <f>IF(MACROS!$AQ41="","",IF(MACROS!$AW41+(MACROS!$AQ41-MACROS!$AU41)/(MACROS!$AV41-MACROS!$AU41)*(MACROS!$AX41-MACROS!$AW41)&gt;MAX(Interpolación!$C$2:$C$13),Interpolación!$C$13,CEILING(MACROS!$AW41+(MACROS!$AQ41-MACROS!$AU41)/(MACROS!$AV41-MACROS!$AU41)*(MACROS!$AX41-MACROS!$AW41),100)))</f>
        <v/>
      </c>
      <c r="AS41" s="80" t="str">
        <f>IF(MACROS!$AQ41="","",IF(ISNA(MATCH(MACROS!$AQ41,Interpolación!$B$2:$B$13,1)),Interpolación!$A$2,MIN(MATCH(MACROS!$AQ41,Interpolación!$B$2:$B$13,1),Interpolación!$A$13-1)))</f>
        <v/>
      </c>
      <c r="AT41" s="80" t="str">
        <f>IF(MACROS!$AS41="","",MACROS!$AS41+1)</f>
        <v/>
      </c>
      <c r="AU41" s="80" t="str">
        <f>IF(MACROS!$AS41="","",INDEX(Interpolación!$B$2:$B$13,MACROS!$AS41))</f>
        <v/>
      </c>
      <c r="AV41" s="80" t="str">
        <f>IF(MACROS!$AT41="","",INDEX(Interpolación!$B$2:$B$13,MACROS!$AT41))</f>
        <v/>
      </c>
      <c r="AW41" s="80" t="str">
        <f>IF(MACROS!$AS41="","",INDEX(Interpolación!$C$2:$C$13,MACROS!$AS41))</f>
        <v/>
      </c>
      <c r="AX41" s="80" t="str">
        <f>IF(MACROS!$AT41="","",INDEX(Interpolación!$C$2:$C$13,MACROS!$AT41))</f>
        <v/>
      </c>
    </row>
    <row r="42" spans="1:50" x14ac:dyDescent="0.25">
      <c r="A42" s="75" t="str">
        <f>IF('Pesada Macros'!A42="","",'Pesada Macros'!A42)</f>
        <v/>
      </c>
      <c r="B42" s="76" t="str">
        <f>IF('Pesada Macros'!B42="","",'Pesada Macros'!B42)</f>
        <v/>
      </c>
      <c r="C42" s="77" t="str">
        <f>IF('Pesada Macros'!C42="","",VALUE('Pesada Macros'!C42))</f>
        <v/>
      </c>
      <c r="D42" s="15">
        <f>50</f>
        <v>50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78" t="str">
        <f>IF(AND(MACROS!$J42="",MACROS!$K42="",MACROS!$L42="",MACROS!$M42=""),"",AVERAGE(MACROS!$J42,MACROS!$K42,MACROS!$L42,MACROS!$M42))</f>
        <v/>
      </c>
      <c r="AA42" s="15">
        <f>1</f>
        <v>1</v>
      </c>
      <c r="AB42" s="79" t="str">
        <f>IF(OR(MACROS!$A42="",MACROS!$B42="",MACROS!$C42="",MACROS!$D42="",MACROS!$E42="",MACROS!$F42="",MACROS!$Z42="",MACROS!$AA42=""),"",((MACROS!$F42-MACROS!$Z42)*MACROS!$AA42*(1/10000)*(1/22.99)*MACROS!$D42*(1/MACROS!$C42)*MACROS!$E42*1000))</f>
        <v/>
      </c>
      <c r="AC42" s="78" t="str">
        <f>IF(AND(MACROS!$N42="",MACROS!$O42="",MACROS!$P42="",MACROS!$Q42=""),"",AVERAGE(MACROS!$N42,MACROS!$O42,MACROS!$P42,MACROS!$Q42))</f>
        <v/>
      </c>
      <c r="AD42" s="15">
        <f>1</f>
        <v>1</v>
      </c>
      <c r="AE42" s="79" t="str">
        <f>IF(OR(MACROS!$A42="",MACROS!$B42="",MACROS!$C42="",MACROS!$D42="",MACROS!$E42="",MACROS!$G42="",MACROS!$AC42="",MACROS!$AD42=""),"",((MACROS!$G42-MACROS!$AC42)*MACROS!$AD42*(1/10000)*(1/39.098)*MACROS!$D42*(1/MACROS!$C42)*MACROS!$E42*1000))</f>
        <v/>
      </c>
      <c r="AF42" s="80" t="str">
        <f>IF(MACROS!$AE42="","",MACROS!$AE42*391)</f>
        <v/>
      </c>
      <c r="AG42" s="78" t="str">
        <f>IF(AND(MACROS!$R42="",MACROS!$S42="",MACROS!$T42="",MACROS!$U42=""),"",AVERAGE(MACROS!$R42,MACROS!$S42,MACROS!$T42,MACROS!$U42))</f>
        <v/>
      </c>
      <c r="AH42" s="15">
        <f>1</f>
        <v>1</v>
      </c>
      <c r="AI42" s="79" t="str">
        <f>IF(OR(MACROS!$A42="",MACROS!$B42="",MACROS!$C42="",MACROS!$D42="",MACROS!$E42="",MACROS!$H42="",MACROS!$AG42="",MACROS!$AH42=""),"",((MACROS!$H42-MACROS!$AG42)*MACROS!$AH42*(1/10000)*(1/20.04)*MACROS!$D42*(1/MACROS!$C42)*MACROS!$E42*1000))</f>
        <v/>
      </c>
      <c r="AJ42" s="78" t="str">
        <f>IF(AND(MACROS!$V42="",MACROS!$W42="",MACROS!$X42="",MACROS!$Y42=""),"",AVERAGE(MACROS!$V42,MACROS!$W42,MACROS!$X42,MACROS!$Y42))</f>
        <v/>
      </c>
      <c r="AK42" s="15">
        <f>1</f>
        <v>1</v>
      </c>
      <c r="AL42" s="79" t="str">
        <f>IF(OR(MACROS!$A42="",MACROS!$B42="",MACROS!$C42="",MACROS!$D42="",MACROS!$E42="",MACROS!$I42="",MACROS!$AJ42="",MACROS!$AK42=""),"",((MACROS!$I42-MACROS!$AJ42)*MACROS!$AK42*(1/10000)*(1/12.1525)*MACROS!$D42*(1/MACROS!$C42)*MACROS!$E42*1000))</f>
        <v/>
      </c>
      <c r="AM42" s="79" t="str">
        <f>IF(OR(MACROS!$AE42="",MACROS!$AL42=""),"",MACROS!$AE42/MACROS!$AL42)</f>
        <v/>
      </c>
      <c r="AN42" s="79" t="str">
        <f>IF(OR(MACROS!$AI42="",MACROS!$AL42=""),"",MACROS!$AI42/MACROS!$AL42)</f>
        <v/>
      </c>
      <c r="AO42" s="20" t="str">
        <f>IF(MACROS!$A42="","",IF(ISNUMBER(VLOOKUP(MACROS!$A42,AC!A:J,10,FALSE)),VLOOKUP(MACROS!$A42,AC!A:J,10,FALSE),""))</f>
        <v/>
      </c>
      <c r="AP42" s="79" t="str">
        <f>IF(OR(MACROS!$AB42="",MACROS!$AE42="",MACROS!$AI42="",MACROS!$AL42="",MACROS!$AO42=""),"",SUM(MACROS!$AB42,MACROS!$AE42,MACROS!$AI42,MACROS!$AL42,MACROS!$AO42))</f>
        <v/>
      </c>
      <c r="AQ42" s="79" t="str">
        <f>IF(OR(MACROS!$AO42="",MACROS!$AP42=""),"",MACROS!$AO42/MACROS!$AP42*100)</f>
        <v/>
      </c>
      <c r="AR42" s="80" t="str">
        <f>IF(MACROS!$AQ42="","",IF(MACROS!$AW42+(MACROS!$AQ42-MACROS!$AU42)/(MACROS!$AV42-MACROS!$AU42)*(MACROS!$AX42-MACROS!$AW42)&gt;MAX(Interpolación!$C$2:$C$13),Interpolación!$C$13,CEILING(MACROS!$AW42+(MACROS!$AQ42-MACROS!$AU42)/(MACROS!$AV42-MACROS!$AU42)*(MACROS!$AX42-MACROS!$AW42),100)))</f>
        <v/>
      </c>
      <c r="AS42" s="80" t="str">
        <f>IF(MACROS!$AQ42="","",IF(ISNA(MATCH(MACROS!$AQ42,Interpolación!$B$2:$B$13,1)),Interpolación!$A$2,MIN(MATCH(MACROS!$AQ42,Interpolación!$B$2:$B$13,1),Interpolación!$A$13-1)))</f>
        <v/>
      </c>
      <c r="AT42" s="80" t="str">
        <f>IF(MACROS!$AS42="","",MACROS!$AS42+1)</f>
        <v/>
      </c>
      <c r="AU42" s="80" t="str">
        <f>IF(MACROS!$AS42="","",INDEX(Interpolación!$B$2:$B$13,MACROS!$AS42))</f>
        <v/>
      </c>
      <c r="AV42" s="80" t="str">
        <f>IF(MACROS!$AT42="","",INDEX(Interpolación!$B$2:$B$13,MACROS!$AT42))</f>
        <v/>
      </c>
      <c r="AW42" s="80" t="str">
        <f>IF(MACROS!$AS42="","",INDEX(Interpolación!$C$2:$C$13,MACROS!$AS42))</f>
        <v/>
      </c>
      <c r="AX42" s="80" t="str">
        <f>IF(MACROS!$AT42="","",INDEX(Interpolación!$C$2:$C$13,MACROS!$AT42))</f>
        <v/>
      </c>
    </row>
    <row r="43" spans="1:50" x14ac:dyDescent="0.25">
      <c r="A43" s="75" t="str">
        <f>IF('Pesada Macros'!A43="","",'Pesada Macros'!A43)</f>
        <v/>
      </c>
      <c r="B43" s="76" t="str">
        <f>IF('Pesada Macros'!B43="","",'Pesada Macros'!B43)</f>
        <v/>
      </c>
      <c r="C43" s="77" t="str">
        <f>IF('Pesada Macros'!C43="","",VALUE('Pesada Macros'!C43))</f>
        <v/>
      </c>
      <c r="D43" s="15">
        <f>50</f>
        <v>50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78" t="str">
        <f>IF(AND(MACROS!$J43="",MACROS!$K43="",MACROS!$L43="",MACROS!$M43=""),"",AVERAGE(MACROS!$J43,MACROS!$K43,MACROS!$L43,MACROS!$M43))</f>
        <v/>
      </c>
      <c r="AA43" s="15">
        <f>1</f>
        <v>1</v>
      </c>
      <c r="AB43" s="79" t="str">
        <f>IF(OR(MACROS!$A43="",MACROS!$B43="",MACROS!$C43="",MACROS!$D43="",MACROS!$E43="",MACROS!$F43="",MACROS!$Z43="",MACROS!$AA43=""),"",((MACROS!$F43-MACROS!$Z43)*MACROS!$AA43*(1/10000)*(1/22.99)*MACROS!$D43*(1/MACROS!$C43)*MACROS!$E43*1000))</f>
        <v/>
      </c>
      <c r="AC43" s="78" t="str">
        <f>IF(AND(MACROS!$N43="",MACROS!$O43="",MACROS!$P43="",MACROS!$Q43=""),"",AVERAGE(MACROS!$N43,MACROS!$O43,MACROS!$P43,MACROS!$Q43))</f>
        <v/>
      </c>
      <c r="AD43" s="15">
        <f>1</f>
        <v>1</v>
      </c>
      <c r="AE43" s="79" t="str">
        <f>IF(OR(MACROS!$A43="",MACROS!$B43="",MACROS!$C43="",MACROS!$D43="",MACROS!$E43="",MACROS!$G43="",MACROS!$AC43="",MACROS!$AD43=""),"",((MACROS!$G43-MACROS!$AC43)*MACROS!$AD43*(1/10000)*(1/39.098)*MACROS!$D43*(1/MACROS!$C43)*MACROS!$E43*1000))</f>
        <v/>
      </c>
      <c r="AF43" s="80" t="str">
        <f>IF(MACROS!$AE43="","",MACROS!$AE43*391)</f>
        <v/>
      </c>
      <c r="AG43" s="78" t="str">
        <f>IF(AND(MACROS!$R43="",MACROS!$S43="",MACROS!$T43="",MACROS!$U43=""),"",AVERAGE(MACROS!$R43,MACROS!$S43,MACROS!$T43,MACROS!$U43))</f>
        <v/>
      </c>
      <c r="AH43" s="15">
        <f>1</f>
        <v>1</v>
      </c>
      <c r="AI43" s="79" t="str">
        <f>IF(OR(MACROS!$A43="",MACROS!$B43="",MACROS!$C43="",MACROS!$D43="",MACROS!$E43="",MACROS!$H43="",MACROS!$AG43="",MACROS!$AH43=""),"",((MACROS!$H43-MACROS!$AG43)*MACROS!$AH43*(1/10000)*(1/20.04)*MACROS!$D43*(1/MACROS!$C43)*MACROS!$E43*1000))</f>
        <v/>
      </c>
      <c r="AJ43" s="78" t="str">
        <f>IF(AND(MACROS!$V43="",MACROS!$W43="",MACROS!$X43="",MACROS!$Y43=""),"",AVERAGE(MACROS!$V43,MACROS!$W43,MACROS!$X43,MACROS!$Y43))</f>
        <v/>
      </c>
      <c r="AK43" s="15">
        <f>1</f>
        <v>1</v>
      </c>
      <c r="AL43" s="79" t="str">
        <f>IF(OR(MACROS!$A43="",MACROS!$B43="",MACROS!$C43="",MACROS!$D43="",MACROS!$E43="",MACROS!$I43="",MACROS!$AJ43="",MACROS!$AK43=""),"",((MACROS!$I43-MACROS!$AJ43)*MACROS!$AK43*(1/10000)*(1/12.1525)*MACROS!$D43*(1/MACROS!$C43)*MACROS!$E43*1000))</f>
        <v/>
      </c>
      <c r="AM43" s="79" t="str">
        <f>IF(OR(MACROS!$AE43="",MACROS!$AL43=""),"",MACROS!$AE43/MACROS!$AL43)</f>
        <v/>
      </c>
      <c r="AN43" s="79" t="str">
        <f>IF(OR(MACROS!$AI43="",MACROS!$AL43=""),"",MACROS!$AI43/MACROS!$AL43)</f>
        <v/>
      </c>
      <c r="AO43" s="20" t="str">
        <f>IF(MACROS!$A43="","",IF(ISNUMBER(VLOOKUP(MACROS!$A43,AC!A:J,10,FALSE)),VLOOKUP(MACROS!$A43,AC!A:J,10,FALSE),""))</f>
        <v/>
      </c>
      <c r="AP43" s="79" t="str">
        <f>IF(OR(MACROS!$AB43="",MACROS!$AE43="",MACROS!$AI43="",MACROS!$AL43="",MACROS!$AO43=""),"",SUM(MACROS!$AB43,MACROS!$AE43,MACROS!$AI43,MACROS!$AL43,MACROS!$AO43))</f>
        <v/>
      </c>
      <c r="AQ43" s="79" t="str">
        <f>IF(OR(MACROS!$AO43="",MACROS!$AP43=""),"",MACROS!$AO43/MACROS!$AP43*100)</f>
        <v/>
      </c>
      <c r="AR43" s="80" t="str">
        <f>IF(MACROS!$AQ43="","",IF(MACROS!$AW43+(MACROS!$AQ43-MACROS!$AU43)/(MACROS!$AV43-MACROS!$AU43)*(MACROS!$AX43-MACROS!$AW43)&gt;MAX(Interpolación!$C$2:$C$13),Interpolación!$C$13,CEILING(MACROS!$AW43+(MACROS!$AQ43-MACROS!$AU43)/(MACROS!$AV43-MACROS!$AU43)*(MACROS!$AX43-MACROS!$AW43),100)))</f>
        <v/>
      </c>
      <c r="AS43" s="80" t="str">
        <f>IF(MACROS!$AQ43="","",IF(ISNA(MATCH(MACROS!$AQ43,Interpolación!$B$2:$B$13,1)),Interpolación!$A$2,MIN(MATCH(MACROS!$AQ43,Interpolación!$B$2:$B$13,1),Interpolación!$A$13-1)))</f>
        <v/>
      </c>
      <c r="AT43" s="80" t="str">
        <f>IF(MACROS!$AS43="","",MACROS!$AS43+1)</f>
        <v/>
      </c>
      <c r="AU43" s="80" t="str">
        <f>IF(MACROS!$AS43="","",INDEX(Interpolación!$B$2:$B$13,MACROS!$AS43))</f>
        <v/>
      </c>
      <c r="AV43" s="80" t="str">
        <f>IF(MACROS!$AT43="","",INDEX(Interpolación!$B$2:$B$13,MACROS!$AT43))</f>
        <v/>
      </c>
      <c r="AW43" s="80" t="str">
        <f>IF(MACROS!$AS43="","",INDEX(Interpolación!$C$2:$C$13,MACROS!$AS43))</f>
        <v/>
      </c>
      <c r="AX43" s="80" t="str">
        <f>IF(MACROS!$AT43="","",INDEX(Interpolación!$C$2:$C$13,MACROS!$AT43))</f>
        <v/>
      </c>
    </row>
    <row r="44" spans="1:50" x14ac:dyDescent="0.25">
      <c r="A44" s="75" t="str">
        <f>IF('Pesada Macros'!A44="","",'Pesada Macros'!A44)</f>
        <v/>
      </c>
      <c r="B44" s="76" t="str">
        <f>IF('Pesada Macros'!B44="","",'Pesada Macros'!B44)</f>
        <v/>
      </c>
      <c r="C44" s="77" t="str">
        <f>IF('Pesada Macros'!C44="","",VALUE('Pesada Macros'!C44))</f>
        <v/>
      </c>
      <c r="D44" s="15">
        <f>50</f>
        <v>50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78" t="str">
        <f>IF(AND(MACROS!$J44="",MACROS!$K44="",MACROS!$L44="",MACROS!$M44=""),"",AVERAGE(MACROS!$J44,MACROS!$K44,MACROS!$L44,MACROS!$M44))</f>
        <v/>
      </c>
      <c r="AA44" s="15">
        <f>1</f>
        <v>1</v>
      </c>
      <c r="AB44" s="79" t="str">
        <f>IF(OR(MACROS!$A44="",MACROS!$B44="",MACROS!$C44="",MACROS!$D44="",MACROS!$E44="",MACROS!$F44="",MACROS!$Z44="",MACROS!$AA44=""),"",((MACROS!$F44-MACROS!$Z44)*MACROS!$AA44*(1/10000)*(1/22.99)*MACROS!$D44*(1/MACROS!$C44)*MACROS!$E44*1000))</f>
        <v/>
      </c>
      <c r="AC44" s="78" t="str">
        <f>IF(AND(MACROS!$N44="",MACROS!$O44="",MACROS!$P44="",MACROS!$Q44=""),"",AVERAGE(MACROS!$N44,MACROS!$O44,MACROS!$P44,MACROS!$Q44))</f>
        <v/>
      </c>
      <c r="AD44" s="15">
        <f>1</f>
        <v>1</v>
      </c>
      <c r="AE44" s="79" t="str">
        <f>IF(OR(MACROS!$A44="",MACROS!$B44="",MACROS!$C44="",MACROS!$D44="",MACROS!$E44="",MACROS!$G44="",MACROS!$AC44="",MACROS!$AD44=""),"",((MACROS!$G44-MACROS!$AC44)*MACROS!$AD44*(1/10000)*(1/39.098)*MACROS!$D44*(1/MACROS!$C44)*MACROS!$E44*1000))</f>
        <v/>
      </c>
      <c r="AF44" s="80" t="str">
        <f>IF(MACROS!$AE44="","",MACROS!$AE44*391)</f>
        <v/>
      </c>
      <c r="AG44" s="78" t="str">
        <f>IF(AND(MACROS!$R44="",MACROS!$S44="",MACROS!$T44="",MACROS!$U44=""),"",AVERAGE(MACROS!$R44,MACROS!$S44,MACROS!$T44,MACROS!$U44))</f>
        <v/>
      </c>
      <c r="AH44" s="15">
        <f>1</f>
        <v>1</v>
      </c>
      <c r="AI44" s="79" t="str">
        <f>IF(OR(MACROS!$A44="",MACROS!$B44="",MACROS!$C44="",MACROS!$D44="",MACROS!$E44="",MACROS!$H44="",MACROS!$AG44="",MACROS!$AH44=""),"",((MACROS!$H44-MACROS!$AG44)*MACROS!$AH44*(1/10000)*(1/20.04)*MACROS!$D44*(1/MACROS!$C44)*MACROS!$E44*1000))</f>
        <v/>
      </c>
      <c r="AJ44" s="78" t="str">
        <f>IF(AND(MACROS!$V44="",MACROS!$W44="",MACROS!$X44="",MACROS!$Y44=""),"",AVERAGE(MACROS!$V44,MACROS!$W44,MACROS!$X44,MACROS!$Y44))</f>
        <v/>
      </c>
      <c r="AK44" s="15">
        <f>1</f>
        <v>1</v>
      </c>
      <c r="AL44" s="79" t="str">
        <f>IF(OR(MACROS!$A44="",MACROS!$B44="",MACROS!$C44="",MACROS!$D44="",MACROS!$E44="",MACROS!$I44="",MACROS!$AJ44="",MACROS!$AK44=""),"",((MACROS!$I44-MACROS!$AJ44)*MACROS!$AK44*(1/10000)*(1/12.1525)*MACROS!$D44*(1/MACROS!$C44)*MACROS!$E44*1000))</f>
        <v/>
      </c>
      <c r="AM44" s="79" t="str">
        <f>IF(OR(MACROS!$AE44="",MACROS!$AL44=""),"",MACROS!$AE44/MACROS!$AL44)</f>
        <v/>
      </c>
      <c r="AN44" s="79" t="str">
        <f>IF(OR(MACROS!$AI44="",MACROS!$AL44=""),"",MACROS!$AI44/MACROS!$AL44)</f>
        <v/>
      </c>
      <c r="AO44" s="20" t="str">
        <f>IF(MACROS!$A44="","",IF(ISNUMBER(VLOOKUP(MACROS!$A44,AC!A:J,10,FALSE)),VLOOKUP(MACROS!$A44,AC!A:J,10,FALSE),""))</f>
        <v/>
      </c>
      <c r="AP44" s="79" t="str">
        <f>IF(OR(MACROS!$AB44="",MACROS!$AE44="",MACROS!$AI44="",MACROS!$AL44="",MACROS!$AO44=""),"",SUM(MACROS!$AB44,MACROS!$AE44,MACROS!$AI44,MACROS!$AL44,MACROS!$AO44))</f>
        <v/>
      </c>
      <c r="AQ44" s="79" t="str">
        <f>IF(OR(MACROS!$AO44="",MACROS!$AP44=""),"",MACROS!$AO44/MACROS!$AP44*100)</f>
        <v/>
      </c>
      <c r="AR44" s="80" t="str">
        <f>IF(MACROS!$AQ44="","",IF(MACROS!$AW44+(MACROS!$AQ44-MACROS!$AU44)/(MACROS!$AV44-MACROS!$AU44)*(MACROS!$AX44-MACROS!$AW44)&gt;MAX(Interpolación!$C$2:$C$13),Interpolación!$C$13,CEILING(MACROS!$AW44+(MACROS!$AQ44-MACROS!$AU44)/(MACROS!$AV44-MACROS!$AU44)*(MACROS!$AX44-MACROS!$AW44),100)))</f>
        <v/>
      </c>
      <c r="AS44" s="80" t="str">
        <f>IF(MACROS!$AQ44="","",IF(ISNA(MATCH(MACROS!$AQ44,Interpolación!$B$2:$B$13,1)),Interpolación!$A$2,MIN(MATCH(MACROS!$AQ44,Interpolación!$B$2:$B$13,1),Interpolación!$A$13-1)))</f>
        <v/>
      </c>
      <c r="AT44" s="80" t="str">
        <f>IF(MACROS!$AS44="","",MACROS!$AS44+1)</f>
        <v/>
      </c>
      <c r="AU44" s="80" t="str">
        <f>IF(MACROS!$AS44="","",INDEX(Interpolación!$B$2:$B$13,MACROS!$AS44))</f>
        <v/>
      </c>
      <c r="AV44" s="80" t="str">
        <f>IF(MACROS!$AT44="","",INDEX(Interpolación!$B$2:$B$13,MACROS!$AT44))</f>
        <v/>
      </c>
      <c r="AW44" s="80" t="str">
        <f>IF(MACROS!$AS44="","",INDEX(Interpolación!$C$2:$C$13,MACROS!$AS44))</f>
        <v/>
      </c>
      <c r="AX44" s="80" t="str">
        <f>IF(MACROS!$AT44="","",INDEX(Interpolación!$C$2:$C$13,MACROS!$AT44))</f>
        <v/>
      </c>
    </row>
    <row r="45" spans="1:50" x14ac:dyDescent="0.25">
      <c r="A45" s="75" t="str">
        <f>IF('Pesada Macros'!A45="","",'Pesada Macros'!A45)</f>
        <v/>
      </c>
      <c r="B45" s="76" t="str">
        <f>IF('Pesada Macros'!B45="","",'Pesada Macros'!B45)</f>
        <v/>
      </c>
      <c r="C45" s="77" t="str">
        <f>IF('Pesada Macros'!C45="","",VALUE('Pesada Macros'!C45))</f>
        <v/>
      </c>
      <c r="D45" s="15">
        <f>50</f>
        <v>50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78" t="str">
        <f>IF(AND(MACROS!$J45="",MACROS!$K45="",MACROS!$L45="",MACROS!$M45=""),"",AVERAGE(MACROS!$J45,MACROS!$K45,MACROS!$L45,MACROS!$M45))</f>
        <v/>
      </c>
      <c r="AA45" s="15">
        <f>1</f>
        <v>1</v>
      </c>
      <c r="AB45" s="79" t="str">
        <f>IF(OR(MACROS!$A45="",MACROS!$B45="",MACROS!$C45="",MACROS!$D45="",MACROS!$E45="",MACROS!$F45="",MACROS!$Z45="",MACROS!$AA45=""),"",((MACROS!$F45-MACROS!$Z45)*MACROS!$AA45*(1/10000)*(1/22.99)*MACROS!$D45*(1/MACROS!$C45)*MACROS!$E45*1000))</f>
        <v/>
      </c>
      <c r="AC45" s="78" t="str">
        <f>IF(AND(MACROS!$N45="",MACROS!$O45="",MACROS!$P45="",MACROS!$Q45=""),"",AVERAGE(MACROS!$N45,MACROS!$O45,MACROS!$P45,MACROS!$Q45))</f>
        <v/>
      </c>
      <c r="AD45" s="15">
        <f>1</f>
        <v>1</v>
      </c>
      <c r="AE45" s="79" t="str">
        <f>IF(OR(MACROS!$A45="",MACROS!$B45="",MACROS!$C45="",MACROS!$D45="",MACROS!$E45="",MACROS!$G45="",MACROS!$AC45="",MACROS!$AD45=""),"",((MACROS!$G45-MACROS!$AC45)*MACROS!$AD45*(1/10000)*(1/39.098)*MACROS!$D45*(1/MACROS!$C45)*MACROS!$E45*1000))</f>
        <v/>
      </c>
      <c r="AF45" s="80" t="str">
        <f>IF(MACROS!$AE45="","",MACROS!$AE45*391)</f>
        <v/>
      </c>
      <c r="AG45" s="78" t="str">
        <f>IF(AND(MACROS!$R45="",MACROS!$S45="",MACROS!$T45="",MACROS!$U45=""),"",AVERAGE(MACROS!$R45,MACROS!$S45,MACROS!$T45,MACROS!$U45))</f>
        <v/>
      </c>
      <c r="AH45" s="15">
        <f>1</f>
        <v>1</v>
      </c>
      <c r="AI45" s="79" t="str">
        <f>IF(OR(MACROS!$A45="",MACROS!$B45="",MACROS!$C45="",MACROS!$D45="",MACROS!$E45="",MACROS!$H45="",MACROS!$AG45="",MACROS!$AH45=""),"",((MACROS!$H45-MACROS!$AG45)*MACROS!$AH45*(1/10000)*(1/20.04)*MACROS!$D45*(1/MACROS!$C45)*MACROS!$E45*1000))</f>
        <v/>
      </c>
      <c r="AJ45" s="78" t="str">
        <f>IF(AND(MACROS!$V45="",MACROS!$W45="",MACROS!$X45="",MACROS!$Y45=""),"",AVERAGE(MACROS!$V45,MACROS!$W45,MACROS!$X45,MACROS!$Y45))</f>
        <v/>
      </c>
      <c r="AK45" s="15">
        <f>1</f>
        <v>1</v>
      </c>
      <c r="AL45" s="79" t="str">
        <f>IF(OR(MACROS!$A45="",MACROS!$B45="",MACROS!$C45="",MACROS!$D45="",MACROS!$E45="",MACROS!$I45="",MACROS!$AJ45="",MACROS!$AK45=""),"",((MACROS!$I45-MACROS!$AJ45)*MACROS!$AK45*(1/10000)*(1/12.1525)*MACROS!$D45*(1/MACROS!$C45)*MACROS!$E45*1000))</f>
        <v/>
      </c>
      <c r="AM45" s="79" t="str">
        <f>IF(OR(MACROS!$AE45="",MACROS!$AL45=""),"",MACROS!$AE45/MACROS!$AL45)</f>
        <v/>
      </c>
      <c r="AN45" s="79" t="str">
        <f>IF(OR(MACROS!$AI45="",MACROS!$AL45=""),"",MACROS!$AI45/MACROS!$AL45)</f>
        <v/>
      </c>
      <c r="AO45" s="20" t="str">
        <f>IF(MACROS!$A45="","",IF(ISNUMBER(VLOOKUP(MACROS!$A45,AC!A:J,10,FALSE)),VLOOKUP(MACROS!$A45,AC!A:J,10,FALSE),""))</f>
        <v/>
      </c>
      <c r="AP45" s="79" t="str">
        <f>IF(OR(MACROS!$AB45="",MACROS!$AE45="",MACROS!$AI45="",MACROS!$AL45="",MACROS!$AO45=""),"",SUM(MACROS!$AB45,MACROS!$AE45,MACROS!$AI45,MACROS!$AL45,MACROS!$AO45))</f>
        <v/>
      </c>
      <c r="AQ45" s="79" t="str">
        <f>IF(OR(MACROS!$AO45="",MACROS!$AP45=""),"",MACROS!$AO45/MACROS!$AP45*100)</f>
        <v/>
      </c>
      <c r="AR45" s="80" t="str">
        <f>IF(MACROS!$AQ45="","",IF(MACROS!$AW45+(MACROS!$AQ45-MACROS!$AU45)/(MACROS!$AV45-MACROS!$AU45)*(MACROS!$AX45-MACROS!$AW45)&gt;MAX(Interpolación!$C$2:$C$13),Interpolación!$C$13,CEILING(MACROS!$AW45+(MACROS!$AQ45-MACROS!$AU45)/(MACROS!$AV45-MACROS!$AU45)*(MACROS!$AX45-MACROS!$AW45),100)))</f>
        <v/>
      </c>
      <c r="AS45" s="80" t="str">
        <f>IF(MACROS!$AQ45="","",IF(ISNA(MATCH(MACROS!$AQ45,Interpolación!$B$2:$B$13,1)),Interpolación!$A$2,MIN(MATCH(MACROS!$AQ45,Interpolación!$B$2:$B$13,1),Interpolación!$A$13-1)))</f>
        <v/>
      </c>
      <c r="AT45" s="80" t="str">
        <f>IF(MACROS!$AS45="","",MACROS!$AS45+1)</f>
        <v/>
      </c>
      <c r="AU45" s="80" t="str">
        <f>IF(MACROS!$AS45="","",INDEX(Interpolación!$B$2:$B$13,MACROS!$AS45))</f>
        <v/>
      </c>
      <c r="AV45" s="80" t="str">
        <f>IF(MACROS!$AT45="","",INDEX(Interpolación!$B$2:$B$13,MACROS!$AT45))</f>
        <v/>
      </c>
      <c r="AW45" s="80" t="str">
        <f>IF(MACROS!$AS45="","",INDEX(Interpolación!$C$2:$C$13,MACROS!$AS45))</f>
        <v/>
      </c>
      <c r="AX45" s="80" t="str">
        <f>IF(MACROS!$AT45="","",INDEX(Interpolación!$C$2:$C$13,MACROS!$AT45))</f>
        <v/>
      </c>
    </row>
    <row r="46" spans="1:50" x14ac:dyDescent="0.25">
      <c r="A46" s="75" t="str">
        <f>IF('Pesada Macros'!A46="","",'Pesada Macros'!A46)</f>
        <v/>
      </c>
      <c r="B46" s="76" t="str">
        <f>IF('Pesada Macros'!B46="","",'Pesada Macros'!B46)</f>
        <v/>
      </c>
      <c r="C46" s="77" t="str">
        <f>IF('Pesada Macros'!C46="","",VALUE('Pesada Macros'!C46))</f>
        <v/>
      </c>
      <c r="D46" s="15">
        <f>50</f>
        <v>50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78" t="str">
        <f>IF(AND(MACROS!$J46="",MACROS!$K46="",MACROS!$L46="",MACROS!$M46=""),"",AVERAGE(MACROS!$J46,MACROS!$K46,MACROS!$L46,MACROS!$M46))</f>
        <v/>
      </c>
      <c r="AA46" s="15">
        <f>1</f>
        <v>1</v>
      </c>
      <c r="AB46" s="79" t="str">
        <f>IF(OR(MACROS!$A46="",MACROS!$B46="",MACROS!$C46="",MACROS!$D46="",MACROS!$E46="",MACROS!$F46="",MACROS!$Z46="",MACROS!$AA46=""),"",((MACROS!$F46-MACROS!$Z46)*MACROS!$AA46*(1/10000)*(1/22.99)*MACROS!$D46*(1/MACROS!$C46)*MACROS!$E46*1000))</f>
        <v/>
      </c>
      <c r="AC46" s="78" t="str">
        <f>IF(AND(MACROS!$N46="",MACROS!$O46="",MACROS!$P46="",MACROS!$Q46=""),"",AVERAGE(MACROS!$N46,MACROS!$O46,MACROS!$P46,MACROS!$Q46))</f>
        <v/>
      </c>
      <c r="AD46" s="15">
        <f>1</f>
        <v>1</v>
      </c>
      <c r="AE46" s="79" t="str">
        <f>IF(OR(MACROS!$A46="",MACROS!$B46="",MACROS!$C46="",MACROS!$D46="",MACROS!$E46="",MACROS!$G46="",MACROS!$AC46="",MACROS!$AD46=""),"",((MACROS!$G46-MACROS!$AC46)*MACROS!$AD46*(1/10000)*(1/39.098)*MACROS!$D46*(1/MACROS!$C46)*MACROS!$E46*1000))</f>
        <v/>
      </c>
      <c r="AF46" s="80" t="str">
        <f>IF(MACROS!$AE46="","",MACROS!$AE46*391)</f>
        <v/>
      </c>
      <c r="AG46" s="78" t="str">
        <f>IF(AND(MACROS!$R46="",MACROS!$S46="",MACROS!$T46="",MACROS!$U46=""),"",AVERAGE(MACROS!$R46,MACROS!$S46,MACROS!$T46,MACROS!$U46))</f>
        <v/>
      </c>
      <c r="AH46" s="15">
        <f>1</f>
        <v>1</v>
      </c>
      <c r="AI46" s="79" t="str">
        <f>IF(OR(MACROS!$A46="",MACROS!$B46="",MACROS!$C46="",MACROS!$D46="",MACROS!$E46="",MACROS!$H46="",MACROS!$AG46="",MACROS!$AH46=""),"",((MACROS!$H46-MACROS!$AG46)*MACROS!$AH46*(1/10000)*(1/20.04)*MACROS!$D46*(1/MACROS!$C46)*MACROS!$E46*1000))</f>
        <v/>
      </c>
      <c r="AJ46" s="78" t="str">
        <f>IF(AND(MACROS!$V46="",MACROS!$W46="",MACROS!$X46="",MACROS!$Y46=""),"",AVERAGE(MACROS!$V46,MACROS!$W46,MACROS!$X46,MACROS!$Y46))</f>
        <v/>
      </c>
      <c r="AK46" s="15">
        <f>1</f>
        <v>1</v>
      </c>
      <c r="AL46" s="79" t="str">
        <f>IF(OR(MACROS!$A46="",MACROS!$B46="",MACROS!$C46="",MACROS!$D46="",MACROS!$E46="",MACROS!$I46="",MACROS!$AJ46="",MACROS!$AK46=""),"",((MACROS!$I46-MACROS!$AJ46)*MACROS!$AK46*(1/10000)*(1/12.1525)*MACROS!$D46*(1/MACROS!$C46)*MACROS!$E46*1000))</f>
        <v/>
      </c>
      <c r="AM46" s="79" t="str">
        <f>IF(OR(MACROS!$AE46="",MACROS!$AL46=""),"",MACROS!$AE46/MACROS!$AL46)</f>
        <v/>
      </c>
      <c r="AN46" s="79" t="str">
        <f>IF(OR(MACROS!$AI46="",MACROS!$AL46=""),"",MACROS!$AI46/MACROS!$AL46)</f>
        <v/>
      </c>
      <c r="AO46" s="20" t="str">
        <f>IF(MACROS!$A46="","",IF(ISNUMBER(VLOOKUP(MACROS!$A46,AC!A:J,10,FALSE)),VLOOKUP(MACROS!$A46,AC!A:J,10,FALSE),""))</f>
        <v/>
      </c>
      <c r="AP46" s="79" t="str">
        <f>IF(OR(MACROS!$AB46="",MACROS!$AE46="",MACROS!$AI46="",MACROS!$AL46="",MACROS!$AO46=""),"",SUM(MACROS!$AB46,MACROS!$AE46,MACROS!$AI46,MACROS!$AL46,MACROS!$AO46))</f>
        <v/>
      </c>
      <c r="AQ46" s="79" t="str">
        <f>IF(OR(MACROS!$AO46="",MACROS!$AP46=""),"",MACROS!$AO46/MACROS!$AP46*100)</f>
        <v/>
      </c>
      <c r="AR46" s="80" t="str">
        <f>IF(MACROS!$AQ46="","",IF(MACROS!$AW46+(MACROS!$AQ46-MACROS!$AU46)/(MACROS!$AV46-MACROS!$AU46)*(MACROS!$AX46-MACROS!$AW46)&gt;MAX(Interpolación!$C$2:$C$13),Interpolación!$C$13,CEILING(MACROS!$AW46+(MACROS!$AQ46-MACROS!$AU46)/(MACROS!$AV46-MACROS!$AU46)*(MACROS!$AX46-MACROS!$AW46),100)))</f>
        <v/>
      </c>
      <c r="AS46" s="80" t="str">
        <f>IF(MACROS!$AQ46="","",IF(ISNA(MATCH(MACROS!$AQ46,Interpolación!$B$2:$B$13,1)),Interpolación!$A$2,MIN(MATCH(MACROS!$AQ46,Interpolación!$B$2:$B$13,1),Interpolación!$A$13-1)))</f>
        <v/>
      </c>
      <c r="AT46" s="80" t="str">
        <f>IF(MACROS!$AS46="","",MACROS!$AS46+1)</f>
        <v/>
      </c>
      <c r="AU46" s="80" t="str">
        <f>IF(MACROS!$AS46="","",INDEX(Interpolación!$B$2:$B$13,MACROS!$AS46))</f>
        <v/>
      </c>
      <c r="AV46" s="80" t="str">
        <f>IF(MACROS!$AT46="","",INDEX(Interpolación!$B$2:$B$13,MACROS!$AT46))</f>
        <v/>
      </c>
      <c r="AW46" s="80" t="str">
        <f>IF(MACROS!$AS46="","",INDEX(Interpolación!$C$2:$C$13,MACROS!$AS46))</f>
        <v/>
      </c>
      <c r="AX46" s="80" t="str">
        <f>IF(MACROS!$AT46="","",INDEX(Interpolación!$C$2:$C$13,MACROS!$AT46))</f>
        <v/>
      </c>
    </row>
    <row r="47" spans="1:50" x14ac:dyDescent="0.25">
      <c r="A47" s="75" t="str">
        <f>IF('Pesada Macros'!A47="","",'Pesada Macros'!A47)</f>
        <v/>
      </c>
      <c r="B47" s="76" t="str">
        <f>IF('Pesada Macros'!B47="","",'Pesada Macros'!B47)</f>
        <v/>
      </c>
      <c r="C47" s="77" t="str">
        <f>IF('Pesada Macros'!C47="","",VALUE('Pesada Macros'!C47))</f>
        <v/>
      </c>
      <c r="D47" s="15">
        <f>50</f>
        <v>50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78" t="str">
        <f>IF(AND(MACROS!$J47="",MACROS!$K47="",MACROS!$L47="",MACROS!$M47=""),"",AVERAGE(MACROS!$J47,MACROS!$K47,MACROS!$L47,MACROS!$M47))</f>
        <v/>
      </c>
      <c r="AA47" s="15">
        <f>1</f>
        <v>1</v>
      </c>
      <c r="AB47" s="79" t="str">
        <f>IF(OR(MACROS!$A47="",MACROS!$B47="",MACROS!$C47="",MACROS!$D47="",MACROS!$E47="",MACROS!$F47="",MACROS!$Z47="",MACROS!$AA47=""),"",((MACROS!$F47-MACROS!$Z47)*MACROS!$AA47*(1/10000)*(1/22.99)*MACROS!$D47*(1/MACROS!$C47)*MACROS!$E47*1000))</f>
        <v/>
      </c>
      <c r="AC47" s="78" t="str">
        <f>IF(AND(MACROS!$N47="",MACROS!$O47="",MACROS!$P47="",MACROS!$Q47=""),"",AVERAGE(MACROS!$N47,MACROS!$O47,MACROS!$P47,MACROS!$Q47))</f>
        <v/>
      </c>
      <c r="AD47" s="15">
        <f>1</f>
        <v>1</v>
      </c>
      <c r="AE47" s="79" t="str">
        <f>IF(OR(MACROS!$A47="",MACROS!$B47="",MACROS!$C47="",MACROS!$D47="",MACROS!$E47="",MACROS!$G47="",MACROS!$AC47="",MACROS!$AD47=""),"",((MACROS!$G47-MACROS!$AC47)*MACROS!$AD47*(1/10000)*(1/39.098)*MACROS!$D47*(1/MACROS!$C47)*MACROS!$E47*1000))</f>
        <v/>
      </c>
      <c r="AF47" s="80" t="str">
        <f>IF(MACROS!$AE47="","",MACROS!$AE47*391)</f>
        <v/>
      </c>
      <c r="AG47" s="78" t="str">
        <f>IF(AND(MACROS!$R47="",MACROS!$S47="",MACROS!$T47="",MACROS!$U47=""),"",AVERAGE(MACROS!$R47,MACROS!$S47,MACROS!$T47,MACROS!$U47))</f>
        <v/>
      </c>
      <c r="AH47" s="15">
        <f>1</f>
        <v>1</v>
      </c>
      <c r="AI47" s="79" t="str">
        <f>IF(OR(MACROS!$A47="",MACROS!$B47="",MACROS!$C47="",MACROS!$D47="",MACROS!$E47="",MACROS!$H47="",MACROS!$AG47="",MACROS!$AH47=""),"",((MACROS!$H47-MACROS!$AG47)*MACROS!$AH47*(1/10000)*(1/20.04)*MACROS!$D47*(1/MACROS!$C47)*MACROS!$E47*1000))</f>
        <v/>
      </c>
      <c r="AJ47" s="78" t="str">
        <f>IF(AND(MACROS!$V47="",MACROS!$W47="",MACROS!$X47="",MACROS!$Y47=""),"",AVERAGE(MACROS!$V47,MACROS!$W47,MACROS!$X47,MACROS!$Y47))</f>
        <v/>
      </c>
      <c r="AK47" s="15">
        <f>1</f>
        <v>1</v>
      </c>
      <c r="AL47" s="79" t="str">
        <f>IF(OR(MACROS!$A47="",MACROS!$B47="",MACROS!$C47="",MACROS!$D47="",MACROS!$E47="",MACROS!$I47="",MACROS!$AJ47="",MACROS!$AK47=""),"",((MACROS!$I47-MACROS!$AJ47)*MACROS!$AK47*(1/10000)*(1/12.1525)*MACROS!$D47*(1/MACROS!$C47)*MACROS!$E47*1000))</f>
        <v/>
      </c>
      <c r="AM47" s="79" t="str">
        <f>IF(OR(MACROS!$AE47="",MACROS!$AL47=""),"",MACROS!$AE47/MACROS!$AL47)</f>
        <v/>
      </c>
      <c r="AN47" s="79" t="str">
        <f>IF(OR(MACROS!$AI47="",MACROS!$AL47=""),"",MACROS!$AI47/MACROS!$AL47)</f>
        <v/>
      </c>
      <c r="AO47" s="20" t="str">
        <f>IF(MACROS!$A47="","",IF(ISNUMBER(VLOOKUP(MACROS!$A47,AC!A:J,10,FALSE)),VLOOKUP(MACROS!$A47,AC!A:J,10,FALSE),""))</f>
        <v/>
      </c>
      <c r="AP47" s="79" t="str">
        <f>IF(OR(MACROS!$AB47="",MACROS!$AE47="",MACROS!$AI47="",MACROS!$AL47="",MACROS!$AO47=""),"",SUM(MACROS!$AB47,MACROS!$AE47,MACROS!$AI47,MACROS!$AL47,MACROS!$AO47))</f>
        <v/>
      </c>
      <c r="AQ47" s="79" t="str">
        <f>IF(OR(MACROS!$AO47="",MACROS!$AP47=""),"",MACROS!$AO47/MACROS!$AP47*100)</f>
        <v/>
      </c>
      <c r="AR47" s="80" t="str">
        <f>IF(MACROS!$AQ47="","",IF(MACROS!$AW47+(MACROS!$AQ47-MACROS!$AU47)/(MACROS!$AV47-MACROS!$AU47)*(MACROS!$AX47-MACROS!$AW47)&gt;MAX(Interpolación!$C$2:$C$13),Interpolación!$C$13,CEILING(MACROS!$AW47+(MACROS!$AQ47-MACROS!$AU47)/(MACROS!$AV47-MACROS!$AU47)*(MACROS!$AX47-MACROS!$AW47),100)))</f>
        <v/>
      </c>
      <c r="AS47" s="80" t="str">
        <f>IF(MACROS!$AQ47="","",IF(ISNA(MATCH(MACROS!$AQ47,Interpolación!$B$2:$B$13,1)),Interpolación!$A$2,MIN(MATCH(MACROS!$AQ47,Interpolación!$B$2:$B$13,1),Interpolación!$A$13-1)))</f>
        <v/>
      </c>
      <c r="AT47" s="80" t="str">
        <f>IF(MACROS!$AS47="","",MACROS!$AS47+1)</f>
        <v/>
      </c>
      <c r="AU47" s="80" t="str">
        <f>IF(MACROS!$AS47="","",INDEX(Interpolación!$B$2:$B$13,MACROS!$AS47))</f>
        <v/>
      </c>
      <c r="AV47" s="80" t="str">
        <f>IF(MACROS!$AT47="","",INDEX(Interpolación!$B$2:$B$13,MACROS!$AT47))</f>
        <v/>
      </c>
      <c r="AW47" s="80" t="str">
        <f>IF(MACROS!$AS47="","",INDEX(Interpolación!$C$2:$C$13,MACROS!$AS47))</f>
        <v/>
      </c>
      <c r="AX47" s="80" t="str">
        <f>IF(MACROS!$AT47="","",INDEX(Interpolación!$C$2:$C$13,MACROS!$AT47))</f>
        <v/>
      </c>
    </row>
    <row r="48" spans="1:50" x14ac:dyDescent="0.25">
      <c r="A48" s="75" t="str">
        <f>IF('Pesada Macros'!A48="","",'Pesada Macros'!A48)</f>
        <v/>
      </c>
      <c r="B48" s="76" t="str">
        <f>IF('Pesada Macros'!B48="","",'Pesada Macros'!B48)</f>
        <v/>
      </c>
      <c r="C48" s="77" t="str">
        <f>IF('Pesada Macros'!C48="","",VALUE('Pesada Macros'!C48))</f>
        <v/>
      </c>
      <c r="D48" s="15">
        <f>50</f>
        <v>50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78" t="str">
        <f>IF(AND(MACROS!$J48="",MACROS!$K48="",MACROS!$L48="",MACROS!$M48=""),"",AVERAGE(MACROS!$J48,MACROS!$K48,MACROS!$L48,MACROS!$M48))</f>
        <v/>
      </c>
      <c r="AA48" s="15">
        <f>1</f>
        <v>1</v>
      </c>
      <c r="AB48" s="79" t="str">
        <f>IF(OR(MACROS!$A48="",MACROS!$B48="",MACROS!$C48="",MACROS!$D48="",MACROS!$E48="",MACROS!$F48="",MACROS!$Z48="",MACROS!$AA48=""),"",((MACROS!$F48-MACROS!$Z48)*MACROS!$AA48*(1/10000)*(1/22.99)*MACROS!$D48*(1/MACROS!$C48)*MACROS!$E48*1000))</f>
        <v/>
      </c>
      <c r="AC48" s="78" t="str">
        <f>IF(AND(MACROS!$N48="",MACROS!$O48="",MACROS!$P48="",MACROS!$Q48=""),"",AVERAGE(MACROS!$N48,MACROS!$O48,MACROS!$P48,MACROS!$Q48))</f>
        <v/>
      </c>
      <c r="AD48" s="15">
        <f>1</f>
        <v>1</v>
      </c>
      <c r="AE48" s="79" t="str">
        <f>IF(OR(MACROS!$A48="",MACROS!$B48="",MACROS!$C48="",MACROS!$D48="",MACROS!$E48="",MACROS!$G48="",MACROS!$AC48="",MACROS!$AD48=""),"",((MACROS!$G48-MACROS!$AC48)*MACROS!$AD48*(1/10000)*(1/39.098)*MACROS!$D48*(1/MACROS!$C48)*MACROS!$E48*1000))</f>
        <v/>
      </c>
      <c r="AF48" s="80" t="str">
        <f>IF(MACROS!$AE48="","",MACROS!$AE48*391)</f>
        <v/>
      </c>
      <c r="AG48" s="78" t="str">
        <f>IF(AND(MACROS!$R48="",MACROS!$S48="",MACROS!$T48="",MACROS!$U48=""),"",AVERAGE(MACROS!$R48,MACROS!$S48,MACROS!$T48,MACROS!$U48))</f>
        <v/>
      </c>
      <c r="AH48" s="15">
        <f>1</f>
        <v>1</v>
      </c>
      <c r="AI48" s="79" t="str">
        <f>IF(OR(MACROS!$A48="",MACROS!$B48="",MACROS!$C48="",MACROS!$D48="",MACROS!$E48="",MACROS!$H48="",MACROS!$AG48="",MACROS!$AH48=""),"",((MACROS!$H48-MACROS!$AG48)*MACROS!$AH48*(1/10000)*(1/20.04)*MACROS!$D48*(1/MACROS!$C48)*MACROS!$E48*1000))</f>
        <v/>
      </c>
      <c r="AJ48" s="78" t="str">
        <f>IF(AND(MACROS!$V48="",MACROS!$W48="",MACROS!$X48="",MACROS!$Y48=""),"",AVERAGE(MACROS!$V48,MACROS!$W48,MACROS!$X48,MACROS!$Y48))</f>
        <v/>
      </c>
      <c r="AK48" s="15">
        <f>1</f>
        <v>1</v>
      </c>
      <c r="AL48" s="79" t="str">
        <f>IF(OR(MACROS!$A48="",MACROS!$B48="",MACROS!$C48="",MACROS!$D48="",MACROS!$E48="",MACROS!$I48="",MACROS!$AJ48="",MACROS!$AK48=""),"",((MACROS!$I48-MACROS!$AJ48)*MACROS!$AK48*(1/10000)*(1/12.1525)*MACROS!$D48*(1/MACROS!$C48)*MACROS!$E48*1000))</f>
        <v/>
      </c>
      <c r="AM48" s="79" t="str">
        <f>IF(OR(MACROS!$AE48="",MACROS!$AL48=""),"",MACROS!$AE48/MACROS!$AL48)</f>
        <v/>
      </c>
      <c r="AN48" s="79" t="str">
        <f>IF(OR(MACROS!$AI48="",MACROS!$AL48=""),"",MACROS!$AI48/MACROS!$AL48)</f>
        <v/>
      </c>
      <c r="AO48" s="20" t="str">
        <f>IF(MACROS!$A48="","",IF(ISNUMBER(VLOOKUP(MACROS!$A48,AC!A:J,10,FALSE)),VLOOKUP(MACROS!$A48,AC!A:J,10,FALSE),""))</f>
        <v/>
      </c>
      <c r="AP48" s="79" t="str">
        <f>IF(OR(MACROS!$AB48="",MACROS!$AE48="",MACROS!$AI48="",MACROS!$AL48="",MACROS!$AO48=""),"",SUM(MACROS!$AB48,MACROS!$AE48,MACROS!$AI48,MACROS!$AL48,MACROS!$AO48))</f>
        <v/>
      </c>
      <c r="AQ48" s="79" t="str">
        <f>IF(OR(MACROS!$AO48="",MACROS!$AP48=""),"",MACROS!$AO48/MACROS!$AP48*100)</f>
        <v/>
      </c>
      <c r="AR48" s="80" t="str">
        <f>IF(MACROS!$AQ48="","",IF(MACROS!$AW48+(MACROS!$AQ48-MACROS!$AU48)/(MACROS!$AV48-MACROS!$AU48)*(MACROS!$AX48-MACROS!$AW48)&gt;MAX(Interpolación!$C$2:$C$13),Interpolación!$C$13,CEILING(MACROS!$AW48+(MACROS!$AQ48-MACROS!$AU48)/(MACROS!$AV48-MACROS!$AU48)*(MACROS!$AX48-MACROS!$AW48),100)))</f>
        <v/>
      </c>
      <c r="AS48" s="80" t="str">
        <f>IF(MACROS!$AQ48="","",IF(ISNA(MATCH(MACROS!$AQ48,Interpolación!$B$2:$B$13,1)),Interpolación!$A$2,MIN(MATCH(MACROS!$AQ48,Interpolación!$B$2:$B$13,1),Interpolación!$A$13-1)))</f>
        <v/>
      </c>
      <c r="AT48" s="80" t="str">
        <f>IF(MACROS!$AS48="","",MACROS!$AS48+1)</f>
        <v/>
      </c>
      <c r="AU48" s="80" t="str">
        <f>IF(MACROS!$AS48="","",INDEX(Interpolación!$B$2:$B$13,MACROS!$AS48))</f>
        <v/>
      </c>
      <c r="AV48" s="80" t="str">
        <f>IF(MACROS!$AT48="","",INDEX(Interpolación!$B$2:$B$13,MACROS!$AT48))</f>
        <v/>
      </c>
      <c r="AW48" s="80" t="str">
        <f>IF(MACROS!$AS48="","",INDEX(Interpolación!$C$2:$C$13,MACROS!$AS48))</f>
        <v/>
      </c>
      <c r="AX48" s="80" t="str">
        <f>IF(MACROS!$AT48="","",INDEX(Interpolación!$C$2:$C$13,MACROS!$AT48))</f>
        <v/>
      </c>
    </row>
    <row r="49" spans="1:50" x14ac:dyDescent="0.25">
      <c r="A49" s="75" t="str">
        <f>IF('Pesada Macros'!A49="","",'Pesada Macros'!A49)</f>
        <v/>
      </c>
      <c r="B49" s="76" t="str">
        <f>IF('Pesada Macros'!B49="","",'Pesada Macros'!B49)</f>
        <v/>
      </c>
      <c r="C49" s="77" t="str">
        <f>IF('Pesada Macros'!C49="","",VALUE('Pesada Macros'!C49))</f>
        <v/>
      </c>
      <c r="D49" s="15">
        <f>50</f>
        <v>50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78" t="str">
        <f>IF(AND(MACROS!$J49="",MACROS!$K49="",MACROS!$L49="",MACROS!$M49=""),"",AVERAGE(MACROS!$J49,MACROS!$K49,MACROS!$L49,MACROS!$M49))</f>
        <v/>
      </c>
      <c r="AA49" s="15">
        <f>1</f>
        <v>1</v>
      </c>
      <c r="AB49" s="79" t="str">
        <f>IF(OR(MACROS!$A49="",MACROS!$B49="",MACROS!$C49="",MACROS!$D49="",MACROS!$E49="",MACROS!$F49="",MACROS!$Z49="",MACROS!$AA49=""),"",((MACROS!$F49-MACROS!$Z49)*MACROS!$AA49*(1/10000)*(1/22.99)*MACROS!$D49*(1/MACROS!$C49)*MACROS!$E49*1000))</f>
        <v/>
      </c>
      <c r="AC49" s="78" t="str">
        <f>IF(AND(MACROS!$N49="",MACROS!$O49="",MACROS!$P49="",MACROS!$Q49=""),"",AVERAGE(MACROS!$N49,MACROS!$O49,MACROS!$P49,MACROS!$Q49))</f>
        <v/>
      </c>
      <c r="AD49" s="15">
        <f>1</f>
        <v>1</v>
      </c>
      <c r="AE49" s="79" t="str">
        <f>IF(OR(MACROS!$A49="",MACROS!$B49="",MACROS!$C49="",MACROS!$D49="",MACROS!$E49="",MACROS!$G49="",MACROS!$AC49="",MACROS!$AD49=""),"",((MACROS!$G49-MACROS!$AC49)*MACROS!$AD49*(1/10000)*(1/39.098)*MACROS!$D49*(1/MACROS!$C49)*MACROS!$E49*1000))</f>
        <v/>
      </c>
      <c r="AF49" s="80" t="str">
        <f>IF(MACROS!$AE49="","",MACROS!$AE49*391)</f>
        <v/>
      </c>
      <c r="AG49" s="78" t="str">
        <f>IF(AND(MACROS!$R49="",MACROS!$S49="",MACROS!$T49="",MACROS!$U49=""),"",AVERAGE(MACROS!$R49,MACROS!$S49,MACROS!$T49,MACROS!$U49))</f>
        <v/>
      </c>
      <c r="AH49" s="15">
        <f>1</f>
        <v>1</v>
      </c>
      <c r="AI49" s="79" t="str">
        <f>IF(OR(MACROS!$A49="",MACROS!$B49="",MACROS!$C49="",MACROS!$D49="",MACROS!$E49="",MACROS!$H49="",MACROS!$AG49="",MACROS!$AH49=""),"",((MACROS!$H49-MACROS!$AG49)*MACROS!$AH49*(1/10000)*(1/20.04)*MACROS!$D49*(1/MACROS!$C49)*MACROS!$E49*1000))</f>
        <v/>
      </c>
      <c r="AJ49" s="78" t="str">
        <f>IF(AND(MACROS!$V49="",MACROS!$W49="",MACROS!$X49="",MACROS!$Y49=""),"",AVERAGE(MACROS!$V49,MACROS!$W49,MACROS!$X49,MACROS!$Y49))</f>
        <v/>
      </c>
      <c r="AK49" s="15">
        <f>1</f>
        <v>1</v>
      </c>
      <c r="AL49" s="79" t="str">
        <f>IF(OR(MACROS!$A49="",MACROS!$B49="",MACROS!$C49="",MACROS!$D49="",MACROS!$E49="",MACROS!$I49="",MACROS!$AJ49="",MACROS!$AK49=""),"",((MACROS!$I49-MACROS!$AJ49)*MACROS!$AK49*(1/10000)*(1/12.1525)*MACROS!$D49*(1/MACROS!$C49)*MACROS!$E49*1000))</f>
        <v/>
      </c>
      <c r="AM49" s="79" t="str">
        <f>IF(OR(MACROS!$AE49="",MACROS!$AL49=""),"",MACROS!$AE49/MACROS!$AL49)</f>
        <v/>
      </c>
      <c r="AN49" s="79" t="str">
        <f>IF(OR(MACROS!$AI49="",MACROS!$AL49=""),"",MACROS!$AI49/MACROS!$AL49)</f>
        <v/>
      </c>
      <c r="AO49" s="20" t="str">
        <f>IF(MACROS!$A49="","",IF(ISNUMBER(VLOOKUP(MACROS!$A49,AC!A:J,10,FALSE)),VLOOKUP(MACROS!$A49,AC!A:J,10,FALSE),""))</f>
        <v/>
      </c>
      <c r="AP49" s="79" t="str">
        <f>IF(OR(MACROS!$AB49="",MACROS!$AE49="",MACROS!$AI49="",MACROS!$AL49="",MACROS!$AO49=""),"",SUM(MACROS!$AB49,MACROS!$AE49,MACROS!$AI49,MACROS!$AL49,MACROS!$AO49))</f>
        <v/>
      </c>
      <c r="AQ49" s="79" t="str">
        <f>IF(OR(MACROS!$AO49="",MACROS!$AP49=""),"",MACROS!$AO49/MACROS!$AP49*100)</f>
        <v/>
      </c>
      <c r="AR49" s="80" t="str">
        <f>IF(MACROS!$AQ49="","",IF(MACROS!$AW49+(MACROS!$AQ49-MACROS!$AU49)/(MACROS!$AV49-MACROS!$AU49)*(MACROS!$AX49-MACROS!$AW49)&gt;MAX(Interpolación!$C$2:$C$13),Interpolación!$C$13,CEILING(MACROS!$AW49+(MACROS!$AQ49-MACROS!$AU49)/(MACROS!$AV49-MACROS!$AU49)*(MACROS!$AX49-MACROS!$AW49),100)))</f>
        <v/>
      </c>
      <c r="AS49" s="80" t="str">
        <f>IF(MACROS!$AQ49="","",IF(ISNA(MATCH(MACROS!$AQ49,Interpolación!$B$2:$B$13,1)),Interpolación!$A$2,MIN(MATCH(MACROS!$AQ49,Interpolación!$B$2:$B$13,1),Interpolación!$A$13-1)))</f>
        <v/>
      </c>
      <c r="AT49" s="80" t="str">
        <f>IF(MACROS!$AS49="","",MACROS!$AS49+1)</f>
        <v/>
      </c>
      <c r="AU49" s="80" t="str">
        <f>IF(MACROS!$AS49="","",INDEX(Interpolación!$B$2:$B$13,MACROS!$AS49))</f>
        <v/>
      </c>
      <c r="AV49" s="80" t="str">
        <f>IF(MACROS!$AT49="","",INDEX(Interpolación!$B$2:$B$13,MACROS!$AT49))</f>
        <v/>
      </c>
      <c r="AW49" s="80" t="str">
        <f>IF(MACROS!$AS49="","",INDEX(Interpolación!$C$2:$C$13,MACROS!$AS49))</f>
        <v/>
      </c>
      <c r="AX49" s="80" t="str">
        <f>IF(MACROS!$AT49="","",INDEX(Interpolación!$C$2:$C$13,MACROS!$AT49))</f>
        <v/>
      </c>
    </row>
    <row r="50" spans="1:50" x14ac:dyDescent="0.25">
      <c r="A50" s="75" t="str">
        <f>IF('Pesada Macros'!A50="","",'Pesada Macros'!A50)</f>
        <v/>
      </c>
      <c r="B50" s="76" t="str">
        <f>IF('Pesada Macros'!B50="","",'Pesada Macros'!B50)</f>
        <v/>
      </c>
      <c r="C50" s="77" t="str">
        <f>IF('Pesada Macros'!C50="","",VALUE('Pesada Macros'!C50))</f>
        <v/>
      </c>
      <c r="D50" s="15">
        <f>50</f>
        <v>50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78" t="str">
        <f>IF(AND(MACROS!$J50="",MACROS!$K50="",MACROS!$L50="",MACROS!$M50=""),"",AVERAGE(MACROS!$J50,MACROS!$K50,MACROS!$L50,MACROS!$M50))</f>
        <v/>
      </c>
      <c r="AA50" s="15">
        <f>1</f>
        <v>1</v>
      </c>
      <c r="AB50" s="79" t="str">
        <f>IF(OR(MACROS!$A50="",MACROS!$B50="",MACROS!$C50="",MACROS!$D50="",MACROS!$E50="",MACROS!$F50="",MACROS!$Z50="",MACROS!$AA50=""),"",((MACROS!$F50-MACROS!$Z50)*MACROS!$AA50*(1/10000)*(1/22.99)*MACROS!$D50*(1/MACROS!$C50)*MACROS!$E50*1000))</f>
        <v/>
      </c>
      <c r="AC50" s="78" t="str">
        <f>IF(AND(MACROS!$N50="",MACROS!$O50="",MACROS!$P50="",MACROS!$Q50=""),"",AVERAGE(MACROS!$N50,MACROS!$O50,MACROS!$P50,MACROS!$Q50))</f>
        <v/>
      </c>
      <c r="AD50" s="15">
        <f>1</f>
        <v>1</v>
      </c>
      <c r="AE50" s="79" t="str">
        <f>IF(OR(MACROS!$A50="",MACROS!$B50="",MACROS!$C50="",MACROS!$D50="",MACROS!$E50="",MACROS!$G50="",MACROS!$AC50="",MACROS!$AD50=""),"",((MACROS!$G50-MACROS!$AC50)*MACROS!$AD50*(1/10000)*(1/39.098)*MACROS!$D50*(1/MACROS!$C50)*MACROS!$E50*1000))</f>
        <v/>
      </c>
      <c r="AF50" s="80" t="str">
        <f>IF(MACROS!$AE50="","",MACROS!$AE50*391)</f>
        <v/>
      </c>
      <c r="AG50" s="78" t="str">
        <f>IF(AND(MACROS!$R50="",MACROS!$S50="",MACROS!$T50="",MACROS!$U50=""),"",AVERAGE(MACROS!$R50,MACROS!$S50,MACROS!$T50,MACROS!$U50))</f>
        <v/>
      </c>
      <c r="AH50" s="15">
        <f>1</f>
        <v>1</v>
      </c>
      <c r="AI50" s="79" t="str">
        <f>IF(OR(MACROS!$A50="",MACROS!$B50="",MACROS!$C50="",MACROS!$D50="",MACROS!$E50="",MACROS!$H50="",MACROS!$AG50="",MACROS!$AH50=""),"",((MACROS!$H50-MACROS!$AG50)*MACROS!$AH50*(1/10000)*(1/20.04)*MACROS!$D50*(1/MACROS!$C50)*MACROS!$E50*1000))</f>
        <v/>
      </c>
      <c r="AJ50" s="78" t="str">
        <f>IF(AND(MACROS!$V50="",MACROS!$W50="",MACROS!$X50="",MACROS!$Y50=""),"",AVERAGE(MACROS!$V50,MACROS!$W50,MACROS!$X50,MACROS!$Y50))</f>
        <v/>
      </c>
      <c r="AK50" s="15">
        <f>1</f>
        <v>1</v>
      </c>
      <c r="AL50" s="79" t="str">
        <f>IF(OR(MACROS!$A50="",MACROS!$B50="",MACROS!$C50="",MACROS!$D50="",MACROS!$E50="",MACROS!$I50="",MACROS!$AJ50="",MACROS!$AK50=""),"",((MACROS!$I50-MACROS!$AJ50)*MACROS!$AK50*(1/10000)*(1/12.1525)*MACROS!$D50*(1/MACROS!$C50)*MACROS!$E50*1000))</f>
        <v/>
      </c>
      <c r="AM50" s="79" t="str">
        <f>IF(OR(MACROS!$AE50="",MACROS!$AL50=""),"",MACROS!$AE50/MACROS!$AL50)</f>
        <v/>
      </c>
      <c r="AN50" s="79" t="str">
        <f>IF(OR(MACROS!$AI50="",MACROS!$AL50=""),"",MACROS!$AI50/MACROS!$AL50)</f>
        <v/>
      </c>
      <c r="AO50" s="20" t="str">
        <f>IF(MACROS!$A50="","",IF(ISNUMBER(VLOOKUP(MACROS!$A50,AC!A:J,10,FALSE)),VLOOKUP(MACROS!$A50,AC!A:J,10,FALSE),""))</f>
        <v/>
      </c>
      <c r="AP50" s="79" t="str">
        <f>IF(OR(MACROS!$AB50="",MACROS!$AE50="",MACROS!$AI50="",MACROS!$AL50="",MACROS!$AO50=""),"",SUM(MACROS!$AB50,MACROS!$AE50,MACROS!$AI50,MACROS!$AL50,MACROS!$AO50))</f>
        <v/>
      </c>
      <c r="AQ50" s="79" t="str">
        <f>IF(OR(MACROS!$AO50="",MACROS!$AP50=""),"",MACROS!$AO50/MACROS!$AP50*100)</f>
        <v/>
      </c>
      <c r="AR50" s="80" t="str">
        <f>IF(MACROS!$AQ50="","",IF(MACROS!$AW50+(MACROS!$AQ50-MACROS!$AU50)/(MACROS!$AV50-MACROS!$AU50)*(MACROS!$AX50-MACROS!$AW50)&gt;MAX(Interpolación!$C$2:$C$13),Interpolación!$C$13,CEILING(MACROS!$AW50+(MACROS!$AQ50-MACROS!$AU50)/(MACROS!$AV50-MACROS!$AU50)*(MACROS!$AX50-MACROS!$AW50),100)))</f>
        <v/>
      </c>
      <c r="AS50" s="80" t="str">
        <f>IF(MACROS!$AQ50="","",IF(ISNA(MATCH(MACROS!$AQ50,Interpolación!$B$2:$B$13,1)),Interpolación!$A$2,MIN(MATCH(MACROS!$AQ50,Interpolación!$B$2:$B$13,1),Interpolación!$A$13-1)))</f>
        <v/>
      </c>
      <c r="AT50" s="80" t="str">
        <f>IF(MACROS!$AS50="","",MACROS!$AS50+1)</f>
        <v/>
      </c>
      <c r="AU50" s="80" t="str">
        <f>IF(MACROS!$AS50="","",INDEX(Interpolación!$B$2:$B$13,MACROS!$AS50))</f>
        <v/>
      </c>
      <c r="AV50" s="80" t="str">
        <f>IF(MACROS!$AT50="","",INDEX(Interpolación!$B$2:$B$13,MACROS!$AT50))</f>
        <v/>
      </c>
      <c r="AW50" s="80" t="str">
        <f>IF(MACROS!$AS50="","",INDEX(Interpolación!$C$2:$C$13,MACROS!$AS50))</f>
        <v/>
      </c>
      <c r="AX50" s="80" t="str">
        <f>IF(MACROS!$AT50="","",INDEX(Interpolación!$C$2:$C$13,MACROS!$AT50))</f>
        <v/>
      </c>
    </row>
    <row r="51" spans="1:50" x14ac:dyDescent="0.25">
      <c r="A51" s="75" t="str">
        <f>IF('Pesada Macros'!A51="","",'Pesada Macros'!A51)</f>
        <v/>
      </c>
      <c r="B51" s="76" t="str">
        <f>IF('Pesada Macros'!B51="","",'Pesada Macros'!B51)</f>
        <v/>
      </c>
      <c r="C51" s="77" t="str">
        <f>IF('Pesada Macros'!C51="","",VALUE('Pesada Macros'!C51))</f>
        <v/>
      </c>
      <c r="D51" s="15">
        <f>50</f>
        <v>50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78" t="str">
        <f>IF(AND(MACROS!$J51="",MACROS!$K51="",MACROS!$L51="",MACROS!$M51=""),"",AVERAGE(MACROS!$J51,MACROS!$K51,MACROS!$L51,MACROS!$M51))</f>
        <v/>
      </c>
      <c r="AA51" s="15">
        <f>1</f>
        <v>1</v>
      </c>
      <c r="AB51" s="79" t="str">
        <f>IF(OR(MACROS!$A51="",MACROS!$B51="",MACROS!$C51="",MACROS!$D51="",MACROS!$E51="",MACROS!$F51="",MACROS!$Z51="",MACROS!$AA51=""),"",((MACROS!$F51-MACROS!$Z51)*MACROS!$AA51*(1/10000)*(1/22.99)*MACROS!$D51*(1/MACROS!$C51)*MACROS!$E51*1000))</f>
        <v/>
      </c>
      <c r="AC51" s="78" t="str">
        <f>IF(AND(MACROS!$N51="",MACROS!$O51="",MACROS!$P51="",MACROS!$Q51=""),"",AVERAGE(MACROS!$N51,MACROS!$O51,MACROS!$P51,MACROS!$Q51))</f>
        <v/>
      </c>
      <c r="AD51" s="15">
        <f>1</f>
        <v>1</v>
      </c>
      <c r="AE51" s="79" t="str">
        <f>IF(OR(MACROS!$A51="",MACROS!$B51="",MACROS!$C51="",MACROS!$D51="",MACROS!$E51="",MACROS!$G51="",MACROS!$AC51="",MACROS!$AD51=""),"",((MACROS!$G51-MACROS!$AC51)*MACROS!$AD51*(1/10000)*(1/39.098)*MACROS!$D51*(1/MACROS!$C51)*MACROS!$E51*1000))</f>
        <v/>
      </c>
      <c r="AF51" s="80" t="str">
        <f>IF(MACROS!$AE51="","",MACROS!$AE51*391)</f>
        <v/>
      </c>
      <c r="AG51" s="78" t="str">
        <f>IF(AND(MACROS!$R51="",MACROS!$S51="",MACROS!$T51="",MACROS!$U51=""),"",AVERAGE(MACROS!$R51,MACROS!$S51,MACROS!$T51,MACROS!$U51))</f>
        <v/>
      </c>
      <c r="AH51" s="15">
        <f>1</f>
        <v>1</v>
      </c>
      <c r="AI51" s="79" t="str">
        <f>IF(OR(MACROS!$A51="",MACROS!$B51="",MACROS!$C51="",MACROS!$D51="",MACROS!$E51="",MACROS!$H51="",MACROS!$AG51="",MACROS!$AH51=""),"",((MACROS!$H51-MACROS!$AG51)*MACROS!$AH51*(1/10000)*(1/20.04)*MACROS!$D51*(1/MACROS!$C51)*MACROS!$E51*1000))</f>
        <v/>
      </c>
      <c r="AJ51" s="78" t="str">
        <f>IF(AND(MACROS!$V51="",MACROS!$W51="",MACROS!$X51="",MACROS!$Y51=""),"",AVERAGE(MACROS!$V51,MACROS!$W51,MACROS!$X51,MACROS!$Y51))</f>
        <v/>
      </c>
      <c r="AK51" s="15">
        <f>1</f>
        <v>1</v>
      </c>
      <c r="AL51" s="79" t="str">
        <f>IF(OR(MACROS!$A51="",MACROS!$B51="",MACROS!$C51="",MACROS!$D51="",MACROS!$E51="",MACROS!$I51="",MACROS!$AJ51="",MACROS!$AK51=""),"",((MACROS!$I51-MACROS!$AJ51)*MACROS!$AK51*(1/10000)*(1/12.1525)*MACROS!$D51*(1/MACROS!$C51)*MACROS!$E51*1000))</f>
        <v/>
      </c>
      <c r="AM51" s="79" t="str">
        <f>IF(OR(MACROS!$AE51="",MACROS!$AL51=""),"",MACROS!$AE51/MACROS!$AL51)</f>
        <v/>
      </c>
      <c r="AN51" s="79" t="str">
        <f>IF(OR(MACROS!$AI51="",MACROS!$AL51=""),"",MACROS!$AI51/MACROS!$AL51)</f>
        <v/>
      </c>
      <c r="AO51" s="20" t="str">
        <f>IF(MACROS!$A51="","",IF(ISNUMBER(VLOOKUP(MACROS!$A51,AC!A:J,10,FALSE)),VLOOKUP(MACROS!$A51,AC!A:J,10,FALSE),""))</f>
        <v/>
      </c>
      <c r="AP51" s="79" t="str">
        <f>IF(OR(MACROS!$AB51="",MACROS!$AE51="",MACROS!$AI51="",MACROS!$AL51="",MACROS!$AO51=""),"",SUM(MACROS!$AB51,MACROS!$AE51,MACROS!$AI51,MACROS!$AL51,MACROS!$AO51))</f>
        <v/>
      </c>
      <c r="AQ51" s="79" t="str">
        <f>IF(OR(MACROS!$AO51="",MACROS!$AP51=""),"",MACROS!$AO51/MACROS!$AP51*100)</f>
        <v/>
      </c>
      <c r="AR51" s="80" t="str">
        <f>IF(MACROS!$AQ51="","",IF(MACROS!$AW51+(MACROS!$AQ51-MACROS!$AU51)/(MACROS!$AV51-MACROS!$AU51)*(MACROS!$AX51-MACROS!$AW51)&gt;MAX(Interpolación!$C$2:$C$13),Interpolación!$C$13,CEILING(MACROS!$AW51+(MACROS!$AQ51-MACROS!$AU51)/(MACROS!$AV51-MACROS!$AU51)*(MACROS!$AX51-MACROS!$AW51),100)))</f>
        <v/>
      </c>
      <c r="AS51" s="80" t="str">
        <f>IF(MACROS!$AQ51="","",IF(ISNA(MATCH(MACROS!$AQ51,Interpolación!$B$2:$B$13,1)),Interpolación!$A$2,MIN(MATCH(MACROS!$AQ51,Interpolación!$B$2:$B$13,1),Interpolación!$A$13-1)))</f>
        <v/>
      </c>
      <c r="AT51" s="80" t="str">
        <f>IF(MACROS!$AS51="","",MACROS!$AS51+1)</f>
        <v/>
      </c>
      <c r="AU51" s="80" t="str">
        <f>IF(MACROS!$AS51="","",INDEX(Interpolación!$B$2:$B$13,MACROS!$AS51))</f>
        <v/>
      </c>
      <c r="AV51" s="80" t="str">
        <f>IF(MACROS!$AT51="","",INDEX(Interpolación!$B$2:$B$13,MACROS!$AT51))</f>
        <v/>
      </c>
      <c r="AW51" s="80" t="str">
        <f>IF(MACROS!$AS51="","",INDEX(Interpolación!$C$2:$C$13,MACROS!$AS51))</f>
        <v/>
      </c>
      <c r="AX51" s="80" t="str">
        <f>IF(MACROS!$AT51="","",INDEX(Interpolación!$C$2:$C$13,MACROS!$AT51))</f>
        <v/>
      </c>
    </row>
    <row r="52" spans="1:50" x14ac:dyDescent="0.25">
      <c r="A52" s="75" t="str">
        <f>IF('Pesada Macros'!A52="","",'Pesada Macros'!A52)</f>
        <v/>
      </c>
      <c r="B52" s="76" t="str">
        <f>IF('Pesada Macros'!B52="","",'Pesada Macros'!B52)</f>
        <v/>
      </c>
      <c r="C52" s="77" t="str">
        <f>IF('Pesada Macros'!C52="","",VALUE('Pesada Macros'!C52))</f>
        <v/>
      </c>
      <c r="D52" s="15">
        <f>50</f>
        <v>50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78" t="str">
        <f>IF(AND(MACROS!$J52="",MACROS!$K52="",MACROS!$L52="",MACROS!$M52=""),"",AVERAGE(MACROS!$J52,MACROS!$K52,MACROS!$L52,MACROS!$M52))</f>
        <v/>
      </c>
      <c r="AA52" s="15">
        <f>1</f>
        <v>1</v>
      </c>
      <c r="AB52" s="79" t="str">
        <f>IF(OR(MACROS!$A52="",MACROS!$B52="",MACROS!$C52="",MACROS!$D52="",MACROS!$E52="",MACROS!$F52="",MACROS!$Z52="",MACROS!$AA52=""),"",((MACROS!$F52-MACROS!$Z52)*MACROS!$AA52*(1/10000)*(1/22.99)*MACROS!$D52*(1/MACROS!$C52)*MACROS!$E52*1000))</f>
        <v/>
      </c>
      <c r="AC52" s="78" t="str">
        <f>IF(AND(MACROS!$N52="",MACROS!$O52="",MACROS!$P52="",MACROS!$Q52=""),"",AVERAGE(MACROS!$N52,MACROS!$O52,MACROS!$P52,MACROS!$Q52))</f>
        <v/>
      </c>
      <c r="AD52" s="15">
        <f>1</f>
        <v>1</v>
      </c>
      <c r="AE52" s="79" t="str">
        <f>IF(OR(MACROS!$A52="",MACROS!$B52="",MACROS!$C52="",MACROS!$D52="",MACROS!$E52="",MACROS!$G52="",MACROS!$AC52="",MACROS!$AD52=""),"",((MACROS!$G52-MACROS!$AC52)*MACROS!$AD52*(1/10000)*(1/39.098)*MACROS!$D52*(1/MACROS!$C52)*MACROS!$E52*1000))</f>
        <v/>
      </c>
      <c r="AF52" s="80" t="str">
        <f>IF(MACROS!$AE52="","",MACROS!$AE52*391)</f>
        <v/>
      </c>
      <c r="AG52" s="78" t="str">
        <f>IF(AND(MACROS!$R52="",MACROS!$S52="",MACROS!$T52="",MACROS!$U52=""),"",AVERAGE(MACROS!$R52,MACROS!$S52,MACROS!$T52,MACROS!$U52))</f>
        <v/>
      </c>
      <c r="AH52" s="15">
        <f>1</f>
        <v>1</v>
      </c>
      <c r="AI52" s="79" t="str">
        <f>IF(OR(MACROS!$A52="",MACROS!$B52="",MACROS!$C52="",MACROS!$D52="",MACROS!$E52="",MACROS!$H52="",MACROS!$AG52="",MACROS!$AH52=""),"",((MACROS!$H52-MACROS!$AG52)*MACROS!$AH52*(1/10000)*(1/20.04)*MACROS!$D52*(1/MACROS!$C52)*MACROS!$E52*1000))</f>
        <v/>
      </c>
      <c r="AJ52" s="78" t="str">
        <f>IF(AND(MACROS!$V52="",MACROS!$W52="",MACROS!$X52="",MACROS!$Y52=""),"",AVERAGE(MACROS!$V52,MACROS!$W52,MACROS!$X52,MACROS!$Y52))</f>
        <v/>
      </c>
      <c r="AK52" s="15">
        <f>1</f>
        <v>1</v>
      </c>
      <c r="AL52" s="79" t="str">
        <f>IF(OR(MACROS!$A52="",MACROS!$B52="",MACROS!$C52="",MACROS!$D52="",MACROS!$E52="",MACROS!$I52="",MACROS!$AJ52="",MACROS!$AK52=""),"",((MACROS!$I52-MACROS!$AJ52)*MACROS!$AK52*(1/10000)*(1/12.1525)*MACROS!$D52*(1/MACROS!$C52)*MACROS!$E52*1000))</f>
        <v/>
      </c>
      <c r="AM52" s="79" t="str">
        <f>IF(OR(MACROS!$AE52="",MACROS!$AL52=""),"",MACROS!$AE52/MACROS!$AL52)</f>
        <v/>
      </c>
      <c r="AN52" s="79" t="str">
        <f>IF(OR(MACROS!$AI52="",MACROS!$AL52=""),"",MACROS!$AI52/MACROS!$AL52)</f>
        <v/>
      </c>
      <c r="AO52" s="20" t="str">
        <f>IF(MACROS!$A52="","",IF(ISNUMBER(VLOOKUP(MACROS!$A52,AC!A:J,10,FALSE)),VLOOKUP(MACROS!$A52,AC!A:J,10,FALSE),""))</f>
        <v/>
      </c>
      <c r="AP52" s="79" t="str">
        <f>IF(OR(MACROS!$AB52="",MACROS!$AE52="",MACROS!$AI52="",MACROS!$AL52="",MACROS!$AO52=""),"",SUM(MACROS!$AB52,MACROS!$AE52,MACROS!$AI52,MACROS!$AL52,MACROS!$AO52))</f>
        <v/>
      </c>
      <c r="AQ52" s="79" t="str">
        <f>IF(OR(MACROS!$AO52="",MACROS!$AP52=""),"",MACROS!$AO52/MACROS!$AP52*100)</f>
        <v/>
      </c>
      <c r="AR52" s="80" t="str">
        <f>IF(MACROS!$AQ52="","",IF(MACROS!$AW52+(MACROS!$AQ52-MACROS!$AU52)/(MACROS!$AV52-MACROS!$AU52)*(MACROS!$AX52-MACROS!$AW52)&gt;MAX(Interpolación!$C$2:$C$13),Interpolación!$C$13,CEILING(MACROS!$AW52+(MACROS!$AQ52-MACROS!$AU52)/(MACROS!$AV52-MACROS!$AU52)*(MACROS!$AX52-MACROS!$AW52),100)))</f>
        <v/>
      </c>
      <c r="AS52" s="80" t="str">
        <f>IF(MACROS!$AQ52="","",IF(ISNA(MATCH(MACROS!$AQ52,Interpolación!$B$2:$B$13,1)),Interpolación!$A$2,MIN(MATCH(MACROS!$AQ52,Interpolación!$B$2:$B$13,1),Interpolación!$A$13-1)))</f>
        <v/>
      </c>
      <c r="AT52" s="80" t="str">
        <f>IF(MACROS!$AS52="","",MACROS!$AS52+1)</f>
        <v/>
      </c>
      <c r="AU52" s="80" t="str">
        <f>IF(MACROS!$AS52="","",INDEX(Interpolación!$B$2:$B$13,MACROS!$AS52))</f>
        <v/>
      </c>
      <c r="AV52" s="80" t="str">
        <f>IF(MACROS!$AT52="","",INDEX(Interpolación!$B$2:$B$13,MACROS!$AT52))</f>
        <v/>
      </c>
      <c r="AW52" s="80" t="str">
        <f>IF(MACROS!$AS52="","",INDEX(Interpolación!$C$2:$C$13,MACROS!$AS52))</f>
        <v/>
      </c>
      <c r="AX52" s="80" t="str">
        <f>IF(MACROS!$AT52="","",INDEX(Interpolación!$C$2:$C$13,MACROS!$AT52))</f>
        <v/>
      </c>
    </row>
    <row r="53" spans="1:50" x14ac:dyDescent="0.25">
      <c r="A53" s="75" t="str">
        <f>IF('Pesada Macros'!A53="","",'Pesada Macros'!A53)</f>
        <v/>
      </c>
      <c r="B53" s="76" t="str">
        <f>IF('Pesada Macros'!B53="","",'Pesada Macros'!B53)</f>
        <v/>
      </c>
      <c r="C53" s="77" t="str">
        <f>IF('Pesada Macros'!C53="","",VALUE('Pesada Macros'!C53))</f>
        <v/>
      </c>
      <c r="D53" s="15">
        <f>50</f>
        <v>50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78" t="str">
        <f>IF(AND(MACROS!$J53="",MACROS!$K53="",MACROS!$L53="",MACROS!$M53=""),"",AVERAGE(MACROS!$J53,MACROS!$K53,MACROS!$L53,MACROS!$M53))</f>
        <v/>
      </c>
      <c r="AA53" s="15">
        <f>1</f>
        <v>1</v>
      </c>
      <c r="AB53" s="79" t="str">
        <f>IF(OR(MACROS!$A53="",MACROS!$B53="",MACROS!$C53="",MACROS!$D53="",MACROS!$E53="",MACROS!$F53="",MACROS!$Z53="",MACROS!$AA53=""),"",((MACROS!$F53-MACROS!$Z53)*MACROS!$AA53*(1/10000)*(1/22.99)*MACROS!$D53*(1/MACROS!$C53)*MACROS!$E53*1000))</f>
        <v/>
      </c>
      <c r="AC53" s="78" t="str">
        <f>IF(AND(MACROS!$N53="",MACROS!$O53="",MACROS!$P53="",MACROS!$Q53=""),"",AVERAGE(MACROS!$N53,MACROS!$O53,MACROS!$P53,MACROS!$Q53))</f>
        <v/>
      </c>
      <c r="AD53" s="15">
        <f>1</f>
        <v>1</v>
      </c>
      <c r="AE53" s="79" t="str">
        <f>IF(OR(MACROS!$A53="",MACROS!$B53="",MACROS!$C53="",MACROS!$D53="",MACROS!$E53="",MACROS!$G53="",MACROS!$AC53="",MACROS!$AD53=""),"",((MACROS!$G53-MACROS!$AC53)*MACROS!$AD53*(1/10000)*(1/39.098)*MACROS!$D53*(1/MACROS!$C53)*MACROS!$E53*1000))</f>
        <v/>
      </c>
      <c r="AF53" s="80" t="str">
        <f>IF(MACROS!$AE53="","",MACROS!$AE53*391)</f>
        <v/>
      </c>
      <c r="AG53" s="78" t="str">
        <f>IF(AND(MACROS!$R53="",MACROS!$S53="",MACROS!$T53="",MACROS!$U53=""),"",AVERAGE(MACROS!$R53,MACROS!$S53,MACROS!$T53,MACROS!$U53))</f>
        <v/>
      </c>
      <c r="AH53" s="15">
        <f>1</f>
        <v>1</v>
      </c>
      <c r="AI53" s="79" t="str">
        <f>IF(OR(MACROS!$A53="",MACROS!$B53="",MACROS!$C53="",MACROS!$D53="",MACROS!$E53="",MACROS!$H53="",MACROS!$AG53="",MACROS!$AH53=""),"",((MACROS!$H53-MACROS!$AG53)*MACROS!$AH53*(1/10000)*(1/20.04)*MACROS!$D53*(1/MACROS!$C53)*MACROS!$E53*1000))</f>
        <v/>
      </c>
      <c r="AJ53" s="78" t="str">
        <f>IF(AND(MACROS!$V53="",MACROS!$W53="",MACROS!$X53="",MACROS!$Y53=""),"",AVERAGE(MACROS!$V53,MACROS!$W53,MACROS!$X53,MACROS!$Y53))</f>
        <v/>
      </c>
      <c r="AK53" s="15">
        <f>1</f>
        <v>1</v>
      </c>
      <c r="AL53" s="79" t="str">
        <f>IF(OR(MACROS!$A53="",MACROS!$B53="",MACROS!$C53="",MACROS!$D53="",MACROS!$E53="",MACROS!$I53="",MACROS!$AJ53="",MACROS!$AK53=""),"",((MACROS!$I53-MACROS!$AJ53)*MACROS!$AK53*(1/10000)*(1/12.1525)*MACROS!$D53*(1/MACROS!$C53)*MACROS!$E53*1000))</f>
        <v/>
      </c>
      <c r="AM53" s="79" t="str">
        <f>IF(OR(MACROS!$AE53="",MACROS!$AL53=""),"",MACROS!$AE53/MACROS!$AL53)</f>
        <v/>
      </c>
      <c r="AN53" s="79" t="str">
        <f>IF(OR(MACROS!$AI53="",MACROS!$AL53=""),"",MACROS!$AI53/MACROS!$AL53)</f>
        <v/>
      </c>
      <c r="AO53" s="20" t="str">
        <f>IF(MACROS!$A53="","",IF(ISNUMBER(VLOOKUP(MACROS!$A53,AC!A:J,10,FALSE)),VLOOKUP(MACROS!$A53,AC!A:J,10,FALSE),""))</f>
        <v/>
      </c>
      <c r="AP53" s="79" t="str">
        <f>IF(OR(MACROS!$AB53="",MACROS!$AE53="",MACROS!$AI53="",MACROS!$AL53="",MACROS!$AO53=""),"",SUM(MACROS!$AB53,MACROS!$AE53,MACROS!$AI53,MACROS!$AL53,MACROS!$AO53))</f>
        <v/>
      </c>
      <c r="AQ53" s="79" t="str">
        <f>IF(OR(MACROS!$AO53="",MACROS!$AP53=""),"",MACROS!$AO53/MACROS!$AP53*100)</f>
        <v/>
      </c>
      <c r="AR53" s="80" t="str">
        <f>IF(MACROS!$AQ53="","",IF(MACROS!$AW53+(MACROS!$AQ53-MACROS!$AU53)/(MACROS!$AV53-MACROS!$AU53)*(MACROS!$AX53-MACROS!$AW53)&gt;MAX(Interpolación!$C$2:$C$13),Interpolación!$C$13,CEILING(MACROS!$AW53+(MACROS!$AQ53-MACROS!$AU53)/(MACROS!$AV53-MACROS!$AU53)*(MACROS!$AX53-MACROS!$AW53),100)))</f>
        <v/>
      </c>
      <c r="AS53" s="80" t="str">
        <f>IF(MACROS!$AQ53="","",IF(ISNA(MATCH(MACROS!$AQ53,Interpolación!$B$2:$B$13,1)),Interpolación!$A$2,MIN(MATCH(MACROS!$AQ53,Interpolación!$B$2:$B$13,1),Interpolación!$A$13-1)))</f>
        <v/>
      </c>
      <c r="AT53" s="80" t="str">
        <f>IF(MACROS!$AS53="","",MACROS!$AS53+1)</f>
        <v/>
      </c>
      <c r="AU53" s="80" t="str">
        <f>IF(MACROS!$AS53="","",INDEX(Interpolación!$B$2:$B$13,MACROS!$AS53))</f>
        <v/>
      </c>
      <c r="AV53" s="80" t="str">
        <f>IF(MACROS!$AT53="","",INDEX(Interpolación!$B$2:$B$13,MACROS!$AT53))</f>
        <v/>
      </c>
      <c r="AW53" s="80" t="str">
        <f>IF(MACROS!$AS53="","",INDEX(Interpolación!$C$2:$C$13,MACROS!$AS53))</f>
        <v/>
      </c>
      <c r="AX53" s="80" t="str">
        <f>IF(MACROS!$AT53="","",INDEX(Interpolación!$C$2:$C$13,MACROS!$AT53))</f>
        <v/>
      </c>
    </row>
    <row r="54" spans="1:50" x14ac:dyDescent="0.25">
      <c r="A54" s="75" t="str">
        <f>IF('Pesada Macros'!A54="","",'Pesada Macros'!A54)</f>
        <v/>
      </c>
      <c r="B54" s="76" t="str">
        <f>IF('Pesada Macros'!B54="","",'Pesada Macros'!B54)</f>
        <v/>
      </c>
      <c r="C54" s="77" t="str">
        <f>IF('Pesada Macros'!C54="","",VALUE('Pesada Macros'!C54))</f>
        <v/>
      </c>
      <c r="D54" s="15">
        <f>50</f>
        <v>50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78" t="str">
        <f>IF(AND(MACROS!$J54="",MACROS!$K54="",MACROS!$L54="",MACROS!$M54=""),"",AVERAGE(MACROS!$J54,MACROS!$K54,MACROS!$L54,MACROS!$M54))</f>
        <v/>
      </c>
      <c r="AA54" s="15">
        <f>1</f>
        <v>1</v>
      </c>
      <c r="AB54" s="79" t="str">
        <f>IF(OR(MACROS!$A54="",MACROS!$B54="",MACROS!$C54="",MACROS!$D54="",MACROS!$E54="",MACROS!$F54="",MACROS!$Z54="",MACROS!$AA54=""),"",((MACROS!$F54-MACROS!$Z54)*MACROS!$AA54*(1/10000)*(1/22.99)*MACROS!$D54*(1/MACROS!$C54)*MACROS!$E54*1000))</f>
        <v/>
      </c>
      <c r="AC54" s="78" t="str">
        <f>IF(AND(MACROS!$N54="",MACROS!$O54="",MACROS!$P54="",MACROS!$Q54=""),"",AVERAGE(MACROS!$N54,MACROS!$O54,MACROS!$P54,MACROS!$Q54))</f>
        <v/>
      </c>
      <c r="AD54" s="15">
        <f>1</f>
        <v>1</v>
      </c>
      <c r="AE54" s="79" t="str">
        <f>IF(OR(MACROS!$A54="",MACROS!$B54="",MACROS!$C54="",MACROS!$D54="",MACROS!$E54="",MACROS!$G54="",MACROS!$AC54="",MACROS!$AD54=""),"",((MACROS!$G54-MACROS!$AC54)*MACROS!$AD54*(1/10000)*(1/39.098)*MACROS!$D54*(1/MACROS!$C54)*MACROS!$E54*1000))</f>
        <v/>
      </c>
      <c r="AF54" s="80" t="str">
        <f>IF(MACROS!$AE54="","",MACROS!$AE54*391)</f>
        <v/>
      </c>
      <c r="AG54" s="78" t="str">
        <f>IF(AND(MACROS!$R54="",MACROS!$S54="",MACROS!$T54="",MACROS!$U54=""),"",AVERAGE(MACROS!$R54,MACROS!$S54,MACROS!$T54,MACROS!$U54))</f>
        <v/>
      </c>
      <c r="AH54" s="15">
        <f>1</f>
        <v>1</v>
      </c>
      <c r="AI54" s="79" t="str">
        <f>IF(OR(MACROS!$A54="",MACROS!$B54="",MACROS!$C54="",MACROS!$D54="",MACROS!$E54="",MACROS!$H54="",MACROS!$AG54="",MACROS!$AH54=""),"",((MACROS!$H54-MACROS!$AG54)*MACROS!$AH54*(1/10000)*(1/20.04)*MACROS!$D54*(1/MACROS!$C54)*MACROS!$E54*1000))</f>
        <v/>
      </c>
      <c r="AJ54" s="78" t="str">
        <f>IF(AND(MACROS!$V54="",MACROS!$W54="",MACROS!$X54="",MACROS!$Y54=""),"",AVERAGE(MACROS!$V54,MACROS!$W54,MACROS!$X54,MACROS!$Y54))</f>
        <v/>
      </c>
      <c r="AK54" s="15">
        <f>1</f>
        <v>1</v>
      </c>
      <c r="AL54" s="79" t="str">
        <f>IF(OR(MACROS!$A54="",MACROS!$B54="",MACROS!$C54="",MACROS!$D54="",MACROS!$E54="",MACROS!$I54="",MACROS!$AJ54="",MACROS!$AK54=""),"",((MACROS!$I54-MACROS!$AJ54)*MACROS!$AK54*(1/10000)*(1/12.1525)*MACROS!$D54*(1/MACROS!$C54)*MACROS!$E54*1000))</f>
        <v/>
      </c>
      <c r="AM54" s="79" t="str">
        <f>IF(OR(MACROS!$AE54="",MACROS!$AL54=""),"",MACROS!$AE54/MACROS!$AL54)</f>
        <v/>
      </c>
      <c r="AN54" s="79" t="str">
        <f>IF(OR(MACROS!$AI54="",MACROS!$AL54=""),"",MACROS!$AI54/MACROS!$AL54)</f>
        <v/>
      </c>
      <c r="AO54" s="20" t="str">
        <f>IF(MACROS!$A54="","",IF(ISNUMBER(VLOOKUP(MACROS!$A54,AC!A:J,10,FALSE)),VLOOKUP(MACROS!$A54,AC!A:J,10,FALSE),""))</f>
        <v/>
      </c>
      <c r="AP54" s="79" t="str">
        <f>IF(OR(MACROS!$AB54="",MACROS!$AE54="",MACROS!$AI54="",MACROS!$AL54="",MACROS!$AO54=""),"",SUM(MACROS!$AB54,MACROS!$AE54,MACROS!$AI54,MACROS!$AL54,MACROS!$AO54))</f>
        <v/>
      </c>
      <c r="AQ54" s="79" t="str">
        <f>IF(OR(MACROS!$AO54="",MACROS!$AP54=""),"",MACROS!$AO54/MACROS!$AP54*100)</f>
        <v/>
      </c>
      <c r="AR54" s="80" t="str">
        <f>IF(MACROS!$AQ54="","",IF(MACROS!$AW54+(MACROS!$AQ54-MACROS!$AU54)/(MACROS!$AV54-MACROS!$AU54)*(MACROS!$AX54-MACROS!$AW54)&gt;MAX(Interpolación!$C$2:$C$13),Interpolación!$C$13,CEILING(MACROS!$AW54+(MACROS!$AQ54-MACROS!$AU54)/(MACROS!$AV54-MACROS!$AU54)*(MACROS!$AX54-MACROS!$AW54),100)))</f>
        <v/>
      </c>
      <c r="AS54" s="80" t="str">
        <f>IF(MACROS!$AQ54="","",IF(ISNA(MATCH(MACROS!$AQ54,Interpolación!$B$2:$B$13,1)),Interpolación!$A$2,MIN(MATCH(MACROS!$AQ54,Interpolación!$B$2:$B$13,1),Interpolación!$A$13-1)))</f>
        <v/>
      </c>
      <c r="AT54" s="80" t="str">
        <f>IF(MACROS!$AS54="","",MACROS!$AS54+1)</f>
        <v/>
      </c>
      <c r="AU54" s="80" t="str">
        <f>IF(MACROS!$AS54="","",INDEX(Interpolación!$B$2:$B$13,MACROS!$AS54))</f>
        <v/>
      </c>
      <c r="AV54" s="80" t="str">
        <f>IF(MACROS!$AT54="","",INDEX(Interpolación!$B$2:$B$13,MACROS!$AT54))</f>
        <v/>
      </c>
      <c r="AW54" s="80" t="str">
        <f>IF(MACROS!$AS54="","",INDEX(Interpolación!$C$2:$C$13,MACROS!$AS54))</f>
        <v/>
      </c>
      <c r="AX54" s="80" t="str">
        <f>IF(MACROS!$AT54="","",INDEX(Interpolación!$C$2:$C$13,MACROS!$AT54))</f>
        <v/>
      </c>
    </row>
    <row r="55" spans="1:50" x14ac:dyDescent="0.25">
      <c r="A55" s="75" t="str">
        <f>IF('Pesada Macros'!A55="","",'Pesada Macros'!A55)</f>
        <v/>
      </c>
      <c r="B55" s="76" t="str">
        <f>IF('Pesada Macros'!B55="","",'Pesada Macros'!B55)</f>
        <v/>
      </c>
      <c r="C55" s="77" t="str">
        <f>IF('Pesada Macros'!C55="","",VALUE('Pesada Macros'!C55))</f>
        <v/>
      </c>
      <c r="D55" s="15">
        <f>50</f>
        <v>50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78" t="str">
        <f>IF(AND(MACROS!$J55="",MACROS!$K55="",MACROS!$L55="",MACROS!$M55=""),"",AVERAGE(MACROS!$J55,MACROS!$K55,MACROS!$L55,MACROS!$M55))</f>
        <v/>
      </c>
      <c r="AA55" s="15">
        <f>1</f>
        <v>1</v>
      </c>
      <c r="AB55" s="79" t="str">
        <f>IF(OR(MACROS!$A55="",MACROS!$B55="",MACROS!$C55="",MACROS!$D55="",MACROS!$E55="",MACROS!$F55="",MACROS!$Z55="",MACROS!$AA55=""),"",((MACROS!$F55-MACROS!$Z55)*MACROS!$AA55*(1/10000)*(1/22.99)*MACROS!$D55*(1/MACROS!$C55)*MACROS!$E55*1000))</f>
        <v/>
      </c>
      <c r="AC55" s="78" t="str">
        <f>IF(AND(MACROS!$N55="",MACROS!$O55="",MACROS!$P55="",MACROS!$Q55=""),"",AVERAGE(MACROS!$N55,MACROS!$O55,MACROS!$P55,MACROS!$Q55))</f>
        <v/>
      </c>
      <c r="AD55" s="15">
        <f>1</f>
        <v>1</v>
      </c>
      <c r="AE55" s="79" t="str">
        <f>IF(OR(MACROS!$A55="",MACROS!$B55="",MACROS!$C55="",MACROS!$D55="",MACROS!$E55="",MACROS!$G55="",MACROS!$AC55="",MACROS!$AD55=""),"",((MACROS!$G55-MACROS!$AC55)*MACROS!$AD55*(1/10000)*(1/39.098)*MACROS!$D55*(1/MACROS!$C55)*MACROS!$E55*1000))</f>
        <v/>
      </c>
      <c r="AF55" s="80" t="str">
        <f>IF(MACROS!$AE55="","",MACROS!$AE55*391)</f>
        <v/>
      </c>
      <c r="AG55" s="78" t="str">
        <f>IF(AND(MACROS!$R55="",MACROS!$S55="",MACROS!$T55="",MACROS!$U55=""),"",AVERAGE(MACROS!$R55,MACROS!$S55,MACROS!$T55,MACROS!$U55))</f>
        <v/>
      </c>
      <c r="AH55" s="15">
        <f>1</f>
        <v>1</v>
      </c>
      <c r="AI55" s="79" t="str">
        <f>IF(OR(MACROS!$A55="",MACROS!$B55="",MACROS!$C55="",MACROS!$D55="",MACROS!$E55="",MACROS!$H55="",MACROS!$AG55="",MACROS!$AH55=""),"",((MACROS!$H55-MACROS!$AG55)*MACROS!$AH55*(1/10000)*(1/20.04)*MACROS!$D55*(1/MACROS!$C55)*MACROS!$E55*1000))</f>
        <v/>
      </c>
      <c r="AJ55" s="78" t="str">
        <f>IF(AND(MACROS!$V55="",MACROS!$W55="",MACROS!$X55="",MACROS!$Y55=""),"",AVERAGE(MACROS!$V55,MACROS!$W55,MACROS!$X55,MACROS!$Y55))</f>
        <v/>
      </c>
      <c r="AK55" s="15">
        <f>1</f>
        <v>1</v>
      </c>
      <c r="AL55" s="79" t="str">
        <f>IF(OR(MACROS!$A55="",MACROS!$B55="",MACROS!$C55="",MACROS!$D55="",MACROS!$E55="",MACROS!$I55="",MACROS!$AJ55="",MACROS!$AK55=""),"",((MACROS!$I55-MACROS!$AJ55)*MACROS!$AK55*(1/10000)*(1/12.1525)*MACROS!$D55*(1/MACROS!$C55)*MACROS!$E55*1000))</f>
        <v/>
      </c>
      <c r="AM55" s="79" t="str">
        <f>IF(OR(MACROS!$AE55="",MACROS!$AL55=""),"",MACROS!$AE55/MACROS!$AL55)</f>
        <v/>
      </c>
      <c r="AN55" s="79" t="str">
        <f>IF(OR(MACROS!$AI55="",MACROS!$AL55=""),"",MACROS!$AI55/MACROS!$AL55)</f>
        <v/>
      </c>
      <c r="AO55" s="20" t="str">
        <f>IF(MACROS!$A55="","",IF(ISNUMBER(VLOOKUP(MACROS!$A55,AC!A:J,10,FALSE)),VLOOKUP(MACROS!$A55,AC!A:J,10,FALSE),""))</f>
        <v/>
      </c>
      <c r="AP55" s="79" t="str">
        <f>IF(OR(MACROS!$AB55="",MACROS!$AE55="",MACROS!$AI55="",MACROS!$AL55="",MACROS!$AO55=""),"",SUM(MACROS!$AB55,MACROS!$AE55,MACROS!$AI55,MACROS!$AL55,MACROS!$AO55))</f>
        <v/>
      </c>
      <c r="AQ55" s="79" t="str">
        <f>IF(OR(MACROS!$AO55="",MACROS!$AP55=""),"",MACROS!$AO55/MACROS!$AP55*100)</f>
        <v/>
      </c>
      <c r="AR55" s="80" t="str">
        <f>IF(MACROS!$AQ55="","",IF(MACROS!$AW55+(MACROS!$AQ55-MACROS!$AU55)/(MACROS!$AV55-MACROS!$AU55)*(MACROS!$AX55-MACROS!$AW55)&gt;MAX(Interpolación!$C$2:$C$13),Interpolación!$C$13,CEILING(MACROS!$AW55+(MACROS!$AQ55-MACROS!$AU55)/(MACROS!$AV55-MACROS!$AU55)*(MACROS!$AX55-MACROS!$AW55),100)))</f>
        <v/>
      </c>
      <c r="AS55" s="80" t="str">
        <f>IF(MACROS!$AQ55="","",IF(ISNA(MATCH(MACROS!$AQ55,Interpolación!$B$2:$B$13,1)),Interpolación!$A$2,MIN(MATCH(MACROS!$AQ55,Interpolación!$B$2:$B$13,1),Interpolación!$A$13-1)))</f>
        <v/>
      </c>
      <c r="AT55" s="80" t="str">
        <f>IF(MACROS!$AS55="","",MACROS!$AS55+1)</f>
        <v/>
      </c>
      <c r="AU55" s="80" t="str">
        <f>IF(MACROS!$AS55="","",INDEX(Interpolación!$B$2:$B$13,MACROS!$AS55))</f>
        <v/>
      </c>
      <c r="AV55" s="80" t="str">
        <f>IF(MACROS!$AT55="","",INDEX(Interpolación!$B$2:$B$13,MACROS!$AT55))</f>
        <v/>
      </c>
      <c r="AW55" s="80" t="str">
        <f>IF(MACROS!$AS55="","",INDEX(Interpolación!$C$2:$C$13,MACROS!$AS55))</f>
        <v/>
      </c>
      <c r="AX55" s="80" t="str">
        <f>IF(MACROS!$AT55="","",INDEX(Interpolación!$C$2:$C$13,MACROS!$AT55))</f>
        <v/>
      </c>
    </row>
  </sheetData>
  <sheetProtection password="D1D1" sheet="1" objects="1" scenarios="1" formatCells="0" formatColumns="0" formatRows="0"/>
  <customSheetViews>
    <customSheetView guid="{23BAAECA-5738-454B-9A9E-D5E66963DE16}">
      <selection activeCell="A2" sqref="A2"/>
      <colBreaks count="5" manualBreakCount="5">
        <brk id="9" max="54" man="1"/>
        <brk id="17" max="54" man="1"/>
        <brk id="25" max="54" man="1"/>
        <brk id="32" max="54" man="1"/>
        <brk id="38" max="54" man="1"/>
      </colBreaks>
      <pageMargins left="0.70866141732283472" right="0.70866141732283472" top="0.74803149606299213" bottom="0.74803149606299213" header="0.31496062992125984" footer="0.31496062992125984"/>
      <pageSetup paperSize="9" scale="85" orientation="portrait" horizontalDpi="300" verticalDpi="300" r:id="rId1"/>
      <headerFooter>
        <oddHeader>&amp;L&amp;"-,Negrita"&amp;24LAFIGA&amp;C&amp;"-,Negrita"Hoja de cálculo del Complejo de cambio&amp;RPágina &amp;P de &amp;N
&amp;D</oddHeader>
      </headerFooter>
    </customSheetView>
  </customSheetViews>
  <conditionalFormatting sqref="AB2:AB55">
    <cfRule type="expression" dxfId="7" priority="6">
      <formula>IF(A2=MATCH("R-"&amp;A2,$A$2:$A$55,0),FALSE,TRUE)</formula>
    </cfRule>
  </conditionalFormatting>
  <conditionalFormatting sqref="AE2:AE55">
    <cfRule type="expression" dxfId="6" priority="5">
      <formula>IF(A2=MATCH("R-"&amp;A2,$A$2:$A$55,0),FALSE,TRUE)</formula>
    </cfRule>
  </conditionalFormatting>
  <conditionalFormatting sqref="AF2:AF55">
    <cfRule type="expression" dxfId="5" priority="4">
      <formula>IF(A2=MATCH("R-"&amp;A2,$A$2:$A$55,0),FALSE,TRUE)</formula>
    </cfRule>
  </conditionalFormatting>
  <conditionalFormatting sqref="AI2:AI55">
    <cfRule type="expression" dxfId="4" priority="3">
      <formula>IF(A2=MATCH("R-"&amp;A2,$A$2:$A$55,0),FALSE,TRUE)</formula>
    </cfRule>
  </conditionalFormatting>
  <conditionalFormatting sqref="AL2:AL55">
    <cfRule type="expression" dxfId="3" priority="2">
      <formula>IF(A2=MATCH("R-"&amp;A2,$A$2:$A$55,0),FALSE,TRUE)</formula>
    </cfRule>
  </conditionalFormatting>
  <conditionalFormatting sqref="A2:A55">
    <cfRule type="expression" dxfId="2" priority="1">
      <formula>IF(A2=MATCH("R-"&amp;A2,$A$2:$A$55,0),FALSE,TRUE)</formula>
    </cfRule>
  </conditionalFormatting>
  <pageMargins left="0.70866141732283472" right="0.70866141732283472" top="0.74803149606299213" bottom="0.74803149606299213" header="0.31496062992125984" footer="0.31496062992125984"/>
  <pageSetup paperSize="9" scale="85" orientation="portrait" horizontalDpi="300" verticalDpi="300" r:id="rId2"/>
  <headerFooter>
    <oddHeader>&amp;L&amp;"-,Negrita"&amp;24LAFIGA&amp;C&amp;"-,Negrita"Hoja de cálculo del Complejo de cambio&amp;RPágina &amp;P de &amp;N
&amp;D</oddHeader>
  </headerFooter>
  <colBreaks count="5" manualBreakCount="5">
    <brk id="9" max="54" man="1"/>
    <brk id="17" max="54" man="1"/>
    <brk id="25" max="54" man="1"/>
    <brk id="32" max="54" man="1"/>
    <brk id="38" max="5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9538D-8ED5-46AA-9A8D-EBD75AAC9754}">
  <sheetPr codeName="Hoja4"/>
  <dimension ref="A1:C13"/>
  <sheetViews>
    <sheetView workbookViewId="0">
      <selection activeCell="A2" sqref="A2"/>
    </sheetView>
  </sheetViews>
  <sheetFormatPr baseColWidth="10" defaultRowHeight="15" x14ac:dyDescent="0.25"/>
  <sheetData>
    <row r="1" spans="1:3" x14ac:dyDescent="0.25">
      <c r="A1" s="86" t="s">
        <v>100</v>
      </c>
      <c r="B1" s="87" t="s">
        <v>96</v>
      </c>
      <c r="C1" s="88" t="s">
        <v>98</v>
      </c>
    </row>
    <row r="2" spans="1:3" x14ac:dyDescent="0.25">
      <c r="A2" s="89">
        <v>1</v>
      </c>
      <c r="B2" s="90">
        <v>5</v>
      </c>
      <c r="C2" s="91">
        <v>500</v>
      </c>
    </row>
    <row r="3" spans="1:3" x14ac:dyDescent="0.25">
      <c r="A3" s="92">
        <v>2</v>
      </c>
      <c r="B3" s="93">
        <v>10</v>
      </c>
      <c r="C3" s="94">
        <v>1000</v>
      </c>
    </row>
    <row r="4" spans="1:3" x14ac:dyDescent="0.25">
      <c r="A4" s="89">
        <v>3</v>
      </c>
      <c r="B4" s="90">
        <v>15</v>
      </c>
      <c r="C4" s="91">
        <v>1200</v>
      </c>
    </row>
    <row r="5" spans="1:3" x14ac:dyDescent="0.25">
      <c r="A5" s="92">
        <v>4</v>
      </c>
      <c r="B5" s="93">
        <v>20</v>
      </c>
      <c r="C5" s="94">
        <v>1400</v>
      </c>
    </row>
    <row r="6" spans="1:3" x14ac:dyDescent="0.25">
      <c r="A6" s="89">
        <v>5</v>
      </c>
      <c r="B6" s="90">
        <v>25</v>
      </c>
      <c r="C6" s="91">
        <v>1800</v>
      </c>
    </row>
    <row r="7" spans="1:3" x14ac:dyDescent="0.25">
      <c r="A7" s="92">
        <v>6</v>
      </c>
      <c r="B7" s="93">
        <v>30</v>
      </c>
      <c r="C7" s="94">
        <v>2200</v>
      </c>
    </row>
    <row r="8" spans="1:3" x14ac:dyDescent="0.25">
      <c r="A8" s="89">
        <v>7</v>
      </c>
      <c r="B8" s="90">
        <v>35</v>
      </c>
      <c r="C8" s="91">
        <v>2600</v>
      </c>
    </row>
    <row r="9" spans="1:3" x14ac:dyDescent="0.25">
      <c r="A9" s="92">
        <v>8</v>
      </c>
      <c r="B9" s="93">
        <v>40</v>
      </c>
      <c r="C9" s="94">
        <v>3000</v>
      </c>
    </row>
    <row r="10" spans="1:3" x14ac:dyDescent="0.25">
      <c r="A10" s="89">
        <v>9</v>
      </c>
      <c r="B10" s="90">
        <v>45</v>
      </c>
      <c r="C10" s="91">
        <v>3400</v>
      </c>
    </row>
    <row r="11" spans="1:3" x14ac:dyDescent="0.25">
      <c r="A11" s="92">
        <v>10</v>
      </c>
      <c r="B11" s="93">
        <v>50</v>
      </c>
      <c r="C11" s="94">
        <v>3800</v>
      </c>
    </row>
    <row r="12" spans="1:3" x14ac:dyDescent="0.25">
      <c r="A12" s="89">
        <v>11</v>
      </c>
      <c r="B12" s="90">
        <v>55</v>
      </c>
      <c r="C12" s="91">
        <v>4200</v>
      </c>
    </row>
    <row r="13" spans="1:3" x14ac:dyDescent="0.25">
      <c r="A13" s="95">
        <v>12</v>
      </c>
      <c r="B13" s="96">
        <v>60</v>
      </c>
      <c r="C13" s="97">
        <v>4600</v>
      </c>
    </row>
  </sheetData>
  <customSheetViews>
    <customSheetView guid="{23BAAECA-5738-454B-9A9E-D5E66963DE16}">
      <selection activeCell="A2" sqref="A2"/>
      <pageMargins left="0.7" right="0.7" top="0.75" bottom="0.75" header="0.3" footer="0.3"/>
    </customSheetView>
  </customSheetViews>
  <conditionalFormatting sqref="B2:B13">
    <cfRule type="cellIs" dxfId="1" priority="1" stopIfTrue="1" operator="equal">
      <formula>INDEX($C$5:$C$10,#REF!)</formula>
    </cfRule>
    <cfRule type="cellIs" dxfId="0" priority="2" stopIfTrue="1" operator="equal">
      <formula>INDEX($C$5:$C$10,#REF!)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B621-5D45-48A8-BBDE-56849F6CF7D2}">
  <sheetPr codeName="Hoja5"/>
  <dimension ref="A1:G6"/>
  <sheetViews>
    <sheetView workbookViewId="0">
      <selection activeCell="A2" sqref="A2"/>
    </sheetView>
  </sheetViews>
  <sheetFormatPr baseColWidth="10" defaultRowHeight="15" x14ac:dyDescent="0.25"/>
  <cols>
    <col min="5" max="5" width="20" bestFit="1" customWidth="1"/>
    <col min="6" max="6" width="21.5703125" bestFit="1" customWidth="1"/>
    <col min="7" max="7" width="32.5703125" bestFit="1" customWidth="1"/>
  </cols>
  <sheetData>
    <row r="1" spans="1:7" x14ac:dyDescent="0.25">
      <c r="A1" s="144" t="s">
        <v>101</v>
      </c>
      <c r="B1" s="144"/>
      <c r="E1" s="98" t="s">
        <v>102</v>
      </c>
      <c r="F1" s="99" t="s">
        <v>103</v>
      </c>
      <c r="G1" s="98" t="s">
        <v>104</v>
      </c>
    </row>
    <row r="2" spans="1:7" x14ac:dyDescent="0.25">
      <c r="A2" s="100" t="s">
        <v>105</v>
      </c>
      <c r="B2" s="101">
        <v>3</v>
      </c>
      <c r="E2" s="102">
        <v>6.3799999999999996E-2</v>
      </c>
      <c r="F2" s="103">
        <v>0.1</v>
      </c>
      <c r="G2" s="102">
        <v>0.01</v>
      </c>
    </row>
    <row r="3" spans="1:7" x14ac:dyDescent="0.25">
      <c r="A3" s="100" t="s">
        <v>106</v>
      </c>
      <c r="B3" s="101">
        <v>9600</v>
      </c>
      <c r="G3" s="98" t="s">
        <v>107</v>
      </c>
    </row>
    <row r="4" spans="1:7" x14ac:dyDescent="0.25">
      <c r="A4" s="100" t="s">
        <v>108</v>
      </c>
      <c r="B4" s="101" t="s">
        <v>109</v>
      </c>
      <c r="G4" s="102">
        <v>10</v>
      </c>
    </row>
    <row r="5" spans="1:7" x14ac:dyDescent="0.25">
      <c r="A5" s="100" t="s">
        <v>110</v>
      </c>
      <c r="B5" s="101">
        <v>8</v>
      </c>
    </row>
    <row r="6" spans="1:7" x14ac:dyDescent="0.25">
      <c r="A6" s="100" t="s">
        <v>111</v>
      </c>
      <c r="B6" s="101">
        <v>1</v>
      </c>
    </row>
  </sheetData>
  <sheetProtection password="D1D1" sheet="1" objects="1" scenarios="1" formatCells="0" formatColumns="0" formatRows="0"/>
  <customSheetViews>
    <customSheetView guid="{23BAAECA-5738-454B-9A9E-D5E66963DE16}">
      <selection activeCell="A2" sqref="A2"/>
      <pageMargins left="0.7" right="0.7" top="0.75" bottom="0.75" header="0.3" footer="0.3"/>
      <pageSetup paperSize="9" orientation="portrait" r:id="rId1"/>
    </customSheetView>
  </customSheetViews>
  <mergeCells count="1">
    <mergeCell ref="A1:B1"/>
  </mergeCells>
  <dataValidations count="3">
    <dataValidation type="list" allowBlank="1" showInputMessage="1" showErrorMessage="1" sqref="B3" xr:uid="{85F09F46-2560-4BE6-B2C0-B1AA75537FAC}">
      <formula1>"1200,2400,4800,9600,19200,38400"</formula1>
    </dataValidation>
    <dataValidation type="list" allowBlank="1" showInputMessage="1" showErrorMessage="1" sqref="B2" xr:uid="{F78CBAF4-B825-4459-B576-A596471CF0DB}">
      <formula1>"1,2,3,4,5"</formula1>
    </dataValidation>
    <dataValidation type="list" allowBlank="1" showInputMessage="1" showErrorMessage="1" sqref="B4" xr:uid="{10D029D8-7265-4D92-A516-EEB36EC28EFA}">
      <formula1>"N,O,E"</formula1>
    </dataValidation>
  </dataValidation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18B7-53D8-4612-B5D9-D542B5EB8722}">
  <sheetPr codeName="Hoja6"/>
  <dimension ref="A1:H55"/>
  <sheetViews>
    <sheetView zoomScaleNormal="100" workbookViewId="0">
      <selection activeCell="A2" sqref="A2"/>
    </sheetView>
  </sheetViews>
  <sheetFormatPr baseColWidth="10" defaultRowHeight="15" x14ac:dyDescent="0.25"/>
  <cols>
    <col min="1" max="1" width="17.7109375" bestFit="1" customWidth="1"/>
    <col min="2" max="2" width="14.85546875" bestFit="1" customWidth="1"/>
    <col min="3" max="3" width="11.7109375" customWidth="1"/>
    <col min="6" max="6" width="17.85546875" bestFit="1" customWidth="1"/>
    <col min="7" max="7" width="5.7109375" bestFit="1" customWidth="1"/>
    <col min="8" max="8" width="29.7109375" bestFit="1" customWidth="1"/>
  </cols>
  <sheetData>
    <row r="1" spans="1:8" ht="45" x14ac:dyDescent="0.25">
      <c r="A1" s="104" t="s">
        <v>112</v>
      </c>
      <c r="B1" s="104" t="s">
        <v>113</v>
      </c>
      <c r="C1" s="105" t="s">
        <v>114</v>
      </c>
    </row>
    <row r="2" spans="1:8" x14ac:dyDescent="0.25">
      <c r="A2" s="106" t="str">
        <f>IF(MACROS!A2="","",MACROS!A2)</f>
        <v/>
      </c>
      <c r="B2" s="106" t="str">
        <f>IF(MACROS!AF2="","",MACROS!AF2)</f>
        <v/>
      </c>
      <c r="C2" s="107" t="str">
        <f>IF(B2="","",INDEX($G$14:$H$21,MATCH(B2,$G$14:$G$21,1),2))</f>
        <v/>
      </c>
    </row>
    <row r="3" spans="1:8" x14ac:dyDescent="0.25">
      <c r="A3" s="106" t="str">
        <f>IF(MACROS!A3="","",MACROS!A3)</f>
        <v/>
      </c>
      <c r="B3" s="106" t="str">
        <f>IF(MACROS!AF3="","",MACROS!AF3)</f>
        <v/>
      </c>
      <c r="C3" s="107" t="str">
        <f t="shared" ref="C3:C55" si="0">IF(B3="","",INDEX($G$14:$H$21,MATCH(B3,$G$14:$G$21,1),2))</f>
        <v/>
      </c>
    </row>
    <row r="4" spans="1:8" x14ac:dyDescent="0.25">
      <c r="A4" s="106" t="str">
        <f>IF(MACROS!A4="","",MACROS!A4)</f>
        <v/>
      </c>
      <c r="B4" s="106" t="str">
        <f>IF(MACROS!AF4="","",MACROS!AF4)</f>
        <v/>
      </c>
      <c r="C4" s="107" t="str">
        <f t="shared" si="0"/>
        <v/>
      </c>
    </row>
    <row r="5" spans="1:8" x14ac:dyDescent="0.25">
      <c r="A5" s="106" t="str">
        <f>IF(MACROS!A5="","",MACROS!A5)</f>
        <v/>
      </c>
      <c r="B5" s="106" t="str">
        <f>IF(MACROS!AF5="","",MACROS!AF5)</f>
        <v/>
      </c>
      <c r="C5" s="107" t="str">
        <f t="shared" si="0"/>
        <v/>
      </c>
    </row>
    <row r="6" spans="1:8" x14ac:dyDescent="0.25">
      <c r="A6" s="106" t="str">
        <f>IF(MACROS!A6="","",MACROS!A6)</f>
        <v/>
      </c>
      <c r="B6" s="106" t="str">
        <f>IF(MACROS!AF6="","",MACROS!AF6)</f>
        <v/>
      </c>
      <c r="C6" s="107" t="str">
        <f t="shared" si="0"/>
        <v/>
      </c>
    </row>
    <row r="7" spans="1:8" x14ac:dyDescent="0.25">
      <c r="A7" s="106" t="str">
        <f>IF(MACROS!A7="","",MACROS!A7)</f>
        <v/>
      </c>
      <c r="B7" s="106" t="str">
        <f>IF(MACROS!AF7="","",MACROS!AF7)</f>
        <v/>
      </c>
      <c r="C7" s="107" t="str">
        <f t="shared" si="0"/>
        <v/>
      </c>
    </row>
    <row r="8" spans="1:8" x14ac:dyDescent="0.25">
      <c r="A8" s="106" t="str">
        <f>IF(MACROS!A8="","",MACROS!A8)</f>
        <v/>
      </c>
      <c r="B8" s="106" t="str">
        <f>IF(MACROS!AF8="","",MACROS!AF8)</f>
        <v/>
      </c>
      <c r="C8" s="107" t="str">
        <f t="shared" si="0"/>
        <v/>
      </c>
    </row>
    <row r="9" spans="1:8" x14ac:dyDescent="0.25">
      <c r="A9" s="106" t="str">
        <f>IF(MACROS!A9="","",MACROS!A9)</f>
        <v/>
      </c>
      <c r="B9" s="106" t="str">
        <f>IF(MACROS!AF9="","",MACROS!AF9)</f>
        <v/>
      </c>
      <c r="C9" s="107" t="str">
        <f t="shared" si="0"/>
        <v/>
      </c>
    </row>
    <row r="10" spans="1:8" x14ac:dyDescent="0.25">
      <c r="A10" s="106" t="str">
        <f>IF(MACROS!A10="","",MACROS!A10)</f>
        <v/>
      </c>
      <c r="B10" s="106" t="str">
        <f>IF(MACROS!AF10="","",MACROS!AF10)</f>
        <v/>
      </c>
      <c r="C10" s="107" t="str">
        <f t="shared" si="0"/>
        <v/>
      </c>
    </row>
    <row r="11" spans="1:8" x14ac:dyDescent="0.25">
      <c r="A11" s="106" t="str">
        <f>IF(MACROS!A11="","",MACROS!A11)</f>
        <v/>
      </c>
      <c r="B11" s="106" t="str">
        <f>IF(MACROS!AF11="","",MACROS!AF11)</f>
        <v/>
      </c>
      <c r="C11" s="107" t="str">
        <f t="shared" si="0"/>
        <v/>
      </c>
    </row>
    <row r="12" spans="1:8" x14ac:dyDescent="0.25">
      <c r="A12" s="106" t="str">
        <f>IF(MACROS!A12="","",MACROS!A12)</f>
        <v/>
      </c>
      <c r="B12" s="106" t="str">
        <f>IF(MACROS!AF12="","",MACROS!AF12)</f>
        <v/>
      </c>
      <c r="C12" s="107" t="str">
        <f t="shared" si="0"/>
        <v/>
      </c>
    </row>
    <row r="13" spans="1:8" x14ac:dyDescent="0.25">
      <c r="A13" s="106" t="str">
        <f>IF(MACROS!A13="","",MACROS!A13)</f>
        <v/>
      </c>
      <c r="B13" s="106" t="str">
        <f>IF(MACROS!AF13="","",MACROS!AF13)</f>
        <v/>
      </c>
      <c r="C13" s="107" t="str">
        <f t="shared" si="0"/>
        <v/>
      </c>
      <c r="F13" s="108" t="s">
        <v>115</v>
      </c>
      <c r="G13" s="108" t="s">
        <v>116</v>
      </c>
      <c r="H13" s="108" t="s">
        <v>117</v>
      </c>
    </row>
    <row r="14" spans="1:8" x14ac:dyDescent="0.25">
      <c r="A14" s="106" t="str">
        <f>IF(MACROS!A14="","",MACROS!A14)</f>
        <v/>
      </c>
      <c r="B14" s="106" t="str">
        <f>IF(MACROS!AF14="","",MACROS!AF14)</f>
        <v/>
      </c>
      <c r="C14" s="107" t="str">
        <f t="shared" si="0"/>
        <v/>
      </c>
      <c r="F14" s="109" t="s">
        <v>118</v>
      </c>
      <c r="G14" s="110">
        <v>0</v>
      </c>
      <c r="H14" s="111">
        <v>460</v>
      </c>
    </row>
    <row r="15" spans="1:8" x14ac:dyDescent="0.25">
      <c r="A15" s="106" t="str">
        <f>IF(MACROS!A15="","",MACROS!A15)</f>
        <v/>
      </c>
      <c r="B15" s="106" t="str">
        <f>IF(MACROS!AF15="","",MACROS!AF15)</f>
        <v/>
      </c>
      <c r="C15" s="107" t="str">
        <f t="shared" si="0"/>
        <v/>
      </c>
      <c r="F15" s="109" t="s">
        <v>119</v>
      </c>
      <c r="G15" s="110">
        <v>21</v>
      </c>
      <c r="H15" s="111">
        <v>380</v>
      </c>
    </row>
    <row r="16" spans="1:8" x14ac:dyDescent="0.25">
      <c r="A16" s="106" t="str">
        <f>IF(MACROS!A16="","",MACROS!A16)</f>
        <v/>
      </c>
      <c r="B16" s="106" t="str">
        <f>IF(MACROS!AF16="","",MACROS!AF16)</f>
        <v/>
      </c>
      <c r="C16" s="107" t="str">
        <f t="shared" si="0"/>
        <v/>
      </c>
      <c r="F16" s="109" t="s">
        <v>120</v>
      </c>
      <c r="G16" s="110">
        <v>41</v>
      </c>
      <c r="H16" s="111">
        <v>300</v>
      </c>
    </row>
    <row r="17" spans="1:8" x14ac:dyDescent="0.25">
      <c r="A17" s="106" t="str">
        <f>IF(MACROS!A17="","",MACROS!A17)</f>
        <v/>
      </c>
      <c r="B17" s="106" t="str">
        <f>IF(MACROS!AF17="","",MACROS!AF17)</f>
        <v/>
      </c>
      <c r="C17" s="107" t="str">
        <f t="shared" si="0"/>
        <v/>
      </c>
      <c r="F17" s="109" t="s">
        <v>121</v>
      </c>
      <c r="G17" s="110">
        <v>61</v>
      </c>
      <c r="H17" s="111">
        <v>220</v>
      </c>
    </row>
    <row r="18" spans="1:8" x14ac:dyDescent="0.25">
      <c r="A18" s="106" t="str">
        <f>IF(MACROS!A18="","",MACROS!A18)</f>
        <v/>
      </c>
      <c r="B18" s="106" t="str">
        <f>IF(MACROS!AF18="","",MACROS!AF18)</f>
        <v/>
      </c>
      <c r="C18" s="107" t="str">
        <f t="shared" si="0"/>
        <v/>
      </c>
      <c r="F18" s="109" t="s">
        <v>122</v>
      </c>
      <c r="G18" s="110">
        <v>81</v>
      </c>
      <c r="H18" s="111">
        <v>140</v>
      </c>
    </row>
    <row r="19" spans="1:8" x14ac:dyDescent="0.25">
      <c r="A19" s="106" t="str">
        <f>IF(MACROS!A19="","",MACROS!A19)</f>
        <v/>
      </c>
      <c r="B19" s="106" t="str">
        <f>IF(MACROS!AF19="","",MACROS!AF19)</f>
        <v/>
      </c>
      <c r="C19" s="107" t="str">
        <f t="shared" si="0"/>
        <v/>
      </c>
      <c r="F19" s="109" t="s">
        <v>123</v>
      </c>
      <c r="G19" s="110">
        <v>101</v>
      </c>
      <c r="H19" s="111">
        <v>70</v>
      </c>
    </row>
    <row r="20" spans="1:8" x14ac:dyDescent="0.25">
      <c r="A20" s="106" t="str">
        <f>IF(MACROS!A20="","",MACROS!A20)</f>
        <v/>
      </c>
      <c r="B20" s="106" t="str">
        <f>IF(MACROS!AF20="","",MACROS!AF20)</f>
        <v/>
      </c>
      <c r="C20" s="107" t="str">
        <f t="shared" si="0"/>
        <v/>
      </c>
      <c r="F20" s="106" t="s">
        <v>124</v>
      </c>
      <c r="G20" s="106">
        <v>116</v>
      </c>
      <c r="H20" s="106">
        <v>40</v>
      </c>
    </row>
    <row r="21" spans="1:8" x14ac:dyDescent="0.25">
      <c r="A21" s="106" t="str">
        <f>IF(MACROS!A21="","",MACROS!A21)</f>
        <v/>
      </c>
      <c r="B21" s="106" t="str">
        <f>IF(MACROS!AF21="","",MACROS!AF21)</f>
        <v/>
      </c>
      <c r="C21" s="107" t="str">
        <f t="shared" si="0"/>
        <v/>
      </c>
      <c r="F21" s="106" t="s">
        <v>125</v>
      </c>
      <c r="G21" s="106">
        <v>126</v>
      </c>
      <c r="H21" s="106">
        <v>0</v>
      </c>
    </row>
    <row r="22" spans="1:8" x14ac:dyDescent="0.25">
      <c r="A22" s="106" t="str">
        <f>IF(MACROS!A22="","",MACROS!A22)</f>
        <v/>
      </c>
      <c r="B22" s="106" t="str">
        <f>IF(MACROS!AF22="","",MACROS!AF22)</f>
        <v/>
      </c>
      <c r="C22" s="107" t="str">
        <f t="shared" si="0"/>
        <v/>
      </c>
    </row>
    <row r="23" spans="1:8" x14ac:dyDescent="0.25">
      <c r="A23" s="106" t="str">
        <f>IF(MACROS!A23="","",MACROS!A23)</f>
        <v/>
      </c>
      <c r="B23" s="106" t="str">
        <f>IF(MACROS!AF23="","",MACROS!AF23)</f>
        <v/>
      </c>
      <c r="C23" s="107" t="str">
        <f t="shared" si="0"/>
        <v/>
      </c>
    </row>
    <row r="24" spans="1:8" x14ac:dyDescent="0.25">
      <c r="A24" s="106" t="str">
        <f>IF(MACROS!A24="","",MACROS!A24)</f>
        <v/>
      </c>
      <c r="B24" s="106" t="str">
        <f>IF(MACROS!AF24="","",MACROS!AF24)</f>
        <v/>
      </c>
      <c r="C24" s="107" t="str">
        <f t="shared" si="0"/>
        <v/>
      </c>
    </row>
    <row r="25" spans="1:8" x14ac:dyDescent="0.25">
      <c r="A25" s="106" t="str">
        <f>IF(MACROS!A25="","",MACROS!A25)</f>
        <v/>
      </c>
      <c r="B25" s="106" t="str">
        <f>IF(MACROS!AF25="","",MACROS!AF25)</f>
        <v/>
      </c>
      <c r="C25" s="107" t="str">
        <f t="shared" si="0"/>
        <v/>
      </c>
    </row>
    <row r="26" spans="1:8" x14ac:dyDescent="0.25">
      <c r="A26" s="106" t="str">
        <f>IF(MACROS!A26="","",MACROS!A26)</f>
        <v/>
      </c>
      <c r="B26" s="106" t="str">
        <f>IF(MACROS!AF26="","",MACROS!AF26)</f>
        <v/>
      </c>
      <c r="C26" s="107" t="str">
        <f t="shared" si="0"/>
        <v/>
      </c>
    </row>
    <row r="27" spans="1:8" x14ac:dyDescent="0.25">
      <c r="A27" s="106" t="str">
        <f>IF(MACROS!A27="","",MACROS!A27)</f>
        <v/>
      </c>
      <c r="B27" s="106" t="str">
        <f>IF(MACROS!AF27="","",MACROS!AF27)</f>
        <v/>
      </c>
      <c r="C27" s="107" t="str">
        <f t="shared" si="0"/>
        <v/>
      </c>
    </row>
    <row r="28" spans="1:8" x14ac:dyDescent="0.25">
      <c r="A28" s="106" t="str">
        <f>IF(MACROS!A28="","",MACROS!A28)</f>
        <v/>
      </c>
      <c r="B28" s="106" t="str">
        <f>IF(MACROS!AF28="","",MACROS!AF28)</f>
        <v/>
      </c>
      <c r="C28" s="107" t="str">
        <f t="shared" si="0"/>
        <v/>
      </c>
    </row>
    <row r="29" spans="1:8" x14ac:dyDescent="0.25">
      <c r="A29" s="106" t="str">
        <f>IF(MACROS!A29="","",MACROS!A29)</f>
        <v/>
      </c>
      <c r="B29" s="106" t="str">
        <f>IF(MACROS!AF29="","",MACROS!AF29)</f>
        <v/>
      </c>
      <c r="C29" s="107" t="str">
        <f t="shared" si="0"/>
        <v/>
      </c>
    </row>
    <row r="30" spans="1:8" x14ac:dyDescent="0.25">
      <c r="A30" s="106" t="str">
        <f>IF(MACROS!A30="","",MACROS!A30)</f>
        <v/>
      </c>
      <c r="B30" s="106" t="str">
        <f>IF(MACROS!AF30="","",MACROS!AF30)</f>
        <v/>
      </c>
      <c r="C30" s="107" t="str">
        <f t="shared" si="0"/>
        <v/>
      </c>
    </row>
    <row r="31" spans="1:8" x14ac:dyDescent="0.25">
      <c r="A31" s="106" t="str">
        <f>IF(MACROS!A31="","",MACROS!A31)</f>
        <v/>
      </c>
      <c r="B31" s="106" t="str">
        <f>IF(MACROS!AF31="","",MACROS!AF31)</f>
        <v/>
      </c>
      <c r="C31" s="107" t="str">
        <f t="shared" si="0"/>
        <v/>
      </c>
    </row>
    <row r="32" spans="1:8" x14ac:dyDescent="0.25">
      <c r="A32" s="106" t="str">
        <f>IF(MACROS!A32="","",MACROS!A32)</f>
        <v/>
      </c>
      <c r="B32" s="106" t="str">
        <f>IF(MACROS!AF32="","",MACROS!AF32)</f>
        <v/>
      </c>
      <c r="C32" s="107" t="str">
        <f t="shared" si="0"/>
        <v/>
      </c>
    </row>
    <row r="33" spans="1:3" x14ac:dyDescent="0.25">
      <c r="A33" s="106" t="str">
        <f>IF(MACROS!A33="","",MACROS!A33)</f>
        <v/>
      </c>
      <c r="B33" s="106" t="str">
        <f>IF(MACROS!AF33="","",MACROS!AF33)</f>
        <v/>
      </c>
      <c r="C33" s="107" t="str">
        <f t="shared" si="0"/>
        <v/>
      </c>
    </row>
    <row r="34" spans="1:3" x14ac:dyDescent="0.25">
      <c r="A34" s="106" t="str">
        <f>IF(MACROS!A34="","",MACROS!A34)</f>
        <v/>
      </c>
      <c r="B34" s="106" t="str">
        <f>IF(MACROS!AF34="","",MACROS!AF34)</f>
        <v/>
      </c>
      <c r="C34" s="107" t="str">
        <f t="shared" si="0"/>
        <v/>
      </c>
    </row>
    <row r="35" spans="1:3" x14ac:dyDescent="0.25">
      <c r="A35" s="106" t="str">
        <f>IF(MACROS!A35="","",MACROS!A35)</f>
        <v/>
      </c>
      <c r="B35" s="106" t="str">
        <f>IF(MACROS!AF35="","",MACROS!AF35)</f>
        <v/>
      </c>
      <c r="C35" s="107" t="str">
        <f t="shared" si="0"/>
        <v/>
      </c>
    </row>
    <row r="36" spans="1:3" x14ac:dyDescent="0.25">
      <c r="A36" s="106" t="str">
        <f>IF(MACROS!A36="","",MACROS!A36)</f>
        <v/>
      </c>
      <c r="B36" s="106" t="str">
        <f>IF(MACROS!AF36="","",MACROS!AF36)</f>
        <v/>
      </c>
      <c r="C36" s="107" t="str">
        <f t="shared" si="0"/>
        <v/>
      </c>
    </row>
    <row r="37" spans="1:3" x14ac:dyDescent="0.25">
      <c r="A37" s="106" t="str">
        <f>IF(MACROS!A37="","",MACROS!A37)</f>
        <v/>
      </c>
      <c r="B37" s="106" t="str">
        <f>IF(MACROS!AF37="","",MACROS!AF37)</f>
        <v/>
      </c>
      <c r="C37" s="107" t="str">
        <f t="shared" si="0"/>
        <v/>
      </c>
    </row>
    <row r="38" spans="1:3" x14ac:dyDescent="0.25">
      <c r="A38" s="106" t="str">
        <f>IF(MACROS!A38="","",MACROS!A38)</f>
        <v/>
      </c>
      <c r="B38" s="106" t="str">
        <f>IF(MACROS!AF38="","",MACROS!AF38)</f>
        <v/>
      </c>
      <c r="C38" s="107" t="str">
        <f t="shared" si="0"/>
        <v/>
      </c>
    </row>
    <row r="39" spans="1:3" x14ac:dyDescent="0.25">
      <c r="A39" s="106" t="str">
        <f>IF(MACROS!A39="","",MACROS!A39)</f>
        <v/>
      </c>
      <c r="B39" s="106" t="str">
        <f>IF(MACROS!AF39="","",MACROS!AF39)</f>
        <v/>
      </c>
      <c r="C39" s="107" t="str">
        <f t="shared" si="0"/>
        <v/>
      </c>
    </row>
    <row r="40" spans="1:3" x14ac:dyDescent="0.25">
      <c r="A40" s="106" t="str">
        <f>IF(MACROS!A40="","",MACROS!A40)</f>
        <v/>
      </c>
      <c r="B40" s="106" t="str">
        <f>IF(MACROS!AF40="","",MACROS!AF40)</f>
        <v/>
      </c>
      <c r="C40" s="107" t="str">
        <f t="shared" si="0"/>
        <v/>
      </c>
    </row>
    <row r="41" spans="1:3" x14ac:dyDescent="0.25">
      <c r="A41" s="106" t="str">
        <f>IF(MACROS!A41="","",MACROS!A41)</f>
        <v/>
      </c>
      <c r="B41" s="106" t="str">
        <f>IF(MACROS!AF41="","",MACROS!AF41)</f>
        <v/>
      </c>
      <c r="C41" s="107" t="str">
        <f t="shared" si="0"/>
        <v/>
      </c>
    </row>
    <row r="42" spans="1:3" x14ac:dyDescent="0.25">
      <c r="A42" s="106" t="str">
        <f>IF(MACROS!A42="","",MACROS!A42)</f>
        <v/>
      </c>
      <c r="B42" s="106" t="str">
        <f>IF(MACROS!AF42="","",MACROS!AF42)</f>
        <v/>
      </c>
      <c r="C42" s="107" t="str">
        <f t="shared" si="0"/>
        <v/>
      </c>
    </row>
    <row r="43" spans="1:3" x14ac:dyDescent="0.25">
      <c r="A43" s="106" t="str">
        <f>IF(MACROS!A43="","",MACROS!A43)</f>
        <v/>
      </c>
      <c r="B43" s="106" t="str">
        <f>IF(MACROS!AF43="","",MACROS!AF43)</f>
        <v/>
      </c>
      <c r="C43" s="107" t="str">
        <f t="shared" si="0"/>
        <v/>
      </c>
    </row>
    <row r="44" spans="1:3" x14ac:dyDescent="0.25">
      <c r="A44" s="106" t="str">
        <f>IF(MACROS!A44="","",MACROS!A44)</f>
        <v/>
      </c>
      <c r="B44" s="106" t="str">
        <f>IF(MACROS!AF44="","",MACROS!AF44)</f>
        <v/>
      </c>
      <c r="C44" s="107" t="str">
        <f t="shared" si="0"/>
        <v/>
      </c>
    </row>
    <row r="45" spans="1:3" x14ac:dyDescent="0.25">
      <c r="A45" s="106" t="str">
        <f>IF(MACROS!A45="","",MACROS!A45)</f>
        <v/>
      </c>
      <c r="B45" s="106" t="str">
        <f>IF(MACROS!AF45="","",MACROS!AF45)</f>
        <v/>
      </c>
      <c r="C45" s="107" t="str">
        <f t="shared" si="0"/>
        <v/>
      </c>
    </row>
    <row r="46" spans="1:3" x14ac:dyDescent="0.25">
      <c r="A46" s="106" t="str">
        <f>IF(MACROS!A46="","",MACROS!A46)</f>
        <v/>
      </c>
      <c r="B46" s="106" t="str">
        <f>IF(MACROS!AF46="","",MACROS!AF46)</f>
        <v/>
      </c>
      <c r="C46" s="107" t="str">
        <f t="shared" si="0"/>
        <v/>
      </c>
    </row>
    <row r="47" spans="1:3" x14ac:dyDescent="0.25">
      <c r="A47" s="106" t="str">
        <f>IF(MACROS!A47="","",MACROS!A47)</f>
        <v/>
      </c>
      <c r="B47" s="106" t="str">
        <f>IF(MACROS!AF47="","",MACROS!AF47)</f>
        <v/>
      </c>
      <c r="C47" s="107" t="str">
        <f t="shared" si="0"/>
        <v/>
      </c>
    </row>
    <row r="48" spans="1:3" x14ac:dyDescent="0.25">
      <c r="A48" s="106" t="str">
        <f>IF(MACROS!A48="","",MACROS!A48)</f>
        <v/>
      </c>
      <c r="B48" s="106" t="str">
        <f>IF(MACROS!AF48="","",MACROS!AF48)</f>
        <v/>
      </c>
      <c r="C48" s="107" t="str">
        <f t="shared" si="0"/>
        <v/>
      </c>
    </row>
    <row r="49" spans="1:3" x14ac:dyDescent="0.25">
      <c r="A49" s="106" t="str">
        <f>IF(MACROS!A49="","",MACROS!A49)</f>
        <v/>
      </c>
      <c r="B49" s="106" t="str">
        <f>IF(MACROS!AF49="","",MACROS!AF49)</f>
        <v/>
      </c>
      <c r="C49" s="107" t="str">
        <f t="shared" si="0"/>
        <v/>
      </c>
    </row>
    <row r="50" spans="1:3" x14ac:dyDescent="0.25">
      <c r="A50" s="106" t="str">
        <f>IF(MACROS!A50="","",MACROS!A50)</f>
        <v/>
      </c>
      <c r="B50" s="106" t="str">
        <f>IF(MACROS!AF50="","",MACROS!AF50)</f>
        <v/>
      </c>
      <c r="C50" s="107" t="str">
        <f t="shared" si="0"/>
        <v/>
      </c>
    </row>
    <row r="51" spans="1:3" x14ac:dyDescent="0.25">
      <c r="A51" s="106" t="str">
        <f>IF(MACROS!A51="","",MACROS!A51)</f>
        <v/>
      </c>
      <c r="B51" s="106" t="str">
        <f>IF(MACROS!AF51="","",MACROS!AF51)</f>
        <v/>
      </c>
      <c r="C51" s="107" t="str">
        <f t="shared" si="0"/>
        <v/>
      </c>
    </row>
    <row r="52" spans="1:3" x14ac:dyDescent="0.25">
      <c r="A52" s="106" t="str">
        <f>IF(MACROS!A52="","",MACROS!A52)</f>
        <v/>
      </c>
      <c r="B52" s="106" t="str">
        <f>IF(MACROS!AF52="","",MACROS!AF52)</f>
        <v/>
      </c>
      <c r="C52" s="107" t="str">
        <f t="shared" si="0"/>
        <v/>
      </c>
    </row>
    <row r="53" spans="1:3" x14ac:dyDescent="0.25">
      <c r="A53" s="106" t="str">
        <f>IF(MACROS!A53="","",MACROS!A53)</f>
        <v/>
      </c>
      <c r="B53" s="106" t="str">
        <f>IF(MACROS!AF53="","",MACROS!AF53)</f>
        <v/>
      </c>
      <c r="C53" s="107" t="str">
        <f t="shared" si="0"/>
        <v/>
      </c>
    </row>
    <row r="54" spans="1:3" x14ac:dyDescent="0.25">
      <c r="A54" s="106" t="str">
        <f>IF(MACROS!A54="","",MACROS!A54)</f>
        <v/>
      </c>
      <c r="B54" s="106" t="str">
        <f>IF(MACROS!AF54="","",MACROS!AF54)</f>
        <v/>
      </c>
      <c r="C54" s="107" t="str">
        <f t="shared" si="0"/>
        <v/>
      </c>
    </row>
    <row r="55" spans="1:3" x14ac:dyDescent="0.25">
      <c r="A55" s="106" t="str">
        <f>IF(MACROS!A55="","",MACROS!A55)</f>
        <v/>
      </c>
      <c r="B55" s="106" t="str">
        <f>IF(MACROS!AF55="","",MACROS!AF55)</f>
        <v/>
      </c>
      <c r="C55" s="107" t="str">
        <f t="shared" si="0"/>
        <v/>
      </c>
    </row>
  </sheetData>
  <sheetProtection password="D1D1" sheet="1" objects="1" scenarios="1"/>
  <customSheetViews>
    <customSheetView guid="{23BAAECA-5738-454B-9A9E-D5E66963DE16}">
      <selection activeCell="A2" sqref="A2"/>
      <pageMargins left="0.7" right="0.7" top="0.75" bottom="0.75" header="0.3" footer="0.3"/>
      <pageSetup paperSize="9" scale="98" orientation="portrait" r:id="rId1"/>
    </customSheetView>
  </customSheetViews>
  <pageMargins left="0.7" right="0.7" top="0.75" bottom="0.75" header="0.3" footer="0.3"/>
  <pageSetup paperSize="9" scale="98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CC53-52B1-49D5-A6F8-C394211F9E7C}">
  <sheetPr codeName="Hoja7"/>
  <dimension ref="A1:H55"/>
  <sheetViews>
    <sheetView zoomScaleNormal="100" workbookViewId="0">
      <selection activeCell="A2" sqref="A2"/>
    </sheetView>
  </sheetViews>
  <sheetFormatPr baseColWidth="10" defaultRowHeight="15" x14ac:dyDescent="0.25"/>
  <cols>
    <col min="1" max="1" width="17.7109375" bestFit="1" customWidth="1"/>
    <col min="2" max="2" width="14.85546875" bestFit="1" customWidth="1"/>
    <col min="3" max="3" width="11.7109375" customWidth="1"/>
    <col min="6" max="6" width="17.85546875" bestFit="1" customWidth="1"/>
    <col min="7" max="7" width="5.7109375" bestFit="1" customWidth="1"/>
    <col min="8" max="8" width="29.7109375" bestFit="1" customWidth="1"/>
  </cols>
  <sheetData>
    <row r="1" spans="1:8" ht="45" x14ac:dyDescent="0.25">
      <c r="A1" s="104" t="s">
        <v>112</v>
      </c>
      <c r="B1" s="104" t="s">
        <v>113</v>
      </c>
      <c r="C1" s="105" t="s">
        <v>126</v>
      </c>
    </row>
    <row r="2" spans="1:8" x14ac:dyDescent="0.25">
      <c r="A2" s="106" t="str">
        <f>IF(MACROS!A2="","",MACROS!A2)</f>
        <v/>
      </c>
      <c r="B2" s="106" t="str">
        <f>IF(MACROS!AL2="","",MACROS!AL2)</f>
        <v/>
      </c>
      <c r="C2" s="107" t="str">
        <f>IF(B2="","",INDEX($G$14:$H$21,MATCH(B2,$G$14:$G$21,1),2))</f>
        <v/>
      </c>
    </row>
    <row r="3" spans="1:8" x14ac:dyDescent="0.25">
      <c r="A3" s="106" t="str">
        <f>IF(MACROS!A3="","",MACROS!A3)</f>
        <v/>
      </c>
      <c r="B3" s="106" t="str">
        <f>IF(MACROS!AL3="","",MACROS!AL3)</f>
        <v/>
      </c>
      <c r="C3" s="107" t="str">
        <f t="shared" ref="C3:C55" si="0">IF(B3="","",INDEX($G$14:$H$21,MATCH(B3,$G$14:$G$21,1),2))</f>
        <v/>
      </c>
    </row>
    <row r="4" spans="1:8" x14ac:dyDescent="0.25">
      <c r="A4" s="106" t="str">
        <f>IF(MACROS!A4="","",MACROS!A4)</f>
        <v/>
      </c>
      <c r="B4" s="106" t="str">
        <f>IF(MACROS!AL4="","",MACROS!AL4)</f>
        <v/>
      </c>
      <c r="C4" s="107" t="str">
        <f t="shared" si="0"/>
        <v/>
      </c>
    </row>
    <row r="5" spans="1:8" x14ac:dyDescent="0.25">
      <c r="A5" s="106" t="str">
        <f>IF(MACROS!A5="","",MACROS!A5)</f>
        <v/>
      </c>
      <c r="B5" s="106" t="str">
        <f>IF(MACROS!AL5="","",MACROS!AL5)</f>
        <v/>
      </c>
      <c r="C5" s="107" t="str">
        <f t="shared" si="0"/>
        <v/>
      </c>
    </row>
    <row r="6" spans="1:8" x14ac:dyDescent="0.25">
      <c r="A6" s="106" t="str">
        <f>IF(MACROS!A6="","",MACROS!A6)</f>
        <v/>
      </c>
      <c r="B6" s="106" t="str">
        <f>IF(MACROS!AL6="","",MACROS!AL6)</f>
        <v/>
      </c>
      <c r="C6" s="107" t="str">
        <f t="shared" si="0"/>
        <v/>
      </c>
    </row>
    <row r="7" spans="1:8" x14ac:dyDescent="0.25">
      <c r="A7" s="106" t="str">
        <f>IF(MACROS!A7="","",MACROS!A7)</f>
        <v/>
      </c>
      <c r="B7" s="106" t="str">
        <f>IF(MACROS!AL7="","",MACROS!AL7)</f>
        <v/>
      </c>
      <c r="C7" s="107" t="str">
        <f t="shared" si="0"/>
        <v/>
      </c>
    </row>
    <row r="8" spans="1:8" x14ac:dyDescent="0.25">
      <c r="A8" s="106" t="str">
        <f>IF(MACROS!A8="","",MACROS!A8)</f>
        <v/>
      </c>
      <c r="B8" s="106" t="str">
        <f>IF(MACROS!AL8="","",MACROS!AL8)</f>
        <v/>
      </c>
      <c r="C8" s="107" t="str">
        <f t="shared" si="0"/>
        <v/>
      </c>
    </row>
    <row r="9" spans="1:8" x14ac:dyDescent="0.25">
      <c r="A9" s="106" t="str">
        <f>IF(MACROS!A9="","",MACROS!A9)</f>
        <v/>
      </c>
      <c r="B9" s="106" t="str">
        <f>IF(MACROS!AL9="","",MACROS!AL9)</f>
        <v/>
      </c>
      <c r="C9" s="107" t="str">
        <f t="shared" si="0"/>
        <v/>
      </c>
    </row>
    <row r="10" spans="1:8" x14ac:dyDescent="0.25">
      <c r="A10" s="106" t="str">
        <f>IF(MACROS!A10="","",MACROS!A10)</f>
        <v/>
      </c>
      <c r="B10" s="106" t="str">
        <f>IF(MACROS!AL10="","",MACROS!AL10)</f>
        <v/>
      </c>
      <c r="C10" s="107" t="str">
        <f t="shared" si="0"/>
        <v/>
      </c>
    </row>
    <row r="11" spans="1:8" x14ac:dyDescent="0.25">
      <c r="A11" s="106" t="str">
        <f>IF(MACROS!A11="","",MACROS!A11)</f>
        <v/>
      </c>
      <c r="B11" s="106" t="str">
        <f>IF(MACROS!AL11="","",MACROS!AL11)</f>
        <v/>
      </c>
      <c r="C11" s="107" t="str">
        <f t="shared" si="0"/>
        <v/>
      </c>
    </row>
    <row r="12" spans="1:8" x14ac:dyDescent="0.25">
      <c r="A12" s="106" t="str">
        <f>IF(MACROS!A12="","",MACROS!A12)</f>
        <v/>
      </c>
      <c r="B12" s="106" t="str">
        <f>IF(MACROS!AL12="","",MACROS!AL12)</f>
        <v/>
      </c>
      <c r="C12" s="107" t="str">
        <f t="shared" si="0"/>
        <v/>
      </c>
    </row>
    <row r="13" spans="1:8" x14ac:dyDescent="0.25">
      <c r="A13" s="106" t="str">
        <f>IF(MACROS!A13="","",MACROS!A13)</f>
        <v/>
      </c>
      <c r="B13" s="106" t="str">
        <f>IF(MACROS!AL13="","",MACROS!AL13)</f>
        <v/>
      </c>
      <c r="C13" s="107" t="str">
        <f t="shared" si="0"/>
        <v/>
      </c>
      <c r="F13" s="108" t="s">
        <v>115</v>
      </c>
      <c r="G13" s="108" t="s">
        <v>116</v>
      </c>
      <c r="H13" s="108" t="s">
        <v>117</v>
      </c>
    </row>
    <row r="14" spans="1:8" x14ac:dyDescent="0.25">
      <c r="A14" s="106" t="str">
        <f>IF(MACROS!A14="","",MACROS!A14)</f>
        <v/>
      </c>
      <c r="B14" s="106" t="str">
        <f>IF(MACROS!AL14="","",MACROS!AL14)</f>
        <v/>
      </c>
      <c r="C14" s="107" t="str">
        <f t="shared" si="0"/>
        <v/>
      </c>
      <c r="F14" s="109" t="s">
        <v>127</v>
      </c>
      <c r="G14" s="110">
        <v>0</v>
      </c>
      <c r="H14" s="111">
        <v>450</v>
      </c>
    </row>
    <row r="15" spans="1:8" x14ac:dyDescent="0.25">
      <c r="A15" s="106" t="str">
        <f>IF(MACROS!A15="","",MACROS!A15)</f>
        <v/>
      </c>
      <c r="B15" s="106" t="str">
        <f>IF(MACROS!AL15="","",MACROS!AL15)</f>
        <v/>
      </c>
      <c r="C15" s="107" t="str">
        <f t="shared" si="0"/>
        <v/>
      </c>
      <c r="F15" s="109" t="s">
        <v>128</v>
      </c>
      <c r="G15" s="110">
        <v>0.11</v>
      </c>
      <c r="H15" s="111">
        <v>370</v>
      </c>
    </row>
    <row r="16" spans="1:8" x14ac:dyDescent="0.25">
      <c r="A16" s="106" t="str">
        <f>IF(MACROS!A16="","",MACROS!A16)</f>
        <v/>
      </c>
      <c r="B16" s="106" t="str">
        <f>IF(MACROS!AL16="","",MACROS!AL16)</f>
        <v/>
      </c>
      <c r="C16" s="107" t="str">
        <f t="shared" si="0"/>
        <v/>
      </c>
      <c r="F16" s="109" t="s">
        <v>129</v>
      </c>
      <c r="G16" s="110">
        <v>0.2</v>
      </c>
      <c r="H16" s="111">
        <v>300</v>
      </c>
    </row>
    <row r="17" spans="1:8" x14ac:dyDescent="0.25">
      <c r="A17" s="106" t="str">
        <f>IF(MACROS!A17="","",MACROS!A17)</f>
        <v/>
      </c>
      <c r="B17" s="106" t="str">
        <f>IF(MACROS!AL17="","",MACROS!AL17)</f>
        <v/>
      </c>
      <c r="C17" s="107" t="str">
        <f t="shared" si="0"/>
        <v/>
      </c>
      <c r="F17" s="109" t="s">
        <v>130</v>
      </c>
      <c r="G17" s="110">
        <v>0.31</v>
      </c>
      <c r="H17" s="111">
        <v>240</v>
      </c>
    </row>
    <row r="18" spans="1:8" x14ac:dyDescent="0.25">
      <c r="A18" s="106" t="str">
        <f>IF(MACROS!A18="","",MACROS!A18)</f>
        <v/>
      </c>
      <c r="B18" s="106" t="str">
        <f>IF(MACROS!AL18="","",MACROS!AL18)</f>
        <v/>
      </c>
      <c r="C18" s="107" t="str">
        <f t="shared" si="0"/>
        <v/>
      </c>
      <c r="F18" s="109" t="s">
        <v>131</v>
      </c>
      <c r="G18" s="110">
        <v>0.4</v>
      </c>
      <c r="H18" s="111">
        <v>170</v>
      </c>
    </row>
    <row r="19" spans="1:8" x14ac:dyDescent="0.25">
      <c r="A19" s="106" t="str">
        <f>IF(MACROS!A19="","",MACROS!A19)</f>
        <v/>
      </c>
      <c r="B19" s="106" t="str">
        <f>IF(MACROS!AL19="","",MACROS!AL19)</f>
        <v/>
      </c>
      <c r="C19" s="107" t="str">
        <f t="shared" si="0"/>
        <v/>
      </c>
      <c r="F19" s="109" t="s">
        <v>132</v>
      </c>
      <c r="G19" s="110">
        <v>0.51</v>
      </c>
      <c r="H19" s="111">
        <v>100</v>
      </c>
    </row>
    <row r="20" spans="1:8" x14ac:dyDescent="0.25">
      <c r="A20" s="106" t="str">
        <f>IF(MACROS!A20="","",MACROS!A20)</f>
        <v/>
      </c>
      <c r="B20" s="106" t="str">
        <f>IF(MACROS!AL20="","",MACROS!AL20)</f>
        <v/>
      </c>
      <c r="C20" s="107" t="str">
        <f t="shared" si="0"/>
        <v/>
      </c>
      <c r="F20" s="106" t="s">
        <v>133</v>
      </c>
      <c r="G20" s="106">
        <v>0.6</v>
      </c>
      <c r="H20" s="106">
        <v>70</v>
      </c>
    </row>
    <row r="21" spans="1:8" x14ac:dyDescent="0.25">
      <c r="A21" s="106" t="str">
        <f>IF(MACROS!A21="","",MACROS!A21)</f>
        <v/>
      </c>
      <c r="B21" s="106" t="str">
        <f>IF(MACROS!AL21="","",MACROS!AL21)</f>
        <v/>
      </c>
      <c r="C21" s="107" t="str">
        <f t="shared" si="0"/>
        <v/>
      </c>
      <c r="F21" s="106" t="s">
        <v>134</v>
      </c>
      <c r="G21" s="106">
        <v>0.71</v>
      </c>
      <c r="H21" s="106">
        <v>0</v>
      </c>
    </row>
    <row r="22" spans="1:8" x14ac:dyDescent="0.25">
      <c r="A22" s="106" t="str">
        <f>IF(MACROS!A22="","",MACROS!A22)</f>
        <v/>
      </c>
      <c r="B22" s="106" t="str">
        <f>IF(MACROS!AL22="","",MACROS!AL22)</f>
        <v/>
      </c>
      <c r="C22" s="107" t="str">
        <f t="shared" si="0"/>
        <v/>
      </c>
    </row>
    <row r="23" spans="1:8" x14ac:dyDescent="0.25">
      <c r="A23" s="106" t="str">
        <f>IF(MACROS!A23="","",MACROS!A23)</f>
        <v/>
      </c>
      <c r="B23" s="106" t="str">
        <f>IF(MACROS!AL23="","",MACROS!AL23)</f>
        <v/>
      </c>
      <c r="C23" s="107" t="str">
        <f t="shared" si="0"/>
        <v/>
      </c>
    </row>
    <row r="24" spans="1:8" x14ac:dyDescent="0.25">
      <c r="A24" s="106" t="str">
        <f>IF(MACROS!A24="","",MACROS!A24)</f>
        <v/>
      </c>
      <c r="B24" s="106" t="str">
        <f>IF(MACROS!AL24="","",MACROS!AL24)</f>
        <v/>
      </c>
      <c r="C24" s="107" t="str">
        <f t="shared" si="0"/>
        <v/>
      </c>
    </row>
    <row r="25" spans="1:8" x14ac:dyDescent="0.25">
      <c r="A25" s="106" t="str">
        <f>IF(MACROS!A25="","",MACROS!A25)</f>
        <v/>
      </c>
      <c r="B25" s="106" t="str">
        <f>IF(MACROS!AL25="","",MACROS!AL25)</f>
        <v/>
      </c>
      <c r="C25" s="107" t="str">
        <f t="shared" si="0"/>
        <v/>
      </c>
    </row>
    <row r="26" spans="1:8" x14ac:dyDescent="0.25">
      <c r="A26" s="106" t="str">
        <f>IF(MACROS!A26="","",MACROS!A26)</f>
        <v/>
      </c>
      <c r="B26" s="106" t="str">
        <f>IF(MACROS!AL26="","",MACROS!AL26)</f>
        <v/>
      </c>
      <c r="C26" s="107" t="str">
        <f t="shared" si="0"/>
        <v/>
      </c>
    </row>
    <row r="27" spans="1:8" x14ac:dyDescent="0.25">
      <c r="A27" s="106" t="str">
        <f>IF(MACROS!A27="","",MACROS!A27)</f>
        <v/>
      </c>
      <c r="B27" s="106" t="str">
        <f>IF(MACROS!AL27="","",MACROS!AL27)</f>
        <v/>
      </c>
      <c r="C27" s="107" t="str">
        <f t="shared" si="0"/>
        <v/>
      </c>
    </row>
    <row r="28" spans="1:8" x14ac:dyDescent="0.25">
      <c r="A28" s="106" t="str">
        <f>IF(MACROS!A28="","",MACROS!A28)</f>
        <v/>
      </c>
      <c r="B28" s="106" t="str">
        <f>IF(MACROS!AL28="","",MACROS!AL28)</f>
        <v/>
      </c>
      <c r="C28" s="107" t="str">
        <f t="shared" si="0"/>
        <v/>
      </c>
    </row>
    <row r="29" spans="1:8" x14ac:dyDescent="0.25">
      <c r="A29" s="106" t="str">
        <f>IF(MACROS!A29="","",MACROS!A29)</f>
        <v/>
      </c>
      <c r="B29" s="106" t="str">
        <f>IF(MACROS!AL29="","",MACROS!AL29)</f>
        <v/>
      </c>
      <c r="C29" s="107" t="str">
        <f t="shared" si="0"/>
        <v/>
      </c>
    </row>
    <row r="30" spans="1:8" x14ac:dyDescent="0.25">
      <c r="A30" s="106" t="str">
        <f>IF(MACROS!A30="","",MACROS!A30)</f>
        <v/>
      </c>
      <c r="B30" s="106" t="str">
        <f>IF(MACROS!AL30="","",MACROS!AL30)</f>
        <v/>
      </c>
      <c r="C30" s="107" t="str">
        <f t="shared" si="0"/>
        <v/>
      </c>
    </row>
    <row r="31" spans="1:8" x14ac:dyDescent="0.25">
      <c r="A31" s="106" t="str">
        <f>IF(MACROS!A31="","",MACROS!A31)</f>
        <v/>
      </c>
      <c r="B31" s="106" t="str">
        <f>IF(MACROS!AL31="","",MACROS!AL31)</f>
        <v/>
      </c>
      <c r="C31" s="107" t="str">
        <f t="shared" si="0"/>
        <v/>
      </c>
    </row>
    <row r="32" spans="1:8" x14ac:dyDescent="0.25">
      <c r="A32" s="106" t="str">
        <f>IF(MACROS!A32="","",MACROS!A32)</f>
        <v/>
      </c>
      <c r="B32" s="106" t="str">
        <f>IF(MACROS!AL32="","",MACROS!AL32)</f>
        <v/>
      </c>
      <c r="C32" s="107" t="str">
        <f t="shared" si="0"/>
        <v/>
      </c>
    </row>
    <row r="33" spans="1:3" x14ac:dyDescent="0.25">
      <c r="A33" s="106" t="str">
        <f>IF(MACROS!A33="","",MACROS!A33)</f>
        <v/>
      </c>
      <c r="B33" s="106" t="str">
        <f>IF(MACROS!AL33="","",MACROS!AL33)</f>
        <v/>
      </c>
      <c r="C33" s="107" t="str">
        <f t="shared" si="0"/>
        <v/>
      </c>
    </row>
    <row r="34" spans="1:3" x14ac:dyDescent="0.25">
      <c r="A34" s="106" t="str">
        <f>IF(MACROS!A34="","",MACROS!A34)</f>
        <v/>
      </c>
      <c r="B34" s="106" t="str">
        <f>IF(MACROS!AL34="","",MACROS!AL34)</f>
        <v/>
      </c>
      <c r="C34" s="107" t="str">
        <f t="shared" si="0"/>
        <v/>
      </c>
    </row>
    <row r="35" spans="1:3" x14ac:dyDescent="0.25">
      <c r="A35" s="106" t="str">
        <f>IF(MACROS!A35="","",MACROS!A35)</f>
        <v/>
      </c>
      <c r="B35" s="106" t="str">
        <f>IF(MACROS!AL35="","",MACROS!AL35)</f>
        <v/>
      </c>
      <c r="C35" s="107" t="str">
        <f t="shared" si="0"/>
        <v/>
      </c>
    </row>
    <row r="36" spans="1:3" x14ac:dyDescent="0.25">
      <c r="A36" s="106" t="str">
        <f>IF(MACROS!A36="","",MACROS!A36)</f>
        <v/>
      </c>
      <c r="B36" s="106" t="str">
        <f>IF(MACROS!AL36="","",MACROS!AL36)</f>
        <v/>
      </c>
      <c r="C36" s="107" t="str">
        <f t="shared" si="0"/>
        <v/>
      </c>
    </row>
    <row r="37" spans="1:3" x14ac:dyDescent="0.25">
      <c r="A37" s="106" t="str">
        <f>IF(MACROS!A37="","",MACROS!A37)</f>
        <v/>
      </c>
      <c r="B37" s="106" t="str">
        <f>IF(MACROS!AL37="","",MACROS!AL37)</f>
        <v/>
      </c>
      <c r="C37" s="107" t="str">
        <f t="shared" si="0"/>
        <v/>
      </c>
    </row>
    <row r="38" spans="1:3" x14ac:dyDescent="0.25">
      <c r="A38" s="106" t="str">
        <f>IF(MACROS!A38="","",MACROS!A38)</f>
        <v/>
      </c>
      <c r="B38" s="106" t="str">
        <f>IF(MACROS!AL38="","",MACROS!AL38)</f>
        <v/>
      </c>
      <c r="C38" s="107" t="str">
        <f t="shared" si="0"/>
        <v/>
      </c>
    </row>
    <row r="39" spans="1:3" x14ac:dyDescent="0.25">
      <c r="A39" s="106" t="str">
        <f>IF(MACROS!A39="","",MACROS!A39)</f>
        <v/>
      </c>
      <c r="B39" s="106" t="str">
        <f>IF(MACROS!AL39="","",MACROS!AL39)</f>
        <v/>
      </c>
      <c r="C39" s="107" t="str">
        <f t="shared" si="0"/>
        <v/>
      </c>
    </row>
    <row r="40" spans="1:3" x14ac:dyDescent="0.25">
      <c r="A40" s="106" t="str">
        <f>IF(MACROS!A40="","",MACROS!A40)</f>
        <v/>
      </c>
      <c r="B40" s="106" t="str">
        <f>IF(MACROS!AL40="","",MACROS!AL40)</f>
        <v/>
      </c>
      <c r="C40" s="107" t="str">
        <f t="shared" si="0"/>
        <v/>
      </c>
    </row>
    <row r="41" spans="1:3" x14ac:dyDescent="0.25">
      <c r="A41" s="106" t="str">
        <f>IF(MACROS!A41="","",MACROS!A41)</f>
        <v/>
      </c>
      <c r="B41" s="106" t="str">
        <f>IF(MACROS!AL41="","",MACROS!AL41)</f>
        <v/>
      </c>
      <c r="C41" s="107" t="str">
        <f t="shared" si="0"/>
        <v/>
      </c>
    </row>
    <row r="42" spans="1:3" x14ac:dyDescent="0.25">
      <c r="A42" s="106" t="str">
        <f>IF(MACROS!A42="","",MACROS!A42)</f>
        <v/>
      </c>
      <c r="B42" s="106" t="str">
        <f>IF(MACROS!AL42="","",MACROS!AL42)</f>
        <v/>
      </c>
      <c r="C42" s="107" t="str">
        <f t="shared" si="0"/>
        <v/>
      </c>
    </row>
    <row r="43" spans="1:3" x14ac:dyDescent="0.25">
      <c r="A43" s="106" t="str">
        <f>IF(MACROS!A43="","",MACROS!A43)</f>
        <v/>
      </c>
      <c r="B43" s="106" t="str">
        <f>IF(MACROS!AL43="","",MACROS!AL43)</f>
        <v/>
      </c>
      <c r="C43" s="107" t="str">
        <f t="shared" si="0"/>
        <v/>
      </c>
    </row>
    <row r="44" spans="1:3" x14ac:dyDescent="0.25">
      <c r="A44" s="106" t="str">
        <f>IF(MACROS!A44="","",MACROS!A44)</f>
        <v/>
      </c>
      <c r="B44" s="106" t="str">
        <f>IF(MACROS!AL44="","",MACROS!AL44)</f>
        <v/>
      </c>
      <c r="C44" s="107" t="str">
        <f t="shared" si="0"/>
        <v/>
      </c>
    </row>
    <row r="45" spans="1:3" x14ac:dyDescent="0.25">
      <c r="A45" s="106" t="str">
        <f>IF(MACROS!A45="","",MACROS!A45)</f>
        <v/>
      </c>
      <c r="B45" s="106" t="str">
        <f>IF(MACROS!AL45="","",MACROS!AL45)</f>
        <v/>
      </c>
      <c r="C45" s="107" t="str">
        <f t="shared" si="0"/>
        <v/>
      </c>
    </row>
    <row r="46" spans="1:3" x14ac:dyDescent="0.25">
      <c r="A46" s="106" t="str">
        <f>IF(MACROS!A46="","",MACROS!A46)</f>
        <v/>
      </c>
      <c r="B46" s="106" t="str">
        <f>IF(MACROS!AL46="","",MACROS!AL46)</f>
        <v/>
      </c>
      <c r="C46" s="107" t="str">
        <f t="shared" si="0"/>
        <v/>
      </c>
    </row>
    <row r="47" spans="1:3" x14ac:dyDescent="0.25">
      <c r="A47" s="106" t="str">
        <f>IF(MACROS!A47="","",MACROS!A47)</f>
        <v/>
      </c>
      <c r="B47" s="106" t="str">
        <f>IF(MACROS!AL47="","",MACROS!AL47)</f>
        <v/>
      </c>
      <c r="C47" s="107" t="str">
        <f t="shared" si="0"/>
        <v/>
      </c>
    </row>
    <row r="48" spans="1:3" x14ac:dyDescent="0.25">
      <c r="A48" s="106" t="str">
        <f>IF(MACROS!A48="","",MACROS!A48)</f>
        <v/>
      </c>
      <c r="B48" s="106" t="str">
        <f>IF(MACROS!AL48="","",MACROS!AL48)</f>
        <v/>
      </c>
      <c r="C48" s="107" t="str">
        <f t="shared" si="0"/>
        <v/>
      </c>
    </row>
    <row r="49" spans="1:3" x14ac:dyDescent="0.25">
      <c r="A49" s="106" t="str">
        <f>IF(MACROS!A49="","",MACROS!A49)</f>
        <v/>
      </c>
      <c r="B49" s="106" t="str">
        <f>IF(MACROS!AL49="","",MACROS!AL49)</f>
        <v/>
      </c>
      <c r="C49" s="107" t="str">
        <f t="shared" si="0"/>
        <v/>
      </c>
    </row>
    <row r="50" spans="1:3" x14ac:dyDescent="0.25">
      <c r="A50" s="106" t="str">
        <f>IF(MACROS!A50="","",MACROS!A50)</f>
        <v/>
      </c>
      <c r="B50" s="106" t="str">
        <f>IF(MACROS!AL50="","",MACROS!AL50)</f>
        <v/>
      </c>
      <c r="C50" s="107" t="str">
        <f t="shared" si="0"/>
        <v/>
      </c>
    </row>
    <row r="51" spans="1:3" x14ac:dyDescent="0.25">
      <c r="A51" s="106" t="str">
        <f>IF(MACROS!A51="","",MACROS!A51)</f>
        <v/>
      </c>
      <c r="B51" s="106" t="str">
        <f>IF(MACROS!AL51="","",MACROS!AL51)</f>
        <v/>
      </c>
      <c r="C51" s="107" t="str">
        <f t="shared" si="0"/>
        <v/>
      </c>
    </row>
    <row r="52" spans="1:3" x14ac:dyDescent="0.25">
      <c r="A52" s="106" t="str">
        <f>IF(MACROS!A52="","",MACROS!A52)</f>
        <v/>
      </c>
      <c r="B52" s="106" t="str">
        <f>IF(MACROS!AL52="","",MACROS!AL52)</f>
        <v/>
      </c>
      <c r="C52" s="107" t="str">
        <f t="shared" si="0"/>
        <v/>
      </c>
    </row>
    <row r="53" spans="1:3" x14ac:dyDescent="0.25">
      <c r="A53" s="106" t="str">
        <f>IF(MACROS!A53="","",MACROS!A53)</f>
        <v/>
      </c>
      <c r="B53" s="106" t="str">
        <f>IF(MACROS!AL53="","",MACROS!AL53)</f>
        <v/>
      </c>
      <c r="C53" s="107" t="str">
        <f t="shared" si="0"/>
        <v/>
      </c>
    </row>
    <row r="54" spans="1:3" x14ac:dyDescent="0.25">
      <c r="A54" s="106" t="str">
        <f>IF(MACROS!A54="","",MACROS!A54)</f>
        <v/>
      </c>
      <c r="B54" s="106" t="str">
        <f>IF(MACROS!AL54="","",MACROS!AL54)</f>
        <v/>
      </c>
      <c r="C54" s="107" t="str">
        <f t="shared" si="0"/>
        <v/>
      </c>
    </row>
    <row r="55" spans="1:3" x14ac:dyDescent="0.25">
      <c r="A55" s="106" t="str">
        <f>IF(MACROS!A55="","",MACROS!A55)</f>
        <v/>
      </c>
      <c r="B55" s="106" t="str">
        <f>IF(MACROS!AL55="","",MACROS!AL55)</f>
        <v/>
      </c>
      <c r="C55" s="107" t="str">
        <f t="shared" si="0"/>
        <v/>
      </c>
    </row>
  </sheetData>
  <sheetProtection password="D1D1" sheet="1" objects="1" scenarios="1"/>
  <customSheetViews>
    <customSheetView guid="{23BAAECA-5738-454B-9A9E-D5E66963DE16}">
      <selection activeCell="A2" sqref="A2"/>
      <pageMargins left="0.7" right="0.7" top="0.75" bottom="0.75" header="0.3" footer="0.3"/>
      <pageSetup paperSize="9" scale="98" orientation="portrait" r:id="rId1"/>
    </customSheetView>
  </customSheetViews>
  <pageMargins left="0.7" right="0.7" top="0.75" bottom="0.75" header="0.3" footer="0.3"/>
  <pageSetup paperSize="9" scale="98" orientation="portrait" r:id="rId2"/>
</worksheet>
</file>

<file path=customUI/_rels/customUI14.xml.rels><?xml version="1.0" encoding="UTF-8" standalone="yes"?>
<Relationships xmlns="http://schemas.openxmlformats.org/package/2006/relationships"><Relationship Id="Crison" Type="http://schemas.openxmlformats.org/officeDocument/2006/relationships/image" Target="images/Crison.png"/><Relationship Id="ICP" Type="http://schemas.openxmlformats.org/officeDocument/2006/relationships/image" Target="images/ICP.png"/><Relationship Id="Valorador" Type="http://schemas.openxmlformats.org/officeDocument/2006/relationships/image" Target="images/Valorador.png"/><Relationship Id="humedad" Type="http://schemas.openxmlformats.org/officeDocument/2006/relationships/image" Target="images/humedad.png"/></Relationships>
</file>

<file path=customUI/customUI14.xml><?xml version="1.0" encoding="utf-8"?>
<customUI xmlns="http://schemas.microsoft.com/office/2009/07/customui">
  <ribbon>
    <tabs>
      <tab id="Complejo_de_cambio" label="Complejo de cambio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10" label="Capturar OT">
          <button id="ListadoOT" label="Capturar OT" size="large" imageMso="CreateReport" onAction="Modulo5.ListadoOT_Click"/>
        </group>
        <group id="customGroup" label="Capturar Factores de Corrección">
          <button id="CapturarFC" label="Capturar FC" size="large" image="humedad" onAction="Modulo5.importarFC_Click"/>
        </group>
        <group id="customGroup1" label="Capturar ICP Perkin Elmer">
          <button id="CapturarICP" label="Capturar ICP" size="large" image="ICP" onAction="Modulo5.importar_Click"/>
        </group>
        <group id="customGroup2" label="Capturar Valorador Metrohm">
          <button id="CapturarMetrohm" label="Capturar Metrohm" size="large" image="Valorador" onAction="Modulo5.importarV_Click"/>
        </group>
        <group id="customGroup7" label="Capturar pH">
          <button id="CapturarpH" label="Capturar pH" size="large" image="Crison" onAction="Modulo5.importarpH_Click"/>
        </group>
        <group id="customGroup5" label="Generar Listado Metrohm">
          <button id="ListadoMuestras" label="Generar Listado Metrohm" size="large" imageMso="CreateReport" onAction="Modulo5.ListadoMuestras_Click"/>
        </group>
        <group id="customGroup11" label="Generar Listado ICP">
          <button id="ListadoMuestrasICP" label="Generar Listado ICP" size="large" imageMso="CreateReport" onAction="Modulo5.ListadoMuestrasICP_Click"/>
        </group>
        <group id="customGroup12" label="Repeticiones manuales">
          <button id="ListadoRepemanual" label="Repeticiones manuales" size="large" imageMso="Numbering" onAction="Modulo5.Repeticiones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AC</vt:lpstr>
      <vt:lpstr>Pesada Macros</vt:lpstr>
      <vt:lpstr>MACROS</vt:lpstr>
      <vt:lpstr>Interpolación</vt:lpstr>
      <vt:lpstr>Datos</vt:lpstr>
      <vt:lpstr>NecesidadesK</vt:lpstr>
      <vt:lpstr>NecesidadesMg</vt:lpstr>
      <vt:lpstr>AC!Área_de_impresión</vt:lpstr>
      <vt:lpstr>MACROS!Área_de_impresión</vt:lpstr>
      <vt:lpstr>NecesidadesK!Área_de_impresión</vt:lpstr>
      <vt:lpstr>NecesidadesMg!Área_de_impresión</vt:lpstr>
      <vt:lpstr>'Pesada Macros'!Área_de_impresión</vt:lpstr>
      <vt:lpstr>MACROS!Títulos_a_imprimir</vt:lpstr>
    </vt:vector>
  </TitlesOfParts>
  <Company>Xunta de Galicia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ms1</cp:lastModifiedBy>
  <dcterms:created xsi:type="dcterms:W3CDTF">2021-12-16T12:01:01Z</dcterms:created>
  <dcterms:modified xsi:type="dcterms:W3CDTF">2021-12-16T12:12:26Z</dcterms:modified>
</cp:coreProperties>
</file>