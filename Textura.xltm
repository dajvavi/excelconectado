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caffe60110024553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300" windowWidth="19200" windowHeight="7155"/>
  </bookViews>
  <sheets>
    <sheet name="USDA" sheetId="15" r:id="rId1"/>
    <sheet name="BIPEA" sheetId="16" r:id="rId2"/>
    <sheet name="USDA completa" sheetId="17" r:id="rId3"/>
    <sheet name="WEPAL" sheetId="18" r:id="rId4"/>
    <sheet name="ISSS" sheetId="19" r:id="rId5"/>
    <sheet name="Calculations" sheetId="20" r:id="rId6"/>
    <sheet name="Datos" sheetId="7" r:id="rId7"/>
    <sheet name="TARAS DE REFERENCIA" sheetId="22" r:id="rId8"/>
    <sheet name="ARCILLA" sheetId="23" r:id="rId9"/>
    <sheet name="LIMO" sheetId="24" r:id="rId10"/>
    <sheet name="ARENA" sheetId="25" r:id="rId11"/>
    <sheet name="CLASIFICACION" sheetId="26" r:id="rId12"/>
  </sheets>
  <functionGroups builtInGroupCount="17"/>
  <definedNames>
    <definedName name="_xlnm._FilterDatabase" localSheetId="6" hidden="1">Datos!#REF!</definedName>
    <definedName name="_xlnm.Print_Area" localSheetId="1">BIPEA!$A$1:$AG$21</definedName>
    <definedName name="_xlnm.Print_Area" localSheetId="0">USDA!$A$1:$AC$25</definedName>
  </definedNames>
  <calcPr calcId="145621"/>
</workbook>
</file>

<file path=xl/calcChain.xml><?xml version="1.0" encoding="utf-8"?>
<calcChain xmlns="http://schemas.openxmlformats.org/spreadsheetml/2006/main">
  <c r="B3" i="26" l="1"/>
  <c r="B4" i="26"/>
  <c r="B5" i="26"/>
  <c r="B6" i="26"/>
  <c r="B7" i="26"/>
  <c r="B8" i="26"/>
  <c r="B9" i="26"/>
  <c r="B10" i="26"/>
  <c r="B11" i="26"/>
  <c r="B12" i="26"/>
  <c r="B13" i="26"/>
  <c r="B14" i="26"/>
  <c r="B15" i="26"/>
  <c r="B16" i="26"/>
  <c r="B17" i="26"/>
  <c r="B18" i="26"/>
  <c r="B19" i="26"/>
  <c r="B20" i="26"/>
  <c r="B21" i="26"/>
  <c r="B22" i="26"/>
  <c r="B23" i="26"/>
  <c r="B24" i="26"/>
  <c r="B25" i="26"/>
  <c r="B2" i="26"/>
  <c r="B3" i="25"/>
  <c r="B4" i="25"/>
  <c r="B5" i="25"/>
  <c r="B6" i="25"/>
  <c r="B7" i="25"/>
  <c r="B8" i="25"/>
  <c r="B9" i="25"/>
  <c r="B10" i="25"/>
  <c r="B11" i="25"/>
  <c r="B12" i="25"/>
  <c r="B13" i="25"/>
  <c r="B14" i="25"/>
  <c r="B15" i="25"/>
  <c r="B16" i="25"/>
  <c r="B17" i="25"/>
  <c r="B18" i="25"/>
  <c r="B19" i="25"/>
  <c r="B20" i="25"/>
  <c r="B21" i="25"/>
  <c r="B22" i="25"/>
  <c r="B23" i="25"/>
  <c r="B24" i="25"/>
  <c r="B25" i="25"/>
  <c r="B2" i="25"/>
  <c r="B3" i="24"/>
  <c r="B4" i="24"/>
  <c r="B5" i="24"/>
  <c r="B6" i="24"/>
  <c r="B7" i="24"/>
  <c r="B8" i="24"/>
  <c r="B9" i="24"/>
  <c r="B10" i="24"/>
  <c r="B11" i="24"/>
  <c r="B12" i="24"/>
  <c r="B13" i="24"/>
  <c r="B14" i="24"/>
  <c r="B15" i="24"/>
  <c r="B16" i="24"/>
  <c r="B17" i="24"/>
  <c r="B18" i="24"/>
  <c r="B19" i="24"/>
  <c r="B20" i="24"/>
  <c r="B21" i="24"/>
  <c r="B22" i="24"/>
  <c r="B23" i="24"/>
  <c r="B24" i="24"/>
  <c r="B25" i="24"/>
  <c r="B2" i="24"/>
  <c r="B3" i="23"/>
  <c r="B4" i="23"/>
  <c r="B5" i="23"/>
  <c r="B6" i="23"/>
  <c r="B7" i="23"/>
  <c r="B8" i="23"/>
  <c r="B9" i="23"/>
  <c r="B10" i="23"/>
  <c r="B11" i="23"/>
  <c r="B12" i="23"/>
  <c r="B13" i="23"/>
  <c r="B14" i="23"/>
  <c r="B15" i="23"/>
  <c r="B16" i="23"/>
  <c r="B17" i="23"/>
  <c r="B18" i="23"/>
  <c r="B19" i="23"/>
  <c r="B20" i="23"/>
  <c r="B21" i="23"/>
  <c r="B22" i="23"/>
  <c r="B23" i="23"/>
  <c r="B24" i="23"/>
  <c r="B25" i="23"/>
  <c r="B2" i="23"/>
  <c r="A25" i="26" l="1"/>
  <c r="A24" i="26"/>
  <c r="A23" i="26"/>
  <c r="A22" i="26"/>
  <c r="A21" i="26"/>
  <c r="A20" i="26"/>
  <c r="A19" i="26"/>
  <c r="A18" i="26"/>
  <c r="A17" i="26"/>
  <c r="A16" i="26"/>
  <c r="A15" i="26"/>
  <c r="A14" i="26"/>
  <c r="A13" i="26"/>
  <c r="A12" i="26"/>
  <c r="A11" i="26"/>
  <c r="A10" i="26"/>
  <c r="A9" i="26"/>
  <c r="A8" i="26"/>
  <c r="A7" i="26"/>
  <c r="A6" i="26"/>
  <c r="A5" i="26"/>
  <c r="A4" i="26"/>
  <c r="A3" i="26"/>
  <c r="A2" i="26"/>
  <c r="A25" i="25"/>
  <c r="A24" i="25"/>
  <c r="A23" i="25"/>
  <c r="A22" i="25"/>
  <c r="A21" i="25"/>
  <c r="A20" i="25"/>
  <c r="A19" i="25"/>
  <c r="A18" i="25"/>
  <c r="A17" i="25"/>
  <c r="A16" i="25"/>
  <c r="A15" i="25"/>
  <c r="A14" i="25"/>
  <c r="A13" i="25"/>
  <c r="A12" i="25"/>
  <c r="A11" i="25"/>
  <c r="A10" i="25"/>
  <c r="A9" i="25"/>
  <c r="A8" i="25"/>
  <c r="A7" i="25"/>
  <c r="A6" i="25"/>
  <c r="A5" i="25"/>
  <c r="A4" i="25"/>
  <c r="A3" i="25"/>
  <c r="A2" i="25"/>
  <c r="A25" i="24"/>
  <c r="A24" i="24"/>
  <c r="A23" i="24"/>
  <c r="A22" i="24"/>
  <c r="A21" i="24"/>
  <c r="A20" i="24"/>
  <c r="A19" i="24"/>
  <c r="A18" i="24"/>
  <c r="A17" i="24"/>
  <c r="A16" i="24"/>
  <c r="A15" i="24"/>
  <c r="A14" i="24"/>
  <c r="A13" i="24"/>
  <c r="A12" i="24"/>
  <c r="A11" i="24"/>
  <c r="A10" i="24"/>
  <c r="A9" i="24"/>
  <c r="A8" i="24"/>
  <c r="A7" i="24"/>
  <c r="A6" i="24"/>
  <c r="A5" i="24"/>
  <c r="A4" i="24"/>
  <c r="A3" i="24"/>
  <c r="A2" i="24"/>
  <c r="A3" i="23"/>
  <c r="A4" i="23"/>
  <c r="A5" i="23"/>
  <c r="A6" i="23"/>
  <c r="A7" i="23"/>
  <c r="A8" i="23"/>
  <c r="A9" i="23"/>
  <c r="A10" i="23"/>
  <c r="A11" i="23"/>
  <c r="A12" i="23"/>
  <c r="A13" i="23"/>
  <c r="A14" i="23"/>
  <c r="A15" i="23"/>
  <c r="A16" i="23"/>
  <c r="A17" i="23"/>
  <c r="A18" i="23"/>
  <c r="A19" i="23"/>
  <c r="A20" i="23"/>
  <c r="A21" i="23"/>
  <c r="A22" i="23"/>
  <c r="A23" i="23"/>
  <c r="A24" i="23"/>
  <c r="A25" i="23"/>
  <c r="A2" i="23"/>
  <c r="I29" i="15" l="1"/>
  <c r="I25" i="16" s="1"/>
  <c r="I30" i="15"/>
  <c r="I26" i="16" s="1"/>
  <c r="I28" i="15"/>
  <c r="I24" i="16" s="1"/>
  <c r="H25" i="16"/>
  <c r="H26" i="16"/>
  <c r="H24" i="16"/>
  <c r="J25" i="16"/>
  <c r="J26" i="16"/>
  <c r="J24" i="16"/>
  <c r="K29" i="15" l="1"/>
  <c r="K25" i="16" s="1"/>
  <c r="K30" i="15"/>
  <c r="K26" i="16" s="1"/>
  <c r="K28" i="15"/>
  <c r="K24" i="16" s="1"/>
  <c r="AA3" i="16"/>
  <c r="AA4" i="16"/>
  <c r="AA5" i="16"/>
  <c r="AA6" i="16"/>
  <c r="AA7" i="16"/>
  <c r="AA8" i="16"/>
  <c r="AA9" i="16"/>
  <c r="AA10" i="16"/>
  <c r="AA11" i="16"/>
  <c r="AA12" i="16"/>
  <c r="AA13" i="16"/>
  <c r="AA14" i="16"/>
  <c r="AA15" i="16"/>
  <c r="AA16" i="16"/>
  <c r="AA17" i="16"/>
  <c r="AA18" i="16"/>
  <c r="AA19" i="16"/>
  <c r="AA20" i="16"/>
  <c r="AA21" i="16"/>
  <c r="AA2" i="16"/>
  <c r="AD3" i="16"/>
  <c r="AD4" i="16"/>
  <c r="AD5" i="16"/>
  <c r="AD6" i="16"/>
  <c r="AD7" i="16"/>
  <c r="AD8" i="16"/>
  <c r="AD9" i="16"/>
  <c r="AD10" i="16"/>
  <c r="AD11" i="16"/>
  <c r="AD12" i="16"/>
  <c r="AD13" i="16"/>
  <c r="AD14" i="16"/>
  <c r="AD15" i="16"/>
  <c r="AD16" i="16"/>
  <c r="AD17" i="16"/>
  <c r="AD18" i="16"/>
  <c r="AD19" i="16"/>
  <c r="AD20" i="16"/>
  <c r="AD21" i="16"/>
  <c r="AD2" i="16"/>
  <c r="U3" i="16"/>
  <c r="U4" i="16"/>
  <c r="U5" i="16"/>
  <c r="U6" i="16"/>
  <c r="U7" i="16"/>
  <c r="U8" i="16"/>
  <c r="U9" i="16"/>
  <c r="U10" i="16"/>
  <c r="U11" i="16"/>
  <c r="U12" i="16"/>
  <c r="U13" i="16"/>
  <c r="U14" i="16"/>
  <c r="U15" i="16"/>
  <c r="U16" i="16"/>
  <c r="U17" i="16"/>
  <c r="U18" i="16"/>
  <c r="U19" i="16"/>
  <c r="U20" i="16"/>
  <c r="U21" i="16"/>
  <c r="U2" i="16"/>
  <c r="L3" i="16"/>
  <c r="L4" i="16"/>
  <c r="L5" i="16"/>
  <c r="L6" i="16"/>
  <c r="L7" i="16"/>
  <c r="L8" i="16"/>
  <c r="L9" i="16"/>
  <c r="L10" i="16"/>
  <c r="L11" i="16"/>
  <c r="L12" i="16"/>
  <c r="L13" i="16"/>
  <c r="L14" i="16"/>
  <c r="L15" i="16"/>
  <c r="L16" i="16"/>
  <c r="L17" i="16"/>
  <c r="L18" i="16"/>
  <c r="L19" i="16"/>
  <c r="L20" i="16"/>
  <c r="L21" i="16"/>
  <c r="L2" i="16"/>
  <c r="W3" i="16"/>
  <c r="W4" i="16"/>
  <c r="W5" i="16"/>
  <c r="W6" i="16"/>
  <c r="W7" i="16"/>
  <c r="W8" i="16"/>
  <c r="W9" i="16"/>
  <c r="W10" i="16"/>
  <c r="W11" i="16"/>
  <c r="W12" i="16"/>
  <c r="W13" i="16"/>
  <c r="W14" i="16"/>
  <c r="W15" i="16"/>
  <c r="W16" i="16"/>
  <c r="W17" i="16"/>
  <c r="W18" i="16"/>
  <c r="W19" i="16"/>
  <c r="W20" i="16"/>
  <c r="W21" i="16"/>
  <c r="W2" i="16"/>
  <c r="R3" i="16"/>
  <c r="R4" i="16"/>
  <c r="R5" i="16"/>
  <c r="R6" i="16"/>
  <c r="R7" i="16"/>
  <c r="R8" i="16"/>
  <c r="R9" i="16"/>
  <c r="R10" i="16"/>
  <c r="R11" i="16"/>
  <c r="R12" i="16"/>
  <c r="R13" i="16"/>
  <c r="R14" i="16"/>
  <c r="R15" i="16"/>
  <c r="R16" i="16"/>
  <c r="R17" i="16"/>
  <c r="R18" i="16"/>
  <c r="R19" i="16"/>
  <c r="R20" i="16"/>
  <c r="R21" i="16"/>
  <c r="R2" i="16"/>
  <c r="N3" i="16"/>
  <c r="N4" i="16"/>
  <c r="N5" i="16"/>
  <c r="N6" i="16"/>
  <c r="N7" i="16"/>
  <c r="N8" i="16"/>
  <c r="N9" i="16"/>
  <c r="N10" i="16"/>
  <c r="N11" i="16"/>
  <c r="N12" i="16"/>
  <c r="N13" i="16"/>
  <c r="N14" i="16"/>
  <c r="N15" i="16"/>
  <c r="N16" i="16"/>
  <c r="N17" i="16"/>
  <c r="N18" i="16"/>
  <c r="N19" i="16"/>
  <c r="N20" i="16"/>
  <c r="N21" i="16"/>
  <c r="N2" i="16"/>
  <c r="I3" i="16"/>
  <c r="I4" i="16"/>
  <c r="I5" i="16"/>
  <c r="I6" i="16"/>
  <c r="I7" i="16"/>
  <c r="I8" i="16"/>
  <c r="I9" i="16"/>
  <c r="I10" i="16"/>
  <c r="I11" i="16"/>
  <c r="I12" i="16"/>
  <c r="I13" i="16"/>
  <c r="I14" i="16"/>
  <c r="I15" i="16"/>
  <c r="I16" i="16"/>
  <c r="I17" i="16"/>
  <c r="I18" i="16"/>
  <c r="I19" i="16"/>
  <c r="I20" i="16"/>
  <c r="I21" i="16"/>
  <c r="I2" i="16"/>
  <c r="R3" i="15"/>
  <c r="R4" i="15"/>
  <c r="R5" i="15"/>
  <c r="R6" i="15"/>
  <c r="R7" i="15"/>
  <c r="R8" i="15"/>
  <c r="R9" i="15"/>
  <c r="R10" i="15"/>
  <c r="R11" i="15"/>
  <c r="R12" i="15"/>
  <c r="R13" i="15"/>
  <c r="R14" i="15"/>
  <c r="R15" i="15"/>
  <c r="R16" i="15"/>
  <c r="R17" i="15"/>
  <c r="R18" i="15"/>
  <c r="R19" i="15"/>
  <c r="R20" i="15"/>
  <c r="R21" i="15"/>
  <c r="R22" i="15"/>
  <c r="R23" i="15"/>
  <c r="R24" i="15"/>
  <c r="R25" i="15"/>
  <c r="R2" i="15"/>
  <c r="N3" i="15"/>
  <c r="N4" i="15"/>
  <c r="N5" i="15"/>
  <c r="N6" i="15"/>
  <c r="N7" i="15"/>
  <c r="N8" i="15"/>
  <c r="N9" i="15"/>
  <c r="N10" i="15"/>
  <c r="N11" i="15"/>
  <c r="N12" i="15"/>
  <c r="N13" i="15"/>
  <c r="N14" i="15"/>
  <c r="N15" i="15"/>
  <c r="N16" i="15"/>
  <c r="N17" i="15"/>
  <c r="N18" i="15"/>
  <c r="N19" i="15"/>
  <c r="N20" i="15"/>
  <c r="N21" i="15"/>
  <c r="N22" i="15"/>
  <c r="N23" i="15"/>
  <c r="N24" i="15"/>
  <c r="N25" i="15"/>
  <c r="N2" i="15"/>
  <c r="I3" i="15"/>
  <c r="I4" i="15"/>
  <c r="I5" i="15"/>
  <c r="I6" i="15"/>
  <c r="I7" i="15"/>
  <c r="I8" i="15"/>
  <c r="I9" i="15"/>
  <c r="I10" i="15"/>
  <c r="I11" i="15"/>
  <c r="I12" i="15"/>
  <c r="I13" i="15"/>
  <c r="I14" i="15"/>
  <c r="I15" i="15"/>
  <c r="I16" i="15"/>
  <c r="I17" i="15"/>
  <c r="I18" i="15"/>
  <c r="I19" i="15"/>
  <c r="I20" i="15"/>
  <c r="I21" i="15"/>
  <c r="I22" i="15"/>
  <c r="I23" i="15"/>
  <c r="I24" i="15"/>
  <c r="I25" i="15"/>
  <c r="I2" i="15"/>
  <c r="K5" i="22"/>
  <c r="E6" i="16" l="1"/>
  <c r="E17" i="16"/>
  <c r="E14" i="15"/>
  <c r="E9" i="15"/>
  <c r="E23" i="15"/>
  <c r="E7" i="15"/>
  <c r="E16" i="15"/>
  <c r="E25" i="15"/>
  <c r="E15" i="16"/>
  <c r="E6" i="15"/>
  <c r="E15" i="15"/>
  <c r="E24" i="15"/>
  <c r="E8" i="16"/>
  <c r="E13" i="16"/>
  <c r="E22" i="15"/>
  <c r="E8" i="15"/>
  <c r="E17" i="15"/>
  <c r="E2" i="16"/>
  <c r="E16" i="16"/>
  <c r="E14" i="16"/>
  <c r="E7" i="16"/>
  <c r="E5" i="16"/>
  <c r="E21" i="16"/>
  <c r="E18" i="15"/>
  <c r="E11" i="15"/>
  <c r="E4" i="15"/>
  <c r="E20" i="15"/>
  <c r="E13" i="15"/>
  <c r="E2" i="15"/>
  <c r="E20" i="16"/>
  <c r="E18" i="16"/>
  <c r="E11" i="16"/>
  <c r="E9" i="16"/>
  <c r="E4" i="16"/>
  <c r="E10" i="15"/>
  <c r="E3" i="15"/>
  <c r="E19" i="15"/>
  <c r="E12" i="15"/>
  <c r="E5" i="15"/>
  <c r="E21" i="15"/>
  <c r="E12" i="16"/>
  <c r="E10" i="16"/>
  <c r="E3" i="16"/>
  <c r="E19" i="16"/>
  <c r="L2" i="15"/>
  <c r="M23" i="19" l="1"/>
  <c r="F23" i="19"/>
  <c r="H23" i="19" s="1"/>
  <c r="V22" i="19"/>
  <c r="M22" i="19"/>
  <c r="H22" i="19"/>
  <c r="R22" i="19" s="1"/>
  <c r="AG22" i="19" s="1"/>
  <c r="F22" i="19"/>
  <c r="F21" i="19"/>
  <c r="H21" i="19" s="1"/>
  <c r="F20" i="19"/>
  <c r="H20" i="19" s="1"/>
  <c r="F19" i="19"/>
  <c r="H19" i="19" s="1"/>
  <c r="V18" i="19"/>
  <c r="M18" i="19"/>
  <c r="H18" i="19"/>
  <c r="R18" i="19" s="1"/>
  <c r="AG18" i="19" s="1"/>
  <c r="F18" i="19"/>
  <c r="AE17" i="19"/>
  <c r="F17" i="19"/>
  <c r="H17" i="19" s="1"/>
  <c r="F16" i="19"/>
  <c r="H16" i="19" s="1"/>
  <c r="F15" i="19"/>
  <c r="H15" i="19" s="1"/>
  <c r="V14" i="19"/>
  <c r="M14" i="19"/>
  <c r="H14" i="19"/>
  <c r="R14" i="19" s="1"/>
  <c r="AG14" i="19" s="1"/>
  <c r="F14" i="19"/>
  <c r="F13" i="19"/>
  <c r="H13" i="19" s="1"/>
  <c r="F12" i="19"/>
  <c r="H12" i="19" s="1"/>
  <c r="F11" i="19"/>
  <c r="H11" i="19" s="1"/>
  <c r="V10" i="19"/>
  <c r="M10" i="19"/>
  <c r="H10" i="19"/>
  <c r="R10" i="19" s="1"/>
  <c r="AG10" i="19" s="1"/>
  <c r="F10" i="19"/>
  <c r="F9" i="19"/>
  <c r="H9" i="19" s="1"/>
  <c r="F8" i="19"/>
  <c r="H8" i="19" s="1"/>
  <c r="M7" i="19"/>
  <c r="F7" i="19"/>
  <c r="H7" i="19" s="1"/>
  <c r="V6" i="19"/>
  <c r="M6" i="19"/>
  <c r="H6" i="19"/>
  <c r="R6" i="19" s="1"/>
  <c r="AG6" i="19" s="1"/>
  <c r="F6" i="19"/>
  <c r="F5" i="19"/>
  <c r="H5" i="19" s="1"/>
  <c r="F15" i="18"/>
  <c r="I15" i="18" s="1"/>
  <c r="N14" i="18"/>
  <c r="F14" i="18"/>
  <c r="I14" i="18" s="1"/>
  <c r="W13" i="18"/>
  <c r="N13" i="18"/>
  <c r="I13" i="18"/>
  <c r="F13" i="18"/>
  <c r="S12" i="18"/>
  <c r="F12" i="18"/>
  <c r="I12" i="18" s="1"/>
  <c r="F11" i="18"/>
  <c r="I11" i="18" s="1"/>
  <c r="N10" i="18"/>
  <c r="F10" i="18"/>
  <c r="I10" i="18" s="1"/>
  <c r="W9" i="18"/>
  <c r="N9" i="18"/>
  <c r="I9" i="18"/>
  <c r="F9" i="18"/>
  <c r="F8" i="18"/>
  <c r="I8" i="18" s="1"/>
  <c r="F7" i="18"/>
  <c r="I7" i="18" s="1"/>
  <c r="AH23" i="17"/>
  <c r="Z23" i="17"/>
  <c r="U23" i="17"/>
  <c r="Q23" i="17"/>
  <c r="H23" i="17"/>
  <c r="AD23" i="17" s="1"/>
  <c r="F23" i="17"/>
  <c r="AD22" i="17"/>
  <c r="U22" i="17"/>
  <c r="F22" i="17"/>
  <c r="H22" i="17" s="1"/>
  <c r="AQ21" i="17"/>
  <c r="Z21" i="17"/>
  <c r="H21" i="17"/>
  <c r="F21" i="17"/>
  <c r="F20" i="17"/>
  <c r="H20" i="17" s="1"/>
  <c r="F19" i="17"/>
  <c r="H19" i="17" s="1"/>
  <c r="U18" i="17"/>
  <c r="AU18" i="17" s="1"/>
  <c r="L18" i="17"/>
  <c r="H18" i="17"/>
  <c r="AM18" i="17" s="1"/>
  <c r="F18" i="17"/>
  <c r="H17" i="17"/>
  <c r="F17" i="17"/>
  <c r="F16" i="17"/>
  <c r="H16" i="17" s="1"/>
  <c r="F15" i="17"/>
  <c r="H15" i="17" s="1"/>
  <c r="AH14" i="17"/>
  <c r="AD14" i="17"/>
  <c r="Z14" i="17"/>
  <c r="H14" i="17"/>
  <c r="U14" i="17" s="1"/>
  <c r="F14" i="17"/>
  <c r="AD13" i="17"/>
  <c r="F13" i="17"/>
  <c r="H13" i="17" s="1"/>
  <c r="F12" i="17"/>
  <c r="H12" i="17" s="1"/>
  <c r="F11" i="17"/>
  <c r="H11" i="17" s="1"/>
  <c r="Q11" i="17" s="1"/>
  <c r="Q10" i="17"/>
  <c r="L10" i="17"/>
  <c r="H10" i="17"/>
  <c r="AQ10" i="17" s="1"/>
  <c r="F10" i="17"/>
  <c r="AQ9" i="17"/>
  <c r="H9" i="17"/>
  <c r="F9" i="17"/>
  <c r="F8" i="17"/>
  <c r="H8" i="17" s="1"/>
  <c r="AM7" i="17"/>
  <c r="F7" i="17"/>
  <c r="H7" i="17" s="1"/>
  <c r="AH6" i="17"/>
  <c r="AD6" i="17"/>
  <c r="H6" i="17"/>
  <c r="Z6" i="17" s="1"/>
  <c r="F6" i="17"/>
  <c r="F5" i="17"/>
  <c r="H5" i="17" s="1"/>
  <c r="F21" i="16"/>
  <c r="G21" i="16" s="1"/>
  <c r="F20" i="16"/>
  <c r="G20" i="16" s="1"/>
  <c r="F19" i="16"/>
  <c r="G19" i="16" s="1"/>
  <c r="T19" i="16" s="1"/>
  <c r="F18" i="16"/>
  <c r="G18" i="16" s="1"/>
  <c r="AC18" i="16" s="1"/>
  <c r="F17" i="16"/>
  <c r="G17" i="16" s="1"/>
  <c r="F16" i="16"/>
  <c r="G16" i="16" s="1"/>
  <c r="K16" i="16" s="1"/>
  <c r="F15" i="16"/>
  <c r="G15" i="16" s="1"/>
  <c r="F14" i="16"/>
  <c r="G14" i="16" s="1"/>
  <c r="Y14" i="16" s="1"/>
  <c r="F13" i="16"/>
  <c r="G13" i="16" s="1"/>
  <c r="F12" i="16"/>
  <c r="G12" i="16" s="1"/>
  <c r="F11" i="16"/>
  <c r="G11" i="16" s="1"/>
  <c r="P11" i="16" s="1"/>
  <c r="F10" i="16"/>
  <c r="G10" i="16" s="1"/>
  <c r="F9" i="16"/>
  <c r="G9" i="16" s="1"/>
  <c r="F8" i="16"/>
  <c r="G8" i="16" s="1"/>
  <c r="K8" i="16" s="1"/>
  <c r="F7" i="16"/>
  <c r="G7" i="16" s="1"/>
  <c r="T7" i="16" s="1"/>
  <c r="F6" i="16"/>
  <c r="G6" i="16" s="1"/>
  <c r="F5" i="16"/>
  <c r="G5" i="16" s="1"/>
  <c r="F4" i="16"/>
  <c r="G4" i="16" s="1"/>
  <c r="K4" i="16" s="1"/>
  <c r="F3" i="16"/>
  <c r="G3" i="16" s="1"/>
  <c r="T3" i="16" s="1"/>
  <c r="F2" i="16"/>
  <c r="G2" i="16" s="1"/>
  <c r="Y2" i="16" s="1"/>
  <c r="V25" i="15"/>
  <c r="L25" i="15"/>
  <c r="F25" i="15"/>
  <c r="G25" i="15" s="1"/>
  <c r="T25" i="15" s="1"/>
  <c r="Y25" i="15" s="1"/>
  <c r="C25" i="25" s="1"/>
  <c r="V24" i="15"/>
  <c r="L24" i="15"/>
  <c r="F24" i="15"/>
  <c r="G24" i="15" s="1"/>
  <c r="V23" i="15"/>
  <c r="L23" i="15"/>
  <c r="F23" i="15"/>
  <c r="G23" i="15" s="1"/>
  <c r="K23" i="15" s="1"/>
  <c r="V22" i="15"/>
  <c r="L22" i="15"/>
  <c r="F22" i="15"/>
  <c r="G22" i="15" s="1"/>
  <c r="V21" i="15"/>
  <c r="L21" i="15"/>
  <c r="F21" i="15"/>
  <c r="G21" i="15" s="1"/>
  <c r="T21" i="15" s="1"/>
  <c r="V20" i="15"/>
  <c r="L20" i="15"/>
  <c r="F20" i="15"/>
  <c r="G20" i="15" s="1"/>
  <c r="T20" i="15" s="1"/>
  <c r="V19" i="15"/>
  <c r="L19" i="15"/>
  <c r="F19" i="15"/>
  <c r="G19" i="15" s="1"/>
  <c r="V18" i="15"/>
  <c r="L18" i="15"/>
  <c r="F18" i="15"/>
  <c r="G18" i="15" s="1"/>
  <c r="K18" i="15" s="1"/>
  <c r="V17" i="15"/>
  <c r="L17" i="15"/>
  <c r="F17" i="15"/>
  <c r="G17" i="15" s="1"/>
  <c r="P17" i="15" s="1"/>
  <c r="V16" i="15"/>
  <c r="L16" i="15"/>
  <c r="F16" i="15"/>
  <c r="G16" i="15" s="1"/>
  <c r="V15" i="15"/>
  <c r="L15" i="15"/>
  <c r="F15" i="15"/>
  <c r="G15" i="15" s="1"/>
  <c r="K15" i="15" s="1"/>
  <c r="V14" i="15"/>
  <c r="L14" i="15"/>
  <c r="F14" i="15"/>
  <c r="G14" i="15" s="1"/>
  <c r="V13" i="15"/>
  <c r="L13" i="15"/>
  <c r="F13" i="15"/>
  <c r="G13" i="15" s="1"/>
  <c r="P13" i="15" s="1"/>
  <c r="V12" i="15"/>
  <c r="L12" i="15"/>
  <c r="F12" i="15"/>
  <c r="G12" i="15" s="1"/>
  <c r="T12" i="15" s="1"/>
  <c r="Y12" i="15" s="1"/>
  <c r="C12" i="25" s="1"/>
  <c r="V11" i="15"/>
  <c r="L11" i="15"/>
  <c r="F11" i="15"/>
  <c r="G11" i="15" s="1"/>
  <c r="K11" i="15" s="1"/>
  <c r="V10" i="15"/>
  <c r="L10" i="15"/>
  <c r="F10" i="15"/>
  <c r="G10" i="15" s="1"/>
  <c r="V9" i="15"/>
  <c r="L9" i="15"/>
  <c r="F9" i="15"/>
  <c r="G9" i="15" s="1"/>
  <c r="V8" i="15"/>
  <c r="L8" i="15"/>
  <c r="F8" i="15"/>
  <c r="G8" i="15" s="1"/>
  <c r="V7" i="15"/>
  <c r="L7" i="15"/>
  <c r="F7" i="15"/>
  <c r="G7" i="15" s="1"/>
  <c r="K7" i="15" s="1"/>
  <c r="V6" i="15"/>
  <c r="L6" i="15"/>
  <c r="F6" i="15"/>
  <c r="G6" i="15" s="1"/>
  <c r="V5" i="15"/>
  <c r="L5" i="15"/>
  <c r="F5" i="15"/>
  <c r="G5" i="15" s="1"/>
  <c r="V4" i="15"/>
  <c r="L4" i="15"/>
  <c r="F4" i="15"/>
  <c r="G4" i="15" s="1"/>
  <c r="V3" i="15"/>
  <c r="L3" i="15"/>
  <c r="F3" i="15"/>
  <c r="G3" i="15" s="1"/>
  <c r="V2" i="15"/>
  <c r="F2" i="15"/>
  <c r="G2" i="15" s="1"/>
  <c r="K2" i="15" s="1"/>
  <c r="AC14" i="16" l="1"/>
  <c r="T23" i="15"/>
  <c r="A305" i="20" s="1"/>
  <c r="P7" i="16"/>
  <c r="AF7" i="16" s="1"/>
  <c r="P3" i="15"/>
  <c r="T3" i="15"/>
  <c r="Y3" i="15" s="1"/>
  <c r="C3" i="25" s="1"/>
  <c r="AC2" i="16"/>
  <c r="P18" i="15"/>
  <c r="T18" i="15"/>
  <c r="Y18" i="15" s="1"/>
  <c r="C18" i="25" s="1"/>
  <c r="P15" i="15"/>
  <c r="T17" i="15"/>
  <c r="Y17" i="15" s="1"/>
  <c r="C17" i="25" s="1"/>
  <c r="P23" i="15"/>
  <c r="K25" i="15"/>
  <c r="P12" i="15"/>
  <c r="W12" i="15" s="1"/>
  <c r="Y18" i="16"/>
  <c r="X2" i="15"/>
  <c r="C2" i="23" s="1"/>
  <c r="T14" i="15"/>
  <c r="P14" i="15"/>
  <c r="K14" i="15"/>
  <c r="L19" i="17"/>
  <c r="AD19" i="17"/>
  <c r="U19" i="17"/>
  <c r="AU19" i="17" s="1"/>
  <c r="AQ19" i="17"/>
  <c r="AM19" i="17"/>
  <c r="AH19" i="17"/>
  <c r="Z19" i="17"/>
  <c r="Q19" i="17"/>
  <c r="T9" i="15"/>
  <c r="P9" i="15"/>
  <c r="K9" i="15"/>
  <c r="AH8" i="17"/>
  <c r="AD8" i="17"/>
  <c r="Z8" i="17"/>
  <c r="U8" i="17"/>
  <c r="AU8" i="17" s="1"/>
  <c r="Q8" i="17"/>
  <c r="L8" i="17"/>
  <c r="AQ8" i="17"/>
  <c r="AM8" i="17"/>
  <c r="AH16" i="17"/>
  <c r="AD16" i="17"/>
  <c r="Z16" i="17"/>
  <c r="U16" i="17"/>
  <c r="AU16" i="17" s="1"/>
  <c r="Q16" i="17"/>
  <c r="L16" i="17"/>
  <c r="AQ16" i="17"/>
  <c r="AM16" i="17"/>
  <c r="T22" i="15"/>
  <c r="P22" i="15"/>
  <c r="K22" i="15"/>
  <c r="T4" i="15"/>
  <c r="P4" i="15"/>
  <c r="K4" i="15"/>
  <c r="X7" i="15"/>
  <c r="C7" i="23" s="1"/>
  <c r="K5" i="15"/>
  <c r="P5" i="15"/>
  <c r="T5" i="15"/>
  <c r="K8" i="15"/>
  <c r="T8" i="15"/>
  <c r="P8" i="15"/>
  <c r="T6" i="15"/>
  <c r="P6" i="15"/>
  <c r="K6" i="15"/>
  <c r="K10" i="15"/>
  <c r="T10" i="15"/>
  <c r="P10" i="15"/>
  <c r="T6" i="16"/>
  <c r="P6" i="16"/>
  <c r="K6" i="16"/>
  <c r="X11" i="15"/>
  <c r="C11" i="23" s="1"/>
  <c r="T16" i="15"/>
  <c r="P16" i="15"/>
  <c r="X18" i="15"/>
  <c r="C18" i="23" s="1"/>
  <c r="K20" i="15"/>
  <c r="X23" i="15"/>
  <c r="C23" i="23" s="1"/>
  <c r="AC4" i="16"/>
  <c r="Y4" i="16"/>
  <c r="T4" i="16"/>
  <c r="P4" i="16"/>
  <c r="AE4" i="16" s="1"/>
  <c r="AC6" i="16"/>
  <c r="AC9" i="16"/>
  <c r="Y9" i="16"/>
  <c r="T9" i="16"/>
  <c r="P9" i="16"/>
  <c r="K9" i="16"/>
  <c r="T11" i="16"/>
  <c r="T14" i="16"/>
  <c r="P14" i="16"/>
  <c r="K14" i="16"/>
  <c r="K19" i="16"/>
  <c r="AC19" i="16"/>
  <c r="Y19" i="16"/>
  <c r="U11" i="17"/>
  <c r="AU11" i="17" s="1"/>
  <c r="U13" i="17"/>
  <c r="AU13" i="17" s="1"/>
  <c r="Q13" i="17"/>
  <c r="L13" i="17"/>
  <c r="AQ13" i="17"/>
  <c r="AM13" i="17"/>
  <c r="AH13" i="17"/>
  <c r="Y6" i="16"/>
  <c r="P2" i="15"/>
  <c r="T2" i="15"/>
  <c r="A10" i="20" s="1"/>
  <c r="P7" i="15"/>
  <c r="T13" i="15"/>
  <c r="X15" i="15"/>
  <c r="C15" i="23" s="1"/>
  <c r="K16" i="15"/>
  <c r="K17" i="15"/>
  <c r="T19" i="15"/>
  <c r="P19" i="15"/>
  <c r="K19" i="15"/>
  <c r="P21" i="15"/>
  <c r="W21" i="15" s="1"/>
  <c r="K21" i="15"/>
  <c r="T2" i="16"/>
  <c r="P2" i="16"/>
  <c r="K2" i="16"/>
  <c r="K7" i="16"/>
  <c r="AC7" i="16"/>
  <c r="Y7" i="16"/>
  <c r="P19" i="16"/>
  <c r="AF19" i="16" s="1"/>
  <c r="Z13" i="17"/>
  <c r="AE8" i="19"/>
  <c r="AA8" i="19"/>
  <c r="V8" i="19"/>
  <c r="AI8" i="19" s="1"/>
  <c r="R8" i="19"/>
  <c r="AG8" i="19" s="1"/>
  <c r="M8" i="19"/>
  <c r="AC16" i="16"/>
  <c r="Y16" i="16"/>
  <c r="T16" i="16"/>
  <c r="P16" i="16"/>
  <c r="AE16" i="16" s="1"/>
  <c r="T7" i="15"/>
  <c r="A79" i="20" s="1"/>
  <c r="P20" i="15"/>
  <c r="W20" i="15" s="1"/>
  <c r="AC12" i="16"/>
  <c r="Y12" i="16"/>
  <c r="T12" i="16"/>
  <c r="P12" i="16"/>
  <c r="AC17" i="16"/>
  <c r="Y17" i="16"/>
  <c r="T17" i="16"/>
  <c r="P17" i="16"/>
  <c r="K17" i="16"/>
  <c r="U5" i="17"/>
  <c r="AU5" i="17" s="1"/>
  <c r="Q5" i="17"/>
  <c r="L5" i="17"/>
  <c r="AQ5" i="17"/>
  <c r="AM5" i="17"/>
  <c r="AH5" i="17"/>
  <c r="N8" i="18"/>
  <c r="X8" i="18" s="1"/>
  <c r="AD8" i="18"/>
  <c r="W8" i="18"/>
  <c r="S8" i="18"/>
  <c r="Z13" i="18"/>
  <c r="L11" i="17"/>
  <c r="AQ11" i="17"/>
  <c r="AM11" i="17"/>
  <c r="AH11" i="17"/>
  <c r="AD11" i="17"/>
  <c r="Z11" i="17"/>
  <c r="AS11" i="17" s="1"/>
  <c r="AW11" i="17" s="1"/>
  <c r="AA5" i="19"/>
  <c r="AH5" i="19" s="1"/>
  <c r="R5" i="19"/>
  <c r="M5" i="19"/>
  <c r="AE5" i="19"/>
  <c r="Y21" i="15"/>
  <c r="C21" i="25" s="1"/>
  <c r="AC5" i="16"/>
  <c r="Y5" i="16"/>
  <c r="T5" i="16"/>
  <c r="P5" i="16"/>
  <c r="K5" i="16"/>
  <c r="T10" i="16"/>
  <c r="P10" i="16"/>
  <c r="K10" i="16"/>
  <c r="K12" i="16"/>
  <c r="K15" i="16"/>
  <c r="AC15" i="16"/>
  <c r="Y15" i="16"/>
  <c r="Z5" i="17"/>
  <c r="AS5" i="17" s="1"/>
  <c r="AW5" i="17" s="1"/>
  <c r="Q12" i="17"/>
  <c r="L12" i="17"/>
  <c r="AQ12" i="17"/>
  <c r="AM12" i="17"/>
  <c r="AH12" i="17"/>
  <c r="AD12" i="17"/>
  <c r="AD15" i="17"/>
  <c r="Z15" i="17"/>
  <c r="AS15" i="17" s="1"/>
  <c r="AW15" i="17" s="1"/>
  <c r="U15" i="17"/>
  <c r="AU15" i="17" s="1"/>
  <c r="Q15" i="17"/>
  <c r="L15" i="17"/>
  <c r="AQ15" i="17"/>
  <c r="AM17" i="17"/>
  <c r="AH17" i="17"/>
  <c r="AD17" i="17"/>
  <c r="Z17" i="17"/>
  <c r="AS17" i="17" s="1"/>
  <c r="AW17" i="17" s="1"/>
  <c r="U17" i="17"/>
  <c r="AU17" i="17" s="1"/>
  <c r="Q17" i="17"/>
  <c r="K11" i="16"/>
  <c r="AE11" i="16" s="1"/>
  <c r="AC11" i="16"/>
  <c r="Y11" i="16"/>
  <c r="K13" i="15"/>
  <c r="AC21" i="16"/>
  <c r="Y21" i="16"/>
  <c r="T21" i="16"/>
  <c r="P21" i="16"/>
  <c r="K21" i="16"/>
  <c r="K3" i="15"/>
  <c r="P11" i="15"/>
  <c r="K12" i="15"/>
  <c r="T15" i="15"/>
  <c r="A193" i="20" s="1"/>
  <c r="K3" i="16"/>
  <c r="AC3" i="16"/>
  <c r="Y3" i="16"/>
  <c r="Y10" i="16"/>
  <c r="P15" i="16"/>
  <c r="AC20" i="16"/>
  <c r="Y20" i="16"/>
  <c r="T20" i="16"/>
  <c r="P20" i="16"/>
  <c r="AD5" i="17"/>
  <c r="AD7" i="17"/>
  <c r="Z7" i="17"/>
  <c r="U7" i="17"/>
  <c r="Q7" i="17"/>
  <c r="L7" i="17"/>
  <c r="AQ7" i="17"/>
  <c r="AM9" i="17"/>
  <c r="AH9" i="17"/>
  <c r="AD9" i="17"/>
  <c r="Z9" i="17"/>
  <c r="U9" i="17"/>
  <c r="Q9" i="17"/>
  <c r="U12" i="17"/>
  <c r="AU12" i="17" s="1"/>
  <c r="AH15" i="17"/>
  <c r="L17" i="17"/>
  <c r="AE11" i="19"/>
  <c r="AA11" i="19"/>
  <c r="AH11" i="19" s="1"/>
  <c r="V11" i="19"/>
  <c r="R11" i="19"/>
  <c r="M11" i="19"/>
  <c r="T24" i="15"/>
  <c r="P24" i="15"/>
  <c r="K24" i="15"/>
  <c r="Q20" i="17"/>
  <c r="AH20" i="17"/>
  <c r="Z20" i="17"/>
  <c r="AQ20" i="17"/>
  <c r="AM20" i="17"/>
  <c r="AD20" i="17"/>
  <c r="U20" i="17"/>
  <c r="AU20" i="17" s="1"/>
  <c r="L20" i="17"/>
  <c r="AA21" i="19"/>
  <c r="AH21" i="19" s="1"/>
  <c r="V21" i="19"/>
  <c r="R21" i="19"/>
  <c r="M21" i="19"/>
  <c r="AE21" i="19"/>
  <c r="V5" i="19"/>
  <c r="T11" i="15"/>
  <c r="U11" i="15" s="1"/>
  <c r="Y20" i="15"/>
  <c r="C20" i="25" s="1"/>
  <c r="P3" i="16"/>
  <c r="AC8" i="16"/>
  <c r="Y8" i="16"/>
  <c r="T8" i="16"/>
  <c r="P8" i="16"/>
  <c r="AE8" i="16" s="1"/>
  <c r="AC10" i="16"/>
  <c r="AC13" i="16"/>
  <c r="Y13" i="16"/>
  <c r="T13" i="16"/>
  <c r="P13" i="16"/>
  <c r="K13" i="16"/>
  <c r="T15" i="16"/>
  <c r="T18" i="16"/>
  <c r="P18" i="16"/>
  <c r="K18" i="16"/>
  <c r="K20" i="16"/>
  <c r="AH7" i="17"/>
  <c r="L9" i="17"/>
  <c r="Z12" i="17"/>
  <c r="AM15" i="17"/>
  <c r="AQ17" i="17"/>
  <c r="P25" i="15"/>
  <c r="W25" i="15" s="1"/>
  <c r="AM6" i="17"/>
  <c r="AS6" i="17" s="1"/>
  <c r="AW6" i="17" s="1"/>
  <c r="U10" i="17"/>
  <c r="AU10" i="17" s="1"/>
  <c r="AM14" i="17"/>
  <c r="AS14" i="17" s="1"/>
  <c r="AW14" i="17" s="1"/>
  <c r="AD18" i="17"/>
  <c r="W10" i="18"/>
  <c r="X10" i="18" s="1"/>
  <c r="S10" i="18"/>
  <c r="N12" i="18"/>
  <c r="X12" i="18" s="1"/>
  <c r="AD12" i="18"/>
  <c r="AD14" i="18"/>
  <c r="W14" i="18"/>
  <c r="Z14" i="18" s="1"/>
  <c r="S14" i="18"/>
  <c r="AQ6" i="17"/>
  <c r="Z10" i="17"/>
  <c r="AQ14" i="17"/>
  <c r="AH18" i="17"/>
  <c r="X14" i="18"/>
  <c r="AA9" i="19"/>
  <c r="AH9" i="19" s="1"/>
  <c r="V9" i="19"/>
  <c r="R9" i="19"/>
  <c r="M9" i="19"/>
  <c r="AE12" i="19"/>
  <c r="AA12" i="19"/>
  <c r="V12" i="19"/>
  <c r="R12" i="19"/>
  <c r="AG12" i="19" s="1"/>
  <c r="M12" i="19"/>
  <c r="AE15" i="19"/>
  <c r="AA15" i="19"/>
  <c r="V15" i="19"/>
  <c r="AI15" i="19" s="1"/>
  <c r="R15" i="19"/>
  <c r="L6" i="17"/>
  <c r="AD10" i="17"/>
  <c r="L14" i="17"/>
  <c r="AU14" i="17" s="1"/>
  <c r="AT14" i="17" s="1"/>
  <c r="AV14" i="17" s="1"/>
  <c r="U21" i="17"/>
  <c r="AM21" i="17"/>
  <c r="AH21" i="17"/>
  <c r="AD21" i="17"/>
  <c r="AS21" i="17" s="1"/>
  <c r="AW21" i="17" s="1"/>
  <c r="Z22" i="17"/>
  <c r="AQ22" i="17"/>
  <c r="AM22" i="17"/>
  <c r="AH22" i="17"/>
  <c r="AD10" i="18"/>
  <c r="W12" i="18"/>
  <c r="AE9" i="19"/>
  <c r="M15" i="19"/>
  <c r="Q6" i="17"/>
  <c r="AH10" i="17"/>
  <c r="Q14" i="17"/>
  <c r="L21" i="17"/>
  <c r="L22" i="17"/>
  <c r="AU22" i="17" s="1"/>
  <c r="AD7" i="18"/>
  <c r="W7" i="18"/>
  <c r="Z7" i="18" s="1"/>
  <c r="S7" i="18"/>
  <c r="N7" i="18"/>
  <c r="AD15" i="18"/>
  <c r="W15" i="18"/>
  <c r="Z15" i="18" s="1"/>
  <c r="S15" i="18"/>
  <c r="N15" i="18"/>
  <c r="AA13" i="19"/>
  <c r="V13" i="19"/>
  <c r="AI13" i="19" s="1"/>
  <c r="R13" i="19"/>
  <c r="AG13" i="19" s="1"/>
  <c r="M13" i="19"/>
  <c r="AE16" i="19"/>
  <c r="AA16" i="19"/>
  <c r="AH16" i="19" s="1"/>
  <c r="V16" i="19"/>
  <c r="R16" i="19"/>
  <c r="M16" i="19"/>
  <c r="AE19" i="19"/>
  <c r="AA19" i="19"/>
  <c r="AH19" i="19" s="1"/>
  <c r="V19" i="19"/>
  <c r="R19" i="19"/>
  <c r="U6" i="17"/>
  <c r="AU6" i="17" s="1"/>
  <c r="AM10" i="17"/>
  <c r="Q21" i="17"/>
  <c r="Q22" i="17"/>
  <c r="S9" i="18"/>
  <c r="Z9" i="18" s="1"/>
  <c r="AD9" i="18"/>
  <c r="AD11" i="18"/>
  <c r="W11" i="18"/>
  <c r="S11" i="18"/>
  <c r="N11" i="18"/>
  <c r="X11" i="18" s="1"/>
  <c r="AE13" i="19"/>
  <c r="M19" i="19"/>
  <c r="AQ18" i="17"/>
  <c r="Z18" i="17"/>
  <c r="Q18" i="17"/>
  <c r="X9" i="18"/>
  <c r="S13" i="18"/>
  <c r="AD13" i="18"/>
  <c r="X13" i="18" s="1"/>
  <c r="AE7" i="19"/>
  <c r="AA7" i="19"/>
  <c r="AH7" i="19" s="1"/>
  <c r="V7" i="19"/>
  <c r="R7" i="19"/>
  <c r="AG7" i="19" s="1"/>
  <c r="AA17" i="19"/>
  <c r="AH17" i="19" s="1"/>
  <c r="V17" i="19"/>
  <c r="AI17" i="19" s="1"/>
  <c r="R17" i="19"/>
  <c r="M17" i="19"/>
  <c r="AE20" i="19"/>
  <c r="AA20" i="19"/>
  <c r="AH20" i="19" s="1"/>
  <c r="V20" i="19"/>
  <c r="R20" i="19"/>
  <c r="M20" i="19"/>
  <c r="AE23" i="19"/>
  <c r="AA23" i="19"/>
  <c r="V23" i="19"/>
  <c r="R23" i="19"/>
  <c r="AG23" i="19" s="1"/>
  <c r="AM23" i="17"/>
  <c r="AS23" i="17" s="1"/>
  <c r="AW23" i="17" s="1"/>
  <c r="AA6" i="19"/>
  <c r="AH6" i="19" s="1"/>
  <c r="AA10" i="19"/>
  <c r="AH10" i="19" s="1"/>
  <c r="AA14" i="19"/>
  <c r="AH14" i="19" s="1"/>
  <c r="AA18" i="19"/>
  <c r="AH18" i="19" s="1"/>
  <c r="AA22" i="19"/>
  <c r="AH22" i="19" s="1"/>
  <c r="AQ23" i="17"/>
  <c r="AE6" i="19"/>
  <c r="AE10" i="19"/>
  <c r="AE14" i="19"/>
  <c r="AE18" i="19"/>
  <c r="AE22" i="19"/>
  <c r="AI22" i="19" s="1"/>
  <c r="L23" i="17"/>
  <c r="AU23" i="17" s="1"/>
  <c r="AT23" i="17" s="1"/>
  <c r="AV23" i="17" s="1"/>
  <c r="A331" i="20" l="1"/>
  <c r="A332" i="20"/>
  <c r="AE7" i="16"/>
  <c r="X25" i="15"/>
  <c r="C25" i="23" s="1"/>
  <c r="A304" i="20"/>
  <c r="A333" i="20"/>
  <c r="U25" i="15"/>
  <c r="A334" i="20" s="1"/>
  <c r="Y23" i="15"/>
  <c r="C23" i="25" s="1"/>
  <c r="U23" i="15"/>
  <c r="A299" i="20" s="1"/>
  <c r="A303" i="20"/>
  <c r="W23" i="15"/>
  <c r="A233" i="20"/>
  <c r="W3" i="15"/>
  <c r="AE14" i="16"/>
  <c r="W18" i="15"/>
  <c r="U18" i="15"/>
  <c r="A232" i="20" s="1"/>
  <c r="A235" i="20"/>
  <c r="W17" i="15"/>
  <c r="A234" i="20"/>
  <c r="AG3" i="16"/>
  <c r="AG19" i="16"/>
  <c r="AG7" i="16"/>
  <c r="AE15" i="16"/>
  <c r="A136" i="20"/>
  <c r="A9" i="20"/>
  <c r="AE2" i="16"/>
  <c r="AE13" i="16"/>
  <c r="AE21" i="16"/>
  <c r="AE3" i="16"/>
  <c r="AE6" i="16"/>
  <c r="AE18" i="16"/>
  <c r="AE5" i="16"/>
  <c r="AE17" i="16"/>
  <c r="A129" i="20"/>
  <c r="A128" i="20"/>
  <c r="A133" i="20"/>
  <c r="A132" i="20"/>
  <c r="Z11" i="15"/>
  <c r="C11" i="24" s="1"/>
  <c r="A138" i="20"/>
  <c r="A131" i="20"/>
  <c r="A134" i="20"/>
  <c r="A164" i="20"/>
  <c r="A163" i="20"/>
  <c r="A165" i="20"/>
  <c r="X13" i="15"/>
  <c r="C13" i="23" s="1"/>
  <c r="U13" i="15"/>
  <c r="A162" i="20" s="1"/>
  <c r="AG20" i="19"/>
  <c r="AS18" i="17"/>
  <c r="Z11" i="18"/>
  <c r="AG19" i="19"/>
  <c r="AF15" i="18"/>
  <c r="AE15" i="18"/>
  <c r="AI12" i="19"/>
  <c r="AF14" i="18"/>
  <c r="AE14" i="18"/>
  <c r="A319" i="20"/>
  <c r="A318" i="20"/>
  <c r="A317" i="20"/>
  <c r="U24" i="15"/>
  <c r="A321" i="20" s="1"/>
  <c r="X24" i="15"/>
  <c r="C24" i="23" s="1"/>
  <c r="AE20" i="16"/>
  <c r="AH8" i="19"/>
  <c r="A221" i="20"/>
  <c r="A220" i="20"/>
  <c r="A219" i="20"/>
  <c r="U17" i="15"/>
  <c r="A215" i="20" s="1"/>
  <c r="X17" i="15"/>
  <c r="C17" i="23" s="1"/>
  <c r="W2" i="15"/>
  <c r="Y2" i="15"/>
  <c r="C2" i="25" s="1"/>
  <c r="A263" i="20"/>
  <c r="A262" i="20"/>
  <c r="A261" i="20"/>
  <c r="X20" i="15"/>
  <c r="C20" i="23" s="1"/>
  <c r="U20" i="15"/>
  <c r="A264" i="20" s="1"/>
  <c r="AG6" i="16"/>
  <c r="AF6" i="16"/>
  <c r="Y6" i="15"/>
  <c r="C6" i="25" s="1"/>
  <c r="W6" i="15"/>
  <c r="U7" i="15"/>
  <c r="A74" i="20" s="1"/>
  <c r="A11" i="20"/>
  <c r="AG13" i="16"/>
  <c r="AF13" i="16"/>
  <c r="AI20" i="19"/>
  <c r="AI7" i="19"/>
  <c r="AF11" i="18"/>
  <c r="AE11" i="18"/>
  <c r="AI19" i="19"/>
  <c r="X7" i="18"/>
  <c r="AH12" i="19"/>
  <c r="AF12" i="18"/>
  <c r="AE12" i="18"/>
  <c r="Y11" i="15"/>
  <c r="C11" i="25" s="1"/>
  <c r="W11" i="15"/>
  <c r="AF20" i="16"/>
  <c r="AG20" i="16"/>
  <c r="Z8" i="18"/>
  <c r="AF16" i="16"/>
  <c r="AG16" i="16"/>
  <c r="A207" i="20"/>
  <c r="A206" i="20"/>
  <c r="A205" i="20"/>
  <c r="X16" i="15"/>
  <c r="C16" i="23" s="1"/>
  <c r="U16" i="15"/>
  <c r="A200" i="20" s="1"/>
  <c r="A39" i="20"/>
  <c r="A38" i="20"/>
  <c r="A37" i="20"/>
  <c r="X4" i="15"/>
  <c r="C4" i="23" s="1"/>
  <c r="U4" i="15"/>
  <c r="A36" i="20" s="1"/>
  <c r="W9" i="15"/>
  <c r="Y9" i="15"/>
  <c r="C9" i="25" s="1"/>
  <c r="AG17" i="16"/>
  <c r="AF17" i="16"/>
  <c r="W7" i="15"/>
  <c r="Y7" i="15"/>
  <c r="C7" i="25" s="1"/>
  <c r="Y19" i="15"/>
  <c r="C19" i="25" s="1"/>
  <c r="W19" i="15"/>
  <c r="A109" i="20"/>
  <c r="A108" i="20"/>
  <c r="A107" i="20"/>
  <c r="U9" i="15"/>
  <c r="A106" i="20" s="1"/>
  <c r="X9" i="15"/>
  <c r="C9" i="23" s="1"/>
  <c r="AE9" i="18"/>
  <c r="AF9" i="18"/>
  <c r="AI18" i="19"/>
  <c r="AS22" i="17"/>
  <c r="AW22" i="17" s="1"/>
  <c r="AG15" i="19"/>
  <c r="AI5" i="19"/>
  <c r="Y24" i="15"/>
  <c r="C24" i="25" s="1"/>
  <c r="W24" i="15"/>
  <c r="AF8" i="18"/>
  <c r="AE8" i="18"/>
  <c r="AT5" i="17"/>
  <c r="AV5" i="17" s="1"/>
  <c r="AE12" i="16"/>
  <c r="A135" i="20"/>
  <c r="AG2" i="16"/>
  <c r="AF2" i="16"/>
  <c r="U15" i="15"/>
  <c r="A195" i="20" s="1"/>
  <c r="AG14" i="16"/>
  <c r="AF14" i="16"/>
  <c r="A139" i="20"/>
  <c r="Y8" i="15"/>
  <c r="C8" i="25" s="1"/>
  <c r="W8" i="15"/>
  <c r="A80" i="20"/>
  <c r="A179" i="20"/>
  <c r="A178" i="20"/>
  <c r="A177" i="20"/>
  <c r="U14" i="15"/>
  <c r="A173" i="20" s="1"/>
  <c r="X14" i="15"/>
  <c r="C14" i="23" s="1"/>
  <c r="A25" i="20"/>
  <c r="A24" i="20"/>
  <c r="A23" i="20"/>
  <c r="U3" i="15"/>
  <c r="A18" i="20" s="1"/>
  <c r="X3" i="15"/>
  <c r="C3" i="23" s="1"/>
  <c r="AS10" i="17"/>
  <c r="AW10" i="17" s="1"/>
  <c r="AG5" i="16"/>
  <c r="AF5" i="16"/>
  <c r="AF12" i="16"/>
  <c r="AG12" i="16"/>
  <c r="AS13" i="17"/>
  <c r="AW13" i="17" s="1"/>
  <c r="A276" i="20"/>
  <c r="A275" i="20"/>
  <c r="A277" i="20"/>
  <c r="U21" i="15"/>
  <c r="A274" i="20" s="1"/>
  <c r="X21" i="15"/>
  <c r="C21" i="23" s="1"/>
  <c r="AT11" i="17"/>
  <c r="AV11" i="17" s="1"/>
  <c r="AG11" i="16"/>
  <c r="AF11" i="16"/>
  <c r="AF4" i="16"/>
  <c r="AG4" i="16"/>
  <c r="W16" i="15"/>
  <c r="Y16" i="15"/>
  <c r="C16" i="25" s="1"/>
  <c r="A95" i="20"/>
  <c r="A94" i="20"/>
  <c r="A93" i="20"/>
  <c r="X8" i="15"/>
  <c r="C8" i="23" s="1"/>
  <c r="U8" i="15"/>
  <c r="A92" i="20" s="1"/>
  <c r="A81" i="20"/>
  <c r="W4" i="15"/>
  <c r="Y4" i="15"/>
  <c r="C4" i="25" s="1"/>
  <c r="AT16" i="17"/>
  <c r="AV16" i="17" s="1"/>
  <c r="AS19" i="17"/>
  <c r="AW19" i="17" s="1"/>
  <c r="AT6" i="17"/>
  <c r="AV6" i="17" s="1"/>
  <c r="AT10" i="17"/>
  <c r="AV10" i="17" s="1"/>
  <c r="AF13" i="18"/>
  <c r="AE13" i="18"/>
  <c r="AH13" i="19"/>
  <c r="AF7" i="18"/>
  <c r="AE7" i="18"/>
  <c r="AH15" i="19"/>
  <c r="AG9" i="19"/>
  <c r="Z10" i="18"/>
  <c r="AG15" i="16"/>
  <c r="AF15" i="16"/>
  <c r="AF8" i="16"/>
  <c r="AG8" i="16"/>
  <c r="AG11" i="19"/>
  <c r="AU9" i="17"/>
  <c r="AU7" i="17"/>
  <c r="Y15" i="15"/>
  <c r="C15" i="25" s="1"/>
  <c r="W15" i="15"/>
  <c r="AG21" i="16"/>
  <c r="AF21" i="16"/>
  <c r="AI10" i="19"/>
  <c r="A137" i="20"/>
  <c r="AE19" i="16"/>
  <c r="A191" i="20"/>
  <c r="W13" i="15"/>
  <c r="Y13" i="15"/>
  <c r="C13" i="25" s="1"/>
  <c r="W10" i="15"/>
  <c r="Y10" i="15"/>
  <c r="C10" i="25" s="1"/>
  <c r="Y5" i="15"/>
  <c r="C5" i="25" s="1"/>
  <c r="W5" i="15"/>
  <c r="A291" i="20"/>
  <c r="A290" i="20"/>
  <c r="A289" i="20"/>
  <c r="U22" i="15"/>
  <c r="A288" i="20" s="1"/>
  <c r="X22" i="15"/>
  <c r="C22" i="23" s="1"/>
  <c r="AS16" i="17"/>
  <c r="AW16" i="17" s="1"/>
  <c r="AS8" i="17"/>
  <c r="AW8" i="17" s="1"/>
  <c r="W14" i="15"/>
  <c r="Y14" i="15"/>
  <c r="C14" i="25" s="1"/>
  <c r="AG18" i="16"/>
  <c r="AF18" i="16"/>
  <c r="AI23" i="19"/>
  <c r="AH23" i="19"/>
  <c r="AG17" i="19"/>
  <c r="AI6" i="19"/>
  <c r="AG16" i="19"/>
  <c r="X15" i="18"/>
  <c r="Z12" i="18"/>
  <c r="AI9" i="19"/>
  <c r="AI14" i="19"/>
  <c r="AS12" i="17"/>
  <c r="AW12" i="17" s="1"/>
  <c r="AG21" i="19"/>
  <c r="AS20" i="17"/>
  <c r="AW20" i="17" s="1"/>
  <c r="AI11" i="19"/>
  <c r="AS9" i="17"/>
  <c r="AW9" i="17" s="1"/>
  <c r="AS7" i="17"/>
  <c r="AW7" i="17" s="1"/>
  <c r="A151" i="20"/>
  <c r="A150" i="20"/>
  <c r="A149" i="20"/>
  <c r="X12" i="15"/>
  <c r="C12" i="23" s="1"/>
  <c r="U12" i="15"/>
  <c r="A152" i="20" s="1"/>
  <c r="AE10" i="16"/>
  <c r="AG5" i="19"/>
  <c r="AF3" i="16"/>
  <c r="A130" i="20"/>
  <c r="A249" i="20"/>
  <c r="A248" i="20"/>
  <c r="A247" i="20"/>
  <c r="U19" i="15"/>
  <c r="A246" i="20" s="1"/>
  <c r="X19" i="15"/>
  <c r="C19" i="23" s="1"/>
  <c r="A192" i="20"/>
  <c r="AE9" i="16"/>
  <c r="A121" i="20"/>
  <c r="A123" i="20"/>
  <c r="A122" i="20"/>
  <c r="X10" i="15"/>
  <c r="C10" i="23" s="1"/>
  <c r="U10" i="15"/>
  <c r="A125" i="20" s="1"/>
  <c r="U2" i="15"/>
  <c r="A13" i="20" s="1"/>
  <c r="AI16" i="19"/>
  <c r="AF10" i="18"/>
  <c r="AE10" i="18"/>
  <c r="AU21" i="17"/>
  <c r="AT21" i="17" s="1"/>
  <c r="AV21" i="17" s="1"/>
  <c r="AI21" i="19"/>
  <c r="AT17" i="17"/>
  <c r="AV17" i="17" s="1"/>
  <c r="AT15" i="17"/>
  <c r="AV15" i="17" s="1"/>
  <c r="AG10" i="16"/>
  <c r="AF10" i="16"/>
  <c r="AG9" i="16"/>
  <c r="AF9" i="16"/>
  <c r="A67" i="20"/>
  <c r="A66" i="20"/>
  <c r="A65" i="20"/>
  <c r="U6" i="15"/>
  <c r="A60" i="20" s="1"/>
  <c r="X6" i="15"/>
  <c r="C6" i="23" s="1"/>
  <c r="A52" i="20"/>
  <c r="A51" i="20"/>
  <c r="A53" i="20"/>
  <c r="X5" i="15"/>
  <c r="C5" i="23" s="1"/>
  <c r="U5" i="15"/>
  <c r="A50" i="20" s="1"/>
  <c r="W22" i="15"/>
  <c r="Y22" i="15"/>
  <c r="C22" i="25" s="1"/>
  <c r="A140" i="20" l="1"/>
  <c r="AA11" i="15" s="1"/>
  <c r="C11" i="26" s="1"/>
  <c r="A236" i="20"/>
  <c r="Z25" i="15"/>
  <c r="C25" i="24" s="1"/>
  <c r="A229" i="20"/>
  <c r="Z23" i="15"/>
  <c r="C23" i="24" s="1"/>
  <c r="A228" i="20"/>
  <c r="A296" i="20"/>
  <c r="A297" i="20"/>
  <c r="A226" i="20"/>
  <c r="A302" i="20"/>
  <c r="A300" i="20"/>
  <c r="A301" i="20"/>
  <c r="A306" i="20"/>
  <c r="A307" i="20"/>
  <c r="Z18" i="15"/>
  <c r="C18" i="24" s="1"/>
  <c r="A227" i="20"/>
  <c r="A335" i="20"/>
  <c r="A324" i="20"/>
  <c r="A330" i="20"/>
  <c r="A325" i="20"/>
  <c r="A328" i="20"/>
  <c r="A326" i="20"/>
  <c r="A327" i="20"/>
  <c r="A329" i="20"/>
  <c r="A298" i="20"/>
  <c r="A230" i="20"/>
  <c r="A231" i="20"/>
  <c r="A237" i="20"/>
  <c r="A260" i="20"/>
  <c r="A256" i="20"/>
  <c r="A208" i="20"/>
  <c r="A117" i="20"/>
  <c r="A89" i="20"/>
  <c r="A312" i="20"/>
  <c r="A144" i="20"/>
  <c r="A320" i="20"/>
  <c r="A124" i="20"/>
  <c r="A265" i="20"/>
  <c r="A242" i="20"/>
  <c r="A284" i="20"/>
  <c r="A243" i="20"/>
  <c r="A250" i="20"/>
  <c r="A292" i="20"/>
  <c r="A270" i="20"/>
  <c r="A201" i="20"/>
  <c r="A167" i="20"/>
  <c r="A285" i="20"/>
  <c r="A278" i="20"/>
  <c r="A209" i="20"/>
  <c r="A251" i="20"/>
  <c r="A271" i="20"/>
  <c r="A40" i="20"/>
  <c r="A32" i="20"/>
  <c r="A68" i="20"/>
  <c r="A61" i="20"/>
  <c r="A64" i="20"/>
  <c r="A83" i="20"/>
  <c r="A27" i="20"/>
  <c r="A41" i="20"/>
  <c r="A22" i="20"/>
  <c r="A19" i="20"/>
  <c r="A4" i="20"/>
  <c r="AW18" i="17"/>
  <c r="AT18" i="17"/>
  <c r="AV18" i="17" s="1"/>
  <c r="A47" i="20"/>
  <c r="A55" i="20"/>
  <c r="A7" i="20"/>
  <c r="A6" i="20"/>
  <c r="A3" i="20"/>
  <c r="A2" i="20"/>
  <c r="Z2" i="15"/>
  <c r="C2" i="24" s="1"/>
  <c r="A8" i="20"/>
  <c r="A5" i="20"/>
  <c r="A12" i="20"/>
  <c r="A241" i="20"/>
  <c r="A240" i="20"/>
  <c r="A245" i="20"/>
  <c r="A244" i="20"/>
  <c r="Z19" i="15"/>
  <c r="C19" i="24" s="1"/>
  <c r="AT9" i="17"/>
  <c r="AV9" i="17" s="1"/>
  <c r="A88" i="20"/>
  <c r="A268" i="20"/>
  <c r="A273" i="20"/>
  <c r="A272" i="20"/>
  <c r="Z21" i="15"/>
  <c r="C21" i="24" s="1"/>
  <c r="A269" i="20"/>
  <c r="A176" i="20"/>
  <c r="AT12" i="17"/>
  <c r="AV12" i="17" s="1"/>
  <c r="A110" i="20"/>
  <c r="A199" i="20"/>
  <c r="A198" i="20"/>
  <c r="A203" i="20"/>
  <c r="A202" i="20"/>
  <c r="Z16" i="15"/>
  <c r="C16" i="24" s="1"/>
  <c r="AT19" i="17"/>
  <c r="AV19" i="17" s="1"/>
  <c r="A166" i="20"/>
  <c r="A119" i="20"/>
  <c r="A118" i="20"/>
  <c r="A115" i="20"/>
  <c r="A114" i="20"/>
  <c r="Z10" i="15"/>
  <c r="C10" i="24" s="1"/>
  <c r="A120" i="20"/>
  <c r="AT8" i="17"/>
  <c r="AV8" i="17" s="1"/>
  <c r="A96" i="20"/>
  <c r="A103" i="20"/>
  <c r="A259" i="20"/>
  <c r="A258" i="20"/>
  <c r="A255" i="20"/>
  <c r="A254" i="20"/>
  <c r="Z20" i="15"/>
  <c r="C20" i="24" s="1"/>
  <c r="A257" i="20"/>
  <c r="A159" i="20"/>
  <c r="A97" i="20"/>
  <c r="A214" i="20"/>
  <c r="A104" i="20"/>
  <c r="A101" i="20"/>
  <c r="A100" i="20"/>
  <c r="A105" i="20"/>
  <c r="Z9" i="15"/>
  <c r="C9" i="24" s="1"/>
  <c r="A147" i="20"/>
  <c r="A146" i="20"/>
  <c r="A143" i="20"/>
  <c r="A142" i="20"/>
  <c r="Z12" i="15"/>
  <c r="C12" i="24" s="1"/>
  <c r="A145" i="20"/>
  <c r="A172" i="20"/>
  <c r="AT20" i="17"/>
  <c r="AV20" i="17" s="1"/>
  <c r="A77" i="20"/>
  <c r="A76" i="20"/>
  <c r="A73" i="20"/>
  <c r="A72" i="20"/>
  <c r="Z7" i="15"/>
  <c r="C7" i="24" s="1"/>
  <c r="A75" i="20"/>
  <c r="A82" i="20"/>
  <c r="A78" i="20"/>
  <c r="A222" i="20"/>
  <c r="A311" i="20"/>
  <c r="A310" i="20"/>
  <c r="A315" i="20"/>
  <c r="A314" i="20"/>
  <c r="Z24" i="15"/>
  <c r="C24" i="24" s="1"/>
  <c r="A156" i="20"/>
  <c r="A161" i="20"/>
  <c r="A160" i="20"/>
  <c r="Z13" i="15"/>
  <c r="C13" i="24" s="1"/>
  <c r="A157" i="20"/>
  <c r="A44" i="20"/>
  <c r="A49" i="20"/>
  <c r="A48" i="20"/>
  <c r="A45" i="20"/>
  <c r="Z5" i="15"/>
  <c r="C5" i="24" s="1"/>
  <c r="A46" i="20"/>
  <c r="A59" i="20"/>
  <c r="A58" i="20"/>
  <c r="A63" i="20"/>
  <c r="Z6" i="15"/>
  <c r="C6" i="24" s="1"/>
  <c r="A62" i="20"/>
  <c r="A69" i="20"/>
  <c r="A116" i="20"/>
  <c r="A148" i="20"/>
  <c r="A153" i="20"/>
  <c r="A283" i="20"/>
  <c r="A282" i="20"/>
  <c r="A287" i="20"/>
  <c r="A286" i="20"/>
  <c r="Z22" i="15"/>
  <c r="C22" i="24" s="1"/>
  <c r="A293" i="20"/>
  <c r="A279" i="20"/>
  <c r="A17" i="20"/>
  <c r="A16" i="20"/>
  <c r="A21" i="20"/>
  <c r="A20" i="20"/>
  <c r="Z3" i="15"/>
  <c r="C3" i="24" s="1"/>
  <c r="A26" i="20"/>
  <c r="A180" i="20"/>
  <c r="A35" i="20"/>
  <c r="A34" i="20"/>
  <c r="A31" i="20"/>
  <c r="A30" i="20"/>
  <c r="Z4" i="15"/>
  <c r="C4" i="24" s="1"/>
  <c r="A33" i="20"/>
  <c r="A204" i="20"/>
  <c r="A313" i="20"/>
  <c r="A54" i="20"/>
  <c r="A87" i="20"/>
  <c r="A86" i="20"/>
  <c r="A91" i="20"/>
  <c r="A90" i="20"/>
  <c r="Z8" i="15"/>
  <c r="C8" i="24" s="1"/>
  <c r="AT13" i="17"/>
  <c r="AV13" i="17" s="1"/>
  <c r="A216" i="20"/>
  <c r="A213" i="20"/>
  <c r="A212" i="20"/>
  <c r="A217" i="20"/>
  <c r="Z17" i="15"/>
  <c r="C17" i="24" s="1"/>
  <c r="A223" i="20"/>
  <c r="A111" i="20"/>
  <c r="AT7" i="17"/>
  <c r="AV7" i="17" s="1"/>
  <c r="A171" i="20"/>
  <c r="A170" i="20"/>
  <c r="A175" i="20"/>
  <c r="A174" i="20"/>
  <c r="Z14" i="15"/>
  <c r="C14" i="24" s="1"/>
  <c r="A181" i="20"/>
  <c r="A189" i="20"/>
  <c r="A188" i="20"/>
  <c r="A185" i="20"/>
  <c r="A184" i="20"/>
  <c r="Z15" i="15"/>
  <c r="C15" i="24" s="1"/>
  <c r="A190" i="20"/>
  <c r="A187" i="20"/>
  <c r="A186" i="20"/>
  <c r="A194" i="20"/>
  <c r="A102" i="20"/>
  <c r="A218" i="20"/>
  <c r="A316" i="20"/>
  <c r="A158" i="20"/>
  <c r="AT22" i="17"/>
  <c r="AV22" i="17" s="1"/>
  <c r="A308" i="20" l="1"/>
  <c r="AA23" i="15" s="1"/>
  <c r="C23" i="26" s="1"/>
  <c r="A196" i="20"/>
  <c r="AA15" i="15" s="1"/>
  <c r="C15" i="26" s="1"/>
  <c r="A182" i="20"/>
  <c r="AA14" i="15" s="1"/>
  <c r="C14" i="26" s="1"/>
  <c r="A168" i="20"/>
  <c r="AA13" i="15" s="1"/>
  <c r="C13" i="26" s="1"/>
  <c r="A112" i="20"/>
  <c r="AA9" i="15" s="1"/>
  <c r="C9" i="26" s="1"/>
  <c r="A266" i="20"/>
  <c r="AA20" i="15" s="1"/>
  <c r="C20" i="26" s="1"/>
  <c r="A126" i="20"/>
  <c r="AA10" i="15" s="1"/>
  <c r="C10" i="26" s="1"/>
  <c r="A252" i="20"/>
  <c r="AA19" i="15" s="1"/>
  <c r="C19" i="26" s="1"/>
  <c r="A294" i="20"/>
  <c r="AA22" i="15" s="1"/>
  <c r="C22" i="26" s="1"/>
  <c r="A154" i="20"/>
  <c r="AA12" i="15" s="1"/>
  <c r="C12" i="26" s="1"/>
  <c r="A210" i="20"/>
  <c r="AA16" i="15" s="1"/>
  <c r="C16" i="26" s="1"/>
  <c r="A98" i="20"/>
  <c r="AA8" i="15" s="1"/>
  <c r="C8" i="26" s="1"/>
  <c r="A322" i="20"/>
  <c r="AA24" i="15" s="1"/>
  <c r="C24" i="26" s="1"/>
  <c r="A280" i="20"/>
  <c r="AA21" i="15" s="1"/>
  <c r="C21" i="26" s="1"/>
  <c r="A336" i="20"/>
  <c r="AA25" i="15" s="1"/>
  <c r="C25" i="26" s="1"/>
  <c r="A224" i="20"/>
  <c r="AA17" i="15" s="1"/>
  <c r="C17" i="26" s="1"/>
  <c r="A238" i="20"/>
  <c r="AA18" i="15" s="1"/>
  <c r="C18" i="26" s="1"/>
  <c r="A42" i="20"/>
  <c r="AA4" i="15" s="1"/>
  <c r="C4" i="26" s="1"/>
  <c r="A56" i="20"/>
  <c r="AA5" i="15" s="1"/>
  <c r="C5" i="26" s="1"/>
  <c r="A84" i="20"/>
  <c r="AA7" i="15" s="1"/>
  <c r="C7" i="26" s="1"/>
  <c r="A28" i="20"/>
  <c r="AA3" i="15" s="1"/>
  <c r="C3" i="26" s="1"/>
  <c r="A70" i="20"/>
  <c r="AA6" i="15" s="1"/>
  <c r="C6" i="26" s="1"/>
  <c r="A14" i="20"/>
  <c r="AA2" i="15" s="1"/>
  <c r="C2" i="26" s="1"/>
</calcChain>
</file>

<file path=xl/sharedStrings.xml><?xml version="1.0" encoding="utf-8"?>
<sst xmlns="http://schemas.openxmlformats.org/spreadsheetml/2006/main" count="560" uniqueCount="152">
  <si>
    <t>DATOS DE CONEXIÓN</t>
  </si>
  <si>
    <t>Com Port</t>
  </si>
  <si>
    <t>Baud Rate</t>
  </si>
  <si>
    <t>Parity</t>
  </si>
  <si>
    <t>N</t>
  </si>
  <si>
    <t>Data Bits</t>
  </si>
  <si>
    <t>Stop Bits</t>
  </si>
  <si>
    <t>Cerrado</t>
  </si>
  <si>
    <t>Nº de muest.</t>
  </si>
  <si>
    <t>Peso suelo
 g</t>
  </si>
  <si>
    <t>Humedad 
%</t>
  </si>
  <si>
    <t>M.O. g/Kg 
sms 105ºC</t>
  </si>
  <si>
    <t>Calgón
g</t>
  </si>
  <si>
    <t>M.O. %</t>
  </si>
  <si>
    <t>NºCáp. Arci.</t>
  </si>
  <si>
    <t>T. Cáp. Arci.</t>
  </si>
  <si>
    <t>T + P.arc. g</t>
  </si>
  <si>
    <t>Arcilla    %
P3</t>
  </si>
  <si>
    <t>NºCáp.L.g+Arc.</t>
  </si>
  <si>
    <t>T.Cáp.L.g+Arc.</t>
  </si>
  <si>
    <t>T + P. Lg+Arc.</t>
  </si>
  <si>
    <t>Limo g. + Arc.
P1</t>
  </si>
  <si>
    <t>NºCáp.Are.</t>
  </si>
  <si>
    <t>T. Cáp.Aren.</t>
  </si>
  <si>
    <t>T + P. are. g</t>
  </si>
  <si>
    <t xml:space="preserve">     Arena    %</t>
  </si>
  <si>
    <t>Limo %</t>
  </si>
  <si>
    <t>Are+L.g+Arc.
Cierre</t>
  </si>
  <si>
    <t>Arcilla
%</t>
  </si>
  <si>
    <t>Arena Total
%</t>
  </si>
  <si>
    <t>Limo Total
%</t>
  </si>
  <si>
    <t>CLASIFICACIÓN 
USDA</t>
  </si>
  <si>
    <t>Peso suelo
g</t>
  </si>
  <si>
    <t>Humedad %</t>
  </si>
  <si>
    <t>Peso suelo g</t>
  </si>
  <si>
    <t>T + P.Arc. g</t>
  </si>
  <si>
    <t>Arcilla %
P3</t>
  </si>
  <si>
    <t>NºCáp.Lf+Arc.</t>
  </si>
  <si>
    <t>T.Cáp.Lf+Arc.</t>
  </si>
  <si>
    <t>T+P. Lf+Arc.</t>
  </si>
  <si>
    <t>Limo f. + Arc.
P2</t>
  </si>
  <si>
    <t>NºCáp.Lf+Lg+Arc.</t>
  </si>
  <si>
    <t>T.Cáp.Lf+Lg+Arc.</t>
  </si>
  <si>
    <t>T+P. Lf+Lg+Arc.</t>
  </si>
  <si>
    <t>L.f+L.g.+Arc.
P1</t>
  </si>
  <si>
    <t>NºCáp.Are.f.</t>
  </si>
  <si>
    <t>T. Cáp.Are.f.</t>
  </si>
  <si>
    <t>T + P. are.f. g</t>
  </si>
  <si>
    <t>Arena f.%
(0,05-0,2 mm)</t>
  </si>
  <si>
    <t>NºCáp.Are.g.</t>
  </si>
  <si>
    <t>T. Cáp.Are.g.</t>
  </si>
  <si>
    <t>T + P.Are.g.</t>
  </si>
  <si>
    <t>Arena g.% 
(0,2-2,0 mm)</t>
  </si>
  <si>
    <t>Limo f.(0,002-0,02mm)</t>
  </si>
  <si>
    <t>Limo g. (0,020-0,050)</t>
  </si>
  <si>
    <t>Arc+Limo+ Arena %</t>
  </si>
  <si>
    <t>P3</t>
  </si>
  <si>
    <t>(0,002-0,05mm)</t>
  </si>
  <si>
    <t>P1</t>
  </si>
  <si>
    <t>P2</t>
  </si>
  <si>
    <t>(0,02-0,05mm)</t>
  </si>
  <si>
    <t>(0,002-0,02mm)</t>
  </si>
  <si>
    <t>NºCáp.Hum.</t>
  </si>
  <si>
    <t>T.Cáp.Hum.</t>
  </si>
  <si>
    <t>T + P.h. g</t>
  </si>
  <si>
    <t>T + P.s. g</t>
  </si>
  <si>
    <t xml:space="preserve">           Arcilla     %</t>
  </si>
  <si>
    <t>NºCáp.L.+Arc.</t>
  </si>
  <si>
    <t>T.Cáp.L.+Arc.</t>
  </si>
  <si>
    <t>T + P. L+Arc.</t>
  </si>
  <si>
    <t>Lt.(0,002-0,05mm)</t>
  </si>
  <si>
    <t>Lf.+Ac(&lt;0,02mm)</t>
  </si>
  <si>
    <t xml:space="preserve">     Arena % (2,0-1,0mm)</t>
  </si>
  <si>
    <t xml:space="preserve">     Arena % (1,0-0,5mm)</t>
  </si>
  <si>
    <t xml:space="preserve">     Arena % (05,-0,25mm)</t>
  </si>
  <si>
    <t xml:space="preserve">     Arena % (0,25-0,10mm)</t>
  </si>
  <si>
    <t xml:space="preserve">     Arena % (0,10-0,050mm)</t>
  </si>
  <si>
    <t>Limo g. %</t>
  </si>
  <si>
    <t>Limo f. %</t>
  </si>
  <si>
    <t>Limo f+g %</t>
  </si>
  <si>
    <t>Are+L.g+Arc.</t>
  </si>
  <si>
    <t>EL VOLUMEN PIPETEADO ES DE 19,3 ml.</t>
  </si>
  <si>
    <t>PIPETA ROBINSON SUO72.</t>
  </si>
  <si>
    <t>Carbonatos</t>
  </si>
  <si>
    <t xml:space="preserve">    Arcilla %</t>
  </si>
  <si>
    <t>Limo g. + Arc.</t>
  </si>
  <si>
    <t>NºC.Are:50-63</t>
  </si>
  <si>
    <t xml:space="preserve">     Arena% (50-63)</t>
  </si>
  <si>
    <t>nº cap are&gt;63</t>
  </si>
  <si>
    <t>T. Cáp are.&gt;63</t>
  </si>
  <si>
    <t>T+P. Are.&gt;63</t>
  </si>
  <si>
    <t>Arena&gt;63%</t>
  </si>
  <si>
    <t>Are.total &gt;50</t>
  </si>
  <si>
    <t>Are.total &lt;0,63</t>
  </si>
  <si>
    <t>T + P. Lf+Arc.</t>
  </si>
  <si>
    <t>Limo f. + Arc.</t>
  </si>
  <si>
    <t>T + P. Lf+Lg+Arc.</t>
  </si>
  <si>
    <t>L.f+L.g.+Arc.</t>
  </si>
  <si>
    <t>Arena % (0,05-0,2 mm)</t>
  </si>
  <si>
    <t>Arena g.% (0,2-2,0 mm)</t>
  </si>
  <si>
    <t>Lf%0,002-0,02 mm</t>
  </si>
  <si>
    <t>Arena f. %</t>
  </si>
  <si>
    <t>Arc+L f+Are f.+ Are g %</t>
  </si>
  <si>
    <t>Basics</t>
  </si>
  <si>
    <t>((silt + 1.5*clay) &lt; 15)</t>
  </si>
  <si>
    <t>((silt + 1.5*clay &gt;= 15) &amp;&amp; (silt + 2*clay &lt; 30))</t>
  </si>
  <si>
    <t>((clay &gt;= 7 &amp;&amp; clay &lt; 20) &amp;&amp; (sand &gt; 52) &amp;&amp; ((silt + 2*clay) &gt;= 30) || (clay &lt; 7 &amp;&amp; silt &lt; 50 &amp;&amp; (silt+2*clay)&gt;=30))</t>
  </si>
  <si>
    <t>((clay &gt;= 7 &amp;&amp; clay &lt; 27) &amp;&amp; (silt &gt;= 28 &amp;&amp; silt &lt; 50) &amp;&amp; (sand &lt;= 52))</t>
  </si>
  <si>
    <t>((silt &gt;= 50 &amp;&amp; (clay &gt;= 12 &amp;&amp; clay &lt; 27)) || ((silt &gt;= 50 &amp;&amp; silt &lt; 80) &amp;&amp; clay &lt; 12))</t>
  </si>
  <si>
    <t>(silt &gt;= 80 &amp;&amp; clay &lt; 12)</t>
  </si>
  <si>
    <t xml:space="preserve">((clay &gt;= 20 &amp;&amp; clay &lt; 35) &amp;&amp; (silt &lt; 28) &amp;&amp; (sand &gt; 45)) </t>
  </si>
  <si>
    <t>((clay &gt;= 27 &amp;&amp; clay &lt; 40) &amp;&amp; (sand &gt; 20 &amp;&amp; sand &lt;= 45))</t>
  </si>
  <si>
    <t>((clay &gt;= 27 &amp;&amp; clay &lt; 40) &amp;&amp; (sand  &lt;= 20))</t>
  </si>
  <si>
    <t>(clay &gt;= 35 &amp;&amp; sand &gt; 45)</t>
  </si>
  <si>
    <t>(clay &gt;= 40 &amp;&amp; silt &gt;= 40)</t>
  </si>
  <si>
    <t>(clay &gt;= 40 &amp;&amp; sand &lt;= 45 &amp;&amp; silt &lt; 40)</t>
  </si>
  <si>
    <t>Nº CÁP</t>
  </si>
  <si>
    <t>TARA</t>
  </si>
  <si>
    <t>CÁPSULAS METALICAS</t>
  </si>
  <si>
    <t>FECHA:</t>
  </si>
  <si>
    <t>ESTUFA</t>
  </si>
  <si>
    <t>SU030</t>
  </si>
  <si>
    <t>CÁPSULAS</t>
  </si>
  <si>
    <t>SU034/A</t>
  </si>
  <si>
    <t>BALANZA</t>
  </si>
  <si>
    <t>SU119</t>
  </si>
  <si>
    <t>LAS CÁPSULAS SERÁN TARADAS NUEVAMENTE A LOS TRES MESES:</t>
  </si>
  <si>
    <t>CALCULO CALGÓN</t>
  </si>
  <si>
    <t>NºCáp.Calg</t>
  </si>
  <si>
    <t>T. Cáp. Calg.</t>
  </si>
  <si>
    <t>T + P.Calg. g</t>
  </si>
  <si>
    <t>Peso Calgón</t>
  </si>
  <si>
    <t>CALCULO
 CALGÓN</t>
  </si>
  <si>
    <t>Nº de muestra</t>
  </si>
  <si>
    <t>Clasificación
()</t>
  </si>
  <si>
    <t>Arcilla %
(017)</t>
  </si>
  <si>
    <t>Limo %
(017)</t>
  </si>
  <si>
    <t>Arena %
(017)</t>
  </si>
  <si>
    <t>Fecha</t>
  </si>
  <si>
    <t>Analista</t>
  </si>
  <si>
    <t>Arenosa</t>
  </si>
  <si>
    <t>Arenosa-Franca</t>
  </si>
  <si>
    <t>Franca-Arenosa</t>
  </si>
  <si>
    <t>Franca</t>
  </si>
  <si>
    <t>Franca-Limosa</t>
  </si>
  <si>
    <t>Limosa</t>
  </si>
  <si>
    <t>Franco-Arcillo-Arenosa</t>
  </si>
  <si>
    <t>Franco-Arcillosa</t>
  </si>
  <si>
    <t>Franco-Arcillo-Limosa</t>
  </si>
  <si>
    <t>Arcillo-Arenosa</t>
  </si>
  <si>
    <t>Arcillo-Limosa</t>
  </si>
  <si>
    <t>Arcillosa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</si>
</sst>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"/>
    <numFmt numFmtId="165" formatCode="0.0000"/>
    <numFmt numFmtId="166" formatCode="0.000"/>
  </numFmts>
  <fonts count="4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color rgb="FFFF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4.9989318521683403E-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92">
    <xf numFmtId="0" fontId="0" fillId="0" borderId="0" xfId="0"/>
    <xf numFmtId="0" fontId="2" fillId="0" borderId="1" xfId="0" applyFont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0" fillId="0" borderId="1" xfId="0" applyBorder="1"/>
    <xf numFmtId="0" fontId="0" fillId="0" borderId="0" xfId="0" applyProtection="1"/>
    <xf numFmtId="1" fontId="2" fillId="0" borderId="1" xfId="0" applyNumberFormat="1" applyFont="1" applyBorder="1" applyAlignment="1">
      <alignment horizontal="center" vertical="center"/>
    </xf>
    <xf numFmtId="1" fontId="2" fillId="0" borderId="1" xfId="0" applyNumberFormat="1" applyFont="1" applyBorder="1" applyAlignment="1">
      <alignment horizontal="center" vertical="center" wrapText="1"/>
    </xf>
    <xf numFmtId="2" fontId="2" fillId="0" borderId="1" xfId="0" applyNumberFormat="1" applyFont="1" applyBorder="1" applyAlignment="1">
      <alignment horizontal="center" vertical="center" wrapText="1"/>
    </xf>
    <xf numFmtId="2" fontId="2" fillId="0" borderId="1" xfId="0" applyNumberFormat="1" applyFont="1" applyBorder="1" applyAlignment="1">
      <alignment horizontal="center" vertical="center"/>
    </xf>
    <xf numFmtId="165" fontId="2" fillId="0" borderId="1" xfId="0" applyNumberFormat="1" applyFont="1" applyBorder="1" applyAlignment="1">
      <alignment horizontal="center" vertical="center"/>
    </xf>
    <xf numFmtId="2" fontId="2" fillId="0" borderId="0" xfId="0" applyNumberFormat="1" applyFon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165" fontId="0" fillId="0" borderId="3" xfId="0" applyNumberFormat="1" applyBorder="1" applyAlignment="1">
      <alignment horizontal="center" vertical="center"/>
    </xf>
    <xf numFmtId="164" fontId="2" fillId="0" borderId="1" xfId="0" applyNumberFormat="1" applyFont="1" applyBorder="1" applyAlignment="1">
      <alignment horizontal="center" vertical="center"/>
    </xf>
    <xf numFmtId="2" fontId="0" fillId="0" borderId="0" xfId="0" applyNumberFormat="1" applyBorder="1" applyAlignment="1">
      <alignment horizontal="center" vertical="center"/>
    </xf>
    <xf numFmtId="1" fontId="2" fillId="0" borderId="0" xfId="0" applyNumberFormat="1" applyFont="1" applyBorder="1" applyAlignment="1">
      <alignment horizontal="center" vertical="center"/>
    </xf>
    <xf numFmtId="165" fontId="0" fillId="0" borderId="0" xfId="0" applyNumberFormat="1" applyBorder="1" applyAlignment="1">
      <alignment horizontal="center" vertical="center"/>
    </xf>
    <xf numFmtId="1" fontId="0" fillId="0" borderId="0" xfId="0" applyNumberFormat="1" applyBorder="1" applyAlignment="1">
      <alignment horizontal="center" vertical="center"/>
    </xf>
    <xf numFmtId="2" fontId="2" fillId="0" borderId="1" xfId="0" applyNumberFormat="1" applyFont="1" applyFill="1" applyBorder="1" applyAlignment="1">
      <alignment horizontal="center" vertical="center"/>
    </xf>
    <xf numFmtId="1" fontId="2" fillId="0" borderId="0" xfId="0" applyNumberFormat="1" applyFont="1" applyBorder="1"/>
    <xf numFmtId="1" fontId="0" fillId="0" borderId="0" xfId="0" applyNumberFormat="1" applyBorder="1"/>
    <xf numFmtId="2" fontId="0" fillId="0" borderId="0" xfId="0" applyNumberFormat="1" applyBorder="1"/>
    <xf numFmtId="165" fontId="0" fillId="0" borderId="0" xfId="0" applyNumberFormat="1" applyBorder="1"/>
    <xf numFmtId="2" fontId="2" fillId="0" borderId="0" xfId="0" applyNumberFormat="1" applyFont="1" applyBorder="1" applyAlignment="1">
      <alignment horizontal="center"/>
    </xf>
    <xf numFmtId="1" fontId="1" fillId="0" borderId="0" xfId="0" applyNumberFormat="1" applyFont="1" applyBorder="1"/>
    <xf numFmtId="165" fontId="1" fillId="0" borderId="0" xfId="0" applyNumberFormat="1" applyFont="1" applyBorder="1"/>
    <xf numFmtId="2" fontId="1" fillId="0" borderId="0" xfId="0" applyNumberFormat="1" applyFont="1" applyBorder="1"/>
    <xf numFmtId="2" fontId="2" fillId="0" borderId="0" xfId="0" applyNumberFormat="1" applyFont="1" applyBorder="1"/>
    <xf numFmtId="165" fontId="2" fillId="0" borderId="0" xfId="0" applyNumberFormat="1" applyFont="1" applyBorder="1"/>
    <xf numFmtId="1" fontId="2" fillId="0" borderId="1" xfId="0" applyNumberFormat="1" applyFont="1" applyBorder="1"/>
    <xf numFmtId="1" fontId="0" fillId="0" borderId="1" xfId="0" applyNumberFormat="1" applyBorder="1"/>
    <xf numFmtId="165" fontId="0" fillId="0" borderId="1" xfId="0" applyNumberFormat="1" applyBorder="1"/>
    <xf numFmtId="2" fontId="0" fillId="0" borderId="1" xfId="0" applyNumberFormat="1" applyBorder="1"/>
    <xf numFmtId="0" fontId="0" fillId="0" borderId="1" xfId="0" applyBorder="1" applyAlignment="1">
      <alignment horizontal="center"/>
    </xf>
    <xf numFmtId="2" fontId="2" fillId="0" borderId="1" xfId="0" applyNumberFormat="1" applyFont="1" applyBorder="1"/>
    <xf numFmtId="1" fontId="1" fillId="0" borderId="1" xfId="0" applyNumberFormat="1" applyFont="1" applyBorder="1"/>
    <xf numFmtId="165" fontId="1" fillId="0" borderId="1" xfId="0" applyNumberFormat="1" applyFont="1" applyBorder="1"/>
    <xf numFmtId="165" fontId="0" fillId="0" borderId="1" xfId="0" applyNumberFormat="1" applyBorder="1" applyAlignment="1">
      <alignment horizontal="center"/>
    </xf>
    <xf numFmtId="2" fontId="1" fillId="0" borderId="1" xfId="0" applyNumberFormat="1" applyFont="1" applyBorder="1"/>
    <xf numFmtId="2" fontId="1" fillId="0" borderId="1" xfId="0" applyNumberFormat="1" applyFont="1" applyFill="1" applyBorder="1"/>
    <xf numFmtId="0" fontId="0" fillId="0" borderId="0" xfId="0" applyBorder="1" applyAlignment="1">
      <alignment horizontal="center"/>
    </xf>
    <xf numFmtId="1" fontId="2" fillId="0" borderId="0" xfId="0" applyNumberFormat="1" applyFont="1" applyBorder="1" applyAlignment="1">
      <alignment horizontal="center"/>
    </xf>
    <xf numFmtId="165" fontId="2" fillId="0" borderId="0" xfId="0" applyNumberFormat="1" applyFont="1" applyBorder="1" applyAlignment="1">
      <alignment horizontal="center"/>
    </xf>
    <xf numFmtId="2" fontId="1" fillId="3" borderId="1" xfId="0" applyNumberFormat="1" applyFont="1" applyFill="1" applyBorder="1"/>
    <xf numFmtId="0" fontId="0" fillId="0" borderId="0" xfId="0" applyAlignment="1" applyProtection="1">
      <alignment horizontal="left"/>
    </xf>
    <xf numFmtId="0" fontId="1" fillId="0" borderId="0" xfId="0" applyFont="1" applyAlignment="1" applyProtection="1">
      <alignment horizontal="left"/>
    </xf>
    <xf numFmtId="0" fontId="2" fillId="0" borderId="0" xfId="0" applyFont="1"/>
    <xf numFmtId="0" fontId="2" fillId="0" borderId="1" xfId="0" applyFont="1" applyBorder="1"/>
    <xf numFmtId="14" fontId="0" fillId="0" borderId="0" xfId="0" applyNumberFormat="1"/>
    <xf numFmtId="0" fontId="0" fillId="0" borderId="0" xfId="0" applyBorder="1"/>
    <xf numFmtId="0" fontId="2" fillId="0" borderId="0" xfId="0" applyFont="1" applyBorder="1"/>
    <xf numFmtId="0" fontId="0" fillId="0" borderId="0" xfId="0" applyNumberFormat="1" applyBorder="1" applyAlignment="1">
      <alignment horizontal="center" vertical="center"/>
    </xf>
    <xf numFmtId="165" fontId="0" fillId="0" borderId="1" xfId="0" applyNumberFormat="1" applyBorder="1" applyProtection="1">
      <protection locked="0"/>
    </xf>
    <xf numFmtId="165" fontId="0" fillId="0" borderId="1" xfId="0" applyNumberFormat="1" applyBorder="1" applyAlignment="1" applyProtection="1">
      <alignment horizontal="center"/>
      <protection locked="0"/>
    </xf>
    <xf numFmtId="14" fontId="2" fillId="0" borderId="1" xfId="0" applyNumberFormat="1" applyFont="1" applyBorder="1" applyAlignment="1" applyProtection="1">
      <alignment horizontal="left"/>
      <protection locked="0"/>
    </xf>
    <xf numFmtId="0" fontId="0" fillId="0" borderId="1" xfId="0" applyBorder="1" applyProtection="1">
      <protection locked="0"/>
    </xf>
    <xf numFmtId="0" fontId="2" fillId="4" borderId="0" xfId="0" applyFont="1" applyFill="1"/>
    <xf numFmtId="0" fontId="2" fillId="4" borderId="1" xfId="0" applyFont="1" applyFill="1" applyBorder="1"/>
    <xf numFmtId="1" fontId="2" fillId="0" borderId="1" xfId="0" applyNumberFormat="1" applyFont="1" applyBorder="1" applyAlignment="1" applyProtection="1">
      <alignment horizontal="center" vertical="center"/>
      <protection locked="0"/>
    </xf>
    <xf numFmtId="1" fontId="2" fillId="0" borderId="2" xfId="0" applyNumberFormat="1" applyFont="1" applyBorder="1" applyAlignment="1" applyProtection="1">
      <alignment horizontal="center" vertical="center"/>
      <protection locked="0"/>
    </xf>
    <xf numFmtId="2" fontId="0" fillId="0" borderId="2" xfId="0" applyNumberFormat="1" applyBorder="1" applyAlignment="1" applyProtection="1">
      <alignment horizontal="center" vertical="center"/>
      <protection locked="0"/>
    </xf>
    <xf numFmtId="164" fontId="0" fillId="0" borderId="2" xfId="0" applyNumberFormat="1" applyBorder="1" applyAlignment="1" applyProtection="1">
      <alignment horizontal="center" vertical="center"/>
      <protection locked="0"/>
    </xf>
    <xf numFmtId="1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NumberFormat="1" applyBorder="1" applyAlignment="1" applyProtection="1">
      <alignment horizontal="center" vertical="center"/>
      <protection locked="0"/>
    </xf>
    <xf numFmtId="2" fontId="0" fillId="0" borderId="0" xfId="0" applyNumberFormat="1" applyBorder="1" applyAlignment="1" applyProtection="1">
      <alignment horizontal="center" vertical="center"/>
      <protection locked="0"/>
    </xf>
    <xf numFmtId="1" fontId="1" fillId="0" borderId="1" xfId="0" applyNumberFormat="1" applyFont="1" applyBorder="1" applyAlignment="1" applyProtection="1">
      <alignment horizontal="center" vertical="center"/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164" fontId="0" fillId="0" borderId="1" xfId="0" applyNumberFormat="1" applyBorder="1" applyAlignment="1" applyProtection="1">
      <alignment horizontal="center" vertical="center"/>
      <protection locked="0"/>
    </xf>
    <xf numFmtId="2" fontId="1" fillId="3" borderId="1" xfId="0" applyNumberFormat="1" applyFont="1" applyFill="1" applyBorder="1" applyAlignment="1" applyProtection="1">
      <alignment horizontal="center" vertical="center"/>
      <protection locked="0"/>
    </xf>
    <xf numFmtId="165" fontId="0" fillId="0" borderId="1" xfId="0" applyNumberFormat="1" applyBorder="1" applyAlignment="1" applyProtection="1">
      <alignment horizontal="center" vertical="center"/>
      <protection locked="0"/>
    </xf>
    <xf numFmtId="166" fontId="0" fillId="0" borderId="2" xfId="0" applyNumberFormat="1" applyBorder="1" applyAlignment="1" applyProtection="1">
      <alignment horizontal="center" vertical="center"/>
    </xf>
    <xf numFmtId="2" fontId="0" fillId="0" borderId="1" xfId="0" applyNumberFormat="1" applyBorder="1" applyAlignment="1" applyProtection="1">
      <alignment horizontal="center" vertical="center"/>
    </xf>
    <xf numFmtId="2" fontId="2" fillId="0" borderId="1" xfId="0" applyNumberFormat="1" applyFont="1" applyBorder="1" applyAlignment="1" applyProtection="1">
      <alignment horizontal="center" vertical="center"/>
    </xf>
    <xf numFmtId="165" fontId="2" fillId="0" borderId="1" xfId="0" applyNumberFormat="1" applyFont="1" applyBorder="1" applyAlignment="1" applyProtection="1">
      <alignment horizontal="center" vertical="center"/>
    </xf>
    <xf numFmtId="1" fontId="2" fillId="0" borderId="1" xfId="0" applyNumberFormat="1" applyFont="1" applyBorder="1" applyAlignment="1" applyProtection="1">
      <alignment horizontal="center" vertical="center"/>
    </xf>
    <xf numFmtId="165" fontId="0" fillId="0" borderId="1" xfId="0" applyNumberFormat="1" applyBorder="1" applyAlignment="1" applyProtection="1">
      <alignment horizontal="center" vertical="center"/>
    </xf>
    <xf numFmtId="165" fontId="0" fillId="0" borderId="3" xfId="0" applyNumberFormat="1" applyBorder="1" applyAlignment="1" applyProtection="1">
      <alignment horizontal="center" vertical="center"/>
    </xf>
    <xf numFmtId="2" fontId="2" fillId="0" borderId="1" xfId="0" applyNumberFormat="1" applyFont="1" applyBorder="1" applyAlignment="1">
      <alignment vertical="center"/>
    </xf>
    <xf numFmtId="2" fontId="0" fillId="0" borderId="2" xfId="0" applyNumberFormat="1" applyBorder="1" applyAlignment="1">
      <alignment horizontal="center" vertical="center"/>
    </xf>
    <xf numFmtId="2" fontId="2" fillId="0" borderId="0" xfId="0" applyNumberFormat="1" applyFont="1" applyBorder="1" applyAlignment="1">
      <alignment vertical="center"/>
    </xf>
    <xf numFmtId="0" fontId="2" fillId="0" borderId="1" xfId="1" applyFont="1" applyBorder="1" applyAlignment="1">
      <alignment horizontal="center" vertical="center"/>
    </xf>
    <xf numFmtId="0" fontId="2" fillId="0" borderId="1" xfId="1" applyFont="1" applyBorder="1" applyAlignment="1">
      <alignment horizontal="center" vertical="center" wrapText="1"/>
    </xf>
    <xf numFmtId="0" fontId="1" fillId="0" borderId="0" xfId="1"/>
    <xf numFmtId="1" fontId="1" fillId="0" borderId="1" xfId="1" applyNumberFormat="1" applyBorder="1" applyAlignment="1">
      <alignment horizontal="center" vertical="center"/>
    </xf>
    <xf numFmtId="164" fontId="1" fillId="0" borderId="1" xfId="1" applyNumberFormat="1" applyBorder="1" applyAlignment="1">
      <alignment horizontal="center" vertical="center"/>
    </xf>
    <xf numFmtId="2" fontId="1" fillId="0" borderId="1" xfId="0" applyNumberFormat="1" applyFont="1" applyBorder="1" applyAlignment="1" applyProtection="1">
      <alignment horizontal="center" vertical="center" wrapText="1"/>
      <protection locked="0"/>
    </xf>
    <xf numFmtId="14" fontId="1" fillId="0" borderId="1" xfId="0" applyNumberFormat="1" applyFont="1" applyBorder="1" applyAlignment="1" applyProtection="1">
      <alignment horizontal="center" vertical="center" wrapText="1"/>
      <protection locked="0"/>
    </xf>
    <xf numFmtId="14" fontId="1" fillId="0" borderId="1" xfId="1" applyNumberFormat="1" applyBorder="1" applyAlignment="1">
      <alignment horizontal="center" vertical="center"/>
    </xf>
    <xf numFmtId="2" fontId="2" fillId="0" borderId="1" xfId="0" applyNumberFormat="1" applyFont="1" applyBorder="1" applyAlignment="1" applyProtection="1">
      <alignment horizontal="center" vertical="center" wrapText="1"/>
    </xf>
    <xf numFmtId="2" fontId="2" fillId="0" borderId="1" xfId="0" applyNumberFormat="1" applyFont="1" applyBorder="1" applyAlignment="1" applyProtection="1">
      <alignment horizontal="center" vertical="center"/>
    </xf>
    <xf numFmtId="0" fontId="0" fillId="0" borderId="0" xfId="0" applyAlignment="1" applyProtection="1">
      <alignment horizontal="left"/>
    </xf>
    <xf numFmtId="0" fontId="2" fillId="0" borderId="1" xfId="0" applyFont="1" applyBorder="1" applyAlignment="1">
      <alignment horizontal="center"/>
    </xf>
  </cellXfs>
  <cellStyles count="2">
    <cellStyle name="Normal" xfId="0" builtinId="0"/>
    <cellStyle name="Normal 2" xfId="1"/>
  </cellStyles>
  <dxfs count="5">
    <dxf>
      <font>
        <color rgb="FFFF0000"/>
      </font>
    </dxf>
    <dxf>
      <fill>
        <patternFill>
          <bgColor rgb="FFFF0000"/>
        </patternFill>
      </fill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AZ30"/>
  <sheetViews>
    <sheetView tabSelected="1" zoomScaleNormal="100" workbookViewId="0">
      <selection activeCell="A2" sqref="A2"/>
    </sheetView>
  </sheetViews>
  <sheetFormatPr baseColWidth="10" defaultColWidth="11.42578125" defaultRowHeight="12.75" x14ac:dyDescent="0.2"/>
  <cols>
    <col min="1" max="2" width="11.42578125" style="15"/>
    <col min="3" max="3" width="11.42578125" style="14"/>
    <col min="4" max="4" width="19.42578125" style="14" bestFit="1" customWidth="1"/>
    <col min="5" max="5" width="19.42578125" style="14" customWidth="1"/>
    <col min="6" max="6" width="11.42578125" style="14" hidden="1" customWidth="1"/>
    <col min="7" max="7" width="15.7109375" style="14" hidden="1" customWidth="1"/>
    <col min="8" max="8" width="10.7109375" style="14" customWidth="1"/>
    <col min="9" max="10" width="11.42578125" style="16"/>
    <col min="11" max="11" width="11.7109375" style="14" customWidth="1"/>
    <col min="12" max="12" width="11.42578125" style="17"/>
    <col min="13" max="13" width="13.42578125" style="17" customWidth="1"/>
    <col min="14" max="15" width="13.5703125" style="16" customWidth="1"/>
    <col min="16" max="16" width="13.5703125" style="14" customWidth="1"/>
    <col min="17" max="17" width="10.7109375" style="14" customWidth="1"/>
    <col min="18" max="19" width="11.42578125" style="14"/>
    <col min="20" max="20" width="19.7109375" style="14" customWidth="1"/>
    <col min="21" max="21" width="15.7109375" style="14" customWidth="1"/>
    <col min="22" max="22" width="12.140625" style="17" bestFit="1" customWidth="1"/>
    <col min="23" max="23" width="12.5703125" style="14" bestFit="1" customWidth="1"/>
    <col min="24" max="26" width="11.42578125" style="14"/>
    <col min="27" max="27" width="26.28515625" style="14" bestFit="1" customWidth="1"/>
    <col min="28" max="16384" width="11.42578125" style="14"/>
  </cols>
  <sheetData>
    <row r="1" spans="1:52" s="10" customFormat="1" ht="38.25" x14ac:dyDescent="0.2">
      <c r="A1" s="5" t="s">
        <v>8</v>
      </c>
      <c r="B1" s="6" t="s">
        <v>9</v>
      </c>
      <c r="C1" s="7" t="s">
        <v>10</v>
      </c>
      <c r="D1" s="7" t="s">
        <v>11</v>
      </c>
      <c r="E1" s="7" t="s">
        <v>12</v>
      </c>
      <c r="F1" s="8" t="s">
        <v>13</v>
      </c>
      <c r="G1" s="7" t="s">
        <v>9</v>
      </c>
      <c r="H1" s="8" t="s">
        <v>14</v>
      </c>
      <c r="I1" s="9" t="s">
        <v>15</v>
      </c>
      <c r="J1" s="9" t="s">
        <v>16</v>
      </c>
      <c r="K1" s="7" t="s">
        <v>17</v>
      </c>
      <c r="L1" s="5" t="s">
        <v>8</v>
      </c>
      <c r="M1" s="5" t="s">
        <v>18</v>
      </c>
      <c r="N1" s="9" t="s">
        <v>19</v>
      </c>
      <c r="O1" s="9" t="s">
        <v>20</v>
      </c>
      <c r="P1" s="7" t="s">
        <v>21</v>
      </c>
      <c r="Q1" s="8" t="s">
        <v>22</v>
      </c>
      <c r="R1" s="8" t="s">
        <v>23</v>
      </c>
      <c r="S1" s="8" t="s">
        <v>24</v>
      </c>
      <c r="T1" s="8" t="s">
        <v>25</v>
      </c>
      <c r="U1" s="8" t="s">
        <v>26</v>
      </c>
      <c r="V1" s="5" t="s">
        <v>8</v>
      </c>
      <c r="W1" s="7" t="s">
        <v>27</v>
      </c>
      <c r="X1" s="7" t="s">
        <v>28</v>
      </c>
      <c r="Y1" s="7" t="s">
        <v>29</v>
      </c>
      <c r="Z1" s="7" t="s">
        <v>30</v>
      </c>
      <c r="AA1" s="7" t="s">
        <v>31</v>
      </c>
      <c r="AB1" s="7" t="s">
        <v>138</v>
      </c>
      <c r="AC1" s="7" t="s">
        <v>139</v>
      </c>
    </row>
    <row r="2" spans="1:52" x14ac:dyDescent="0.2">
      <c r="A2" s="58"/>
      <c r="B2" s="59"/>
      <c r="C2" s="60"/>
      <c r="D2" s="61"/>
      <c r="E2" s="70" t="e">
        <f>AVERAGE($K$28:$K$30)</f>
        <v>#DIV/0!</v>
      </c>
      <c r="F2" s="11">
        <f>D2/((1+(C2/100))*10)</f>
        <v>0</v>
      </c>
      <c r="G2" s="11">
        <f>B2-(C2+F2)/5</f>
        <v>0</v>
      </c>
      <c r="H2" s="62"/>
      <c r="I2" s="12" t="str">
        <f>IF(H2="","",VLOOKUP(H2,'TARAS DE REFERENCIA'!$A$6:$B$151,2,FALSE))</f>
        <v/>
      </c>
      <c r="J2" s="63"/>
      <c r="K2" s="13" t="e">
        <f>(J2-I2-E2)*(50000/20)/G2</f>
        <v>#VALUE!</v>
      </c>
      <c r="L2" s="5" t="str">
        <f t="shared" ref="L2:L25" si="0">IF(A2="","",A2)</f>
        <v/>
      </c>
      <c r="M2" s="62"/>
      <c r="N2" s="12" t="str">
        <f>IF(M2="","",VLOOKUP(M2,'TARAS DE REFERENCIA'!$A$6:$B$151,2,FALSE))</f>
        <v/>
      </c>
      <c r="O2" s="63"/>
      <c r="P2" s="13" t="e">
        <f>(O2-N2-E2)*(50000/20)/G2</f>
        <v>#VALUE!</v>
      </c>
      <c r="Q2" s="62"/>
      <c r="R2" s="12" t="str">
        <f>IF(Q2="","",VLOOKUP(Q2,'TARAS DE REFERENCIA'!$A$6:$B$151,2,FALSE))</f>
        <v/>
      </c>
      <c r="S2" s="63"/>
      <c r="T2" s="13" t="e">
        <f>(S2-R2)*100/G2</f>
        <v>#VALUE!</v>
      </c>
      <c r="U2" s="13" t="e">
        <f>100-(K2+T2)</f>
        <v>#VALUE!</v>
      </c>
      <c r="V2" s="5" t="str">
        <f>IF(A2="","",A2)</f>
        <v/>
      </c>
      <c r="W2" s="13" t="e">
        <f>T2+P2</f>
        <v>#VALUE!</v>
      </c>
      <c r="X2" s="11" t="e">
        <f>K2</f>
        <v>#VALUE!</v>
      </c>
      <c r="Y2" s="11" t="e">
        <f>T2</f>
        <v>#VALUE!</v>
      </c>
      <c r="Z2" s="11" t="e">
        <f>U2</f>
        <v>#VALUE!</v>
      </c>
      <c r="AA2" s="13" t="e">
        <f>CHOOSE(Calculations!A$14,Calculations!$C$2,Calculations!$C$3,Calculations!$C$4,Calculations!$C$5,Calculations!$C$6,Calculations!$C$7,Calculations!$C$8,Calculations!$C$9,Calculations!$C$10,Calculations!$C$11,Calculations!$C$12,Calculations!$C$13)</f>
        <v>#VALUE!</v>
      </c>
      <c r="AB2" s="86"/>
      <c r="AC2" s="85"/>
      <c r="AZ2"/>
    </row>
    <row r="3" spans="1:52" x14ac:dyDescent="0.2">
      <c r="A3" s="58"/>
      <c r="B3" s="59"/>
      <c r="C3" s="60"/>
      <c r="D3" s="61"/>
      <c r="E3" s="70" t="e">
        <f t="shared" ref="E3:E25" si="1">AVERAGE($K$28:$K$30)</f>
        <v>#DIV/0!</v>
      </c>
      <c r="F3" s="11">
        <f t="shared" ref="F3:F25" si="2">D3/((1+(C3/100))*10)</f>
        <v>0</v>
      </c>
      <c r="G3" s="11">
        <f t="shared" ref="G3:G25" si="3">B3-(C3+F3)/5</f>
        <v>0</v>
      </c>
      <c r="H3" s="62"/>
      <c r="I3" s="12" t="str">
        <f>IF(H3="","",VLOOKUP(H3,'TARAS DE REFERENCIA'!$A$6:$B$151,2,FALSE))</f>
        <v/>
      </c>
      <c r="J3" s="63"/>
      <c r="K3" s="13" t="e">
        <f t="shared" ref="K3:K25" si="4">(J3-I3-E3)*(50000/20)/G3</f>
        <v>#VALUE!</v>
      </c>
      <c r="L3" s="5" t="str">
        <f t="shared" si="0"/>
        <v/>
      </c>
      <c r="M3" s="62"/>
      <c r="N3" s="12" t="str">
        <f>IF(M3="","",VLOOKUP(M3,'TARAS DE REFERENCIA'!$A$6:$B$151,2,FALSE))</f>
        <v/>
      </c>
      <c r="O3" s="63"/>
      <c r="P3" s="13" t="e">
        <f t="shared" ref="P3:P25" si="5">(O3-N3-E3)*(50000/20)/G3</f>
        <v>#VALUE!</v>
      </c>
      <c r="Q3" s="62"/>
      <c r="R3" s="12" t="str">
        <f>IF(Q3="","",VLOOKUP(Q3,'TARAS DE REFERENCIA'!$A$6:$B$151,2,FALSE))</f>
        <v/>
      </c>
      <c r="S3" s="63"/>
      <c r="T3" s="13" t="e">
        <f t="shared" ref="T3:T25" si="6">(S3-R3)*100/G3</f>
        <v>#VALUE!</v>
      </c>
      <c r="U3" s="13" t="e">
        <f>100-(K3+T3)</f>
        <v>#VALUE!</v>
      </c>
      <c r="V3" s="5" t="str">
        <f t="shared" ref="V3:V25" si="7">IF(A3="","",A3)</f>
        <v/>
      </c>
      <c r="W3" s="13" t="e">
        <f>T3+P3</f>
        <v>#VALUE!</v>
      </c>
      <c r="X3" s="11" t="e">
        <f t="shared" ref="X3:X25" si="8">K3</f>
        <v>#VALUE!</v>
      </c>
      <c r="Y3" s="11" t="e">
        <f t="shared" ref="Y3:Z25" si="9">T3</f>
        <v>#VALUE!</v>
      </c>
      <c r="Z3" s="11" t="e">
        <f t="shared" si="9"/>
        <v>#VALUE!</v>
      </c>
      <c r="AA3" s="13" t="e">
        <f>CHOOSE(Calculations!A$28,Calculations!$C$2,Calculations!$C$3,Calculations!$C$4,Calculations!$C$5,Calculations!$C$6,Calculations!$C$7,Calculations!$C$8,Calculations!$C$9,Calculations!$C$10,Calculations!$C$11,Calculations!$C$12,Calculations!$C$13)</f>
        <v>#VALUE!</v>
      </c>
      <c r="AB3" s="86"/>
      <c r="AC3" s="85"/>
      <c r="AZ3" s="64" t="s">
        <v>7</v>
      </c>
    </row>
    <row r="4" spans="1:52" x14ac:dyDescent="0.2">
      <c r="A4" s="58"/>
      <c r="B4" s="59"/>
      <c r="C4" s="60"/>
      <c r="D4" s="61"/>
      <c r="E4" s="70" t="e">
        <f t="shared" si="1"/>
        <v>#DIV/0!</v>
      </c>
      <c r="F4" s="11">
        <f t="shared" si="2"/>
        <v>0</v>
      </c>
      <c r="G4" s="11">
        <f t="shared" si="3"/>
        <v>0</v>
      </c>
      <c r="H4" s="62"/>
      <c r="I4" s="12" t="str">
        <f>IF(H4="","",VLOOKUP(H4,'TARAS DE REFERENCIA'!$A$6:$B$151,2,FALSE))</f>
        <v/>
      </c>
      <c r="J4" s="63"/>
      <c r="K4" s="13" t="e">
        <f t="shared" si="4"/>
        <v>#VALUE!</v>
      </c>
      <c r="L4" s="5" t="str">
        <f t="shared" si="0"/>
        <v/>
      </c>
      <c r="M4" s="62"/>
      <c r="N4" s="12" t="str">
        <f>IF(M4="","",VLOOKUP(M4,'TARAS DE REFERENCIA'!$A$6:$B$151,2,FALSE))</f>
        <v/>
      </c>
      <c r="O4" s="63"/>
      <c r="P4" s="13" t="e">
        <f t="shared" si="5"/>
        <v>#VALUE!</v>
      </c>
      <c r="Q4" s="62"/>
      <c r="R4" s="12" t="str">
        <f>IF(Q4="","",VLOOKUP(Q4,'TARAS DE REFERENCIA'!$A$6:$B$151,2,FALSE))</f>
        <v/>
      </c>
      <c r="S4" s="63"/>
      <c r="T4" s="13" t="e">
        <f t="shared" si="6"/>
        <v>#VALUE!</v>
      </c>
      <c r="U4" s="13" t="e">
        <f>100-(K4+T4)</f>
        <v>#VALUE!</v>
      </c>
      <c r="V4" s="5" t="str">
        <f t="shared" si="7"/>
        <v/>
      </c>
      <c r="W4" s="13" t="e">
        <f>T4+P4</f>
        <v>#VALUE!</v>
      </c>
      <c r="X4" s="11" t="e">
        <f t="shared" si="8"/>
        <v>#VALUE!</v>
      </c>
      <c r="Y4" s="11" t="e">
        <f t="shared" si="9"/>
        <v>#VALUE!</v>
      </c>
      <c r="Z4" s="11" t="e">
        <f t="shared" si="9"/>
        <v>#VALUE!</v>
      </c>
      <c r="AA4" s="13" t="e">
        <f>CHOOSE(Calculations!A$42,Calculations!$C$2,Calculations!$C$3,Calculations!$C$4,Calculations!$C$5,Calculations!$C$6,Calculations!$C$7,Calculations!$C$8,Calculations!$C$9,Calculations!$C$10,Calculations!$C$11,Calculations!$C$12,Calculations!$C$13)</f>
        <v>#VALUE!</v>
      </c>
      <c r="AB4" s="86"/>
      <c r="AC4" s="85"/>
      <c r="AZ4" s="64"/>
    </row>
    <row r="5" spans="1:52" x14ac:dyDescent="0.2">
      <c r="A5" s="58"/>
      <c r="B5" s="59"/>
      <c r="C5" s="60"/>
      <c r="D5" s="61"/>
      <c r="E5" s="70" t="e">
        <f t="shared" si="1"/>
        <v>#DIV/0!</v>
      </c>
      <c r="F5" s="11">
        <f t="shared" si="2"/>
        <v>0</v>
      </c>
      <c r="G5" s="11">
        <f t="shared" si="3"/>
        <v>0</v>
      </c>
      <c r="H5" s="62"/>
      <c r="I5" s="12" t="str">
        <f>IF(H5="","",VLOOKUP(H5,'TARAS DE REFERENCIA'!$A$6:$B$151,2,FALSE))</f>
        <v/>
      </c>
      <c r="J5" s="63"/>
      <c r="K5" s="13" t="e">
        <f t="shared" si="4"/>
        <v>#VALUE!</v>
      </c>
      <c r="L5" s="5" t="str">
        <f t="shared" si="0"/>
        <v/>
      </c>
      <c r="M5" s="62"/>
      <c r="N5" s="12" t="str">
        <f>IF(M5="","",VLOOKUP(M5,'TARAS DE REFERENCIA'!$A$6:$B$151,2,FALSE))</f>
        <v/>
      </c>
      <c r="O5" s="63"/>
      <c r="P5" s="13" t="e">
        <f t="shared" si="5"/>
        <v>#VALUE!</v>
      </c>
      <c r="Q5" s="62"/>
      <c r="R5" s="12" t="str">
        <f>IF(Q5="","",VLOOKUP(Q5,'TARAS DE REFERENCIA'!$A$6:$B$151,2,FALSE))</f>
        <v/>
      </c>
      <c r="S5" s="63"/>
      <c r="T5" s="13" t="e">
        <f t="shared" si="6"/>
        <v>#VALUE!</v>
      </c>
      <c r="U5" s="13" t="e">
        <f>100-(K5+T5)</f>
        <v>#VALUE!</v>
      </c>
      <c r="V5" s="5" t="str">
        <f t="shared" si="7"/>
        <v/>
      </c>
      <c r="W5" s="13" t="e">
        <f>T5+P5</f>
        <v>#VALUE!</v>
      </c>
      <c r="X5" s="11" t="e">
        <f t="shared" si="8"/>
        <v>#VALUE!</v>
      </c>
      <c r="Y5" s="11" t="e">
        <f t="shared" si="9"/>
        <v>#VALUE!</v>
      </c>
      <c r="Z5" s="11" t="e">
        <f t="shared" si="9"/>
        <v>#VALUE!</v>
      </c>
      <c r="AA5" s="13" t="e">
        <f>CHOOSE(Calculations!A$56,Calculations!$C$2,Calculations!$C$3,Calculations!$C$4,Calculations!$C$5,Calculations!$C$6,Calculations!$C$7,Calculations!$C$8,Calculations!$C$9,Calculations!$C$10,Calculations!$C$11,Calculations!$C$12,Calculations!$C$13)</f>
        <v>#VALUE!</v>
      </c>
      <c r="AB5" s="86"/>
      <c r="AC5" s="85"/>
    </row>
    <row r="6" spans="1:52" x14ac:dyDescent="0.2">
      <c r="A6" s="58"/>
      <c r="B6" s="59"/>
      <c r="C6" s="60"/>
      <c r="D6" s="61"/>
      <c r="E6" s="70" t="e">
        <f t="shared" si="1"/>
        <v>#DIV/0!</v>
      </c>
      <c r="F6" s="11">
        <f t="shared" si="2"/>
        <v>0</v>
      </c>
      <c r="G6" s="11">
        <f t="shared" si="3"/>
        <v>0</v>
      </c>
      <c r="H6" s="62"/>
      <c r="I6" s="12" t="str">
        <f>IF(H6="","",VLOOKUP(H6,'TARAS DE REFERENCIA'!$A$6:$B$151,2,FALSE))</f>
        <v/>
      </c>
      <c r="J6" s="63"/>
      <c r="K6" s="13" t="e">
        <f t="shared" si="4"/>
        <v>#VALUE!</v>
      </c>
      <c r="L6" s="5" t="str">
        <f t="shared" si="0"/>
        <v/>
      </c>
      <c r="M6" s="62"/>
      <c r="N6" s="12" t="str">
        <f>IF(M6="","",VLOOKUP(M6,'TARAS DE REFERENCIA'!$A$6:$B$151,2,FALSE))</f>
        <v/>
      </c>
      <c r="O6" s="63"/>
      <c r="P6" s="13" t="e">
        <f t="shared" si="5"/>
        <v>#VALUE!</v>
      </c>
      <c r="Q6" s="62"/>
      <c r="R6" s="12" t="str">
        <f>IF(Q6="","",VLOOKUP(Q6,'TARAS DE REFERENCIA'!$A$6:$B$151,2,FALSE))</f>
        <v/>
      </c>
      <c r="S6" s="63"/>
      <c r="T6" s="13" t="e">
        <f t="shared" si="6"/>
        <v>#VALUE!</v>
      </c>
      <c r="U6" s="13" t="e">
        <f t="shared" ref="U6:U25" si="10">100-(K6+T6)</f>
        <v>#VALUE!</v>
      </c>
      <c r="V6" s="5" t="str">
        <f t="shared" si="7"/>
        <v/>
      </c>
      <c r="W6" s="13" t="e">
        <f t="shared" ref="W6:W25" si="11">T6+P6</f>
        <v>#VALUE!</v>
      </c>
      <c r="X6" s="11" t="e">
        <f t="shared" si="8"/>
        <v>#VALUE!</v>
      </c>
      <c r="Y6" s="11" t="e">
        <f t="shared" si="9"/>
        <v>#VALUE!</v>
      </c>
      <c r="Z6" s="11" t="e">
        <f t="shared" si="9"/>
        <v>#VALUE!</v>
      </c>
      <c r="AA6" s="13" t="e">
        <f>CHOOSE(Calculations!A$70,Calculations!$C$2,Calculations!$C$3,Calculations!$C$4,Calculations!$C$5,Calculations!$C$6,Calculations!$C$7,Calculations!$C$8,Calculations!$C$9,Calculations!$C$10,Calculations!$C$11,Calculations!$C$12,Calculations!$C$13)</f>
        <v>#VALUE!</v>
      </c>
      <c r="AB6" s="86"/>
      <c r="AC6" s="85"/>
    </row>
    <row r="7" spans="1:52" x14ac:dyDescent="0.2">
      <c r="A7" s="58"/>
      <c r="B7" s="59"/>
      <c r="C7" s="60"/>
      <c r="D7" s="61"/>
      <c r="E7" s="70" t="e">
        <f t="shared" si="1"/>
        <v>#DIV/0!</v>
      </c>
      <c r="F7" s="11">
        <f t="shared" si="2"/>
        <v>0</v>
      </c>
      <c r="G7" s="11">
        <f t="shared" si="3"/>
        <v>0</v>
      </c>
      <c r="H7" s="62"/>
      <c r="I7" s="12" t="str">
        <f>IF(H7="","",VLOOKUP(H7,'TARAS DE REFERENCIA'!$A$6:$B$151,2,FALSE))</f>
        <v/>
      </c>
      <c r="J7" s="63"/>
      <c r="K7" s="13" t="e">
        <f t="shared" si="4"/>
        <v>#VALUE!</v>
      </c>
      <c r="L7" s="5" t="str">
        <f t="shared" si="0"/>
        <v/>
      </c>
      <c r="M7" s="62"/>
      <c r="N7" s="12" t="str">
        <f>IF(M7="","",VLOOKUP(M7,'TARAS DE REFERENCIA'!$A$6:$B$151,2,FALSE))</f>
        <v/>
      </c>
      <c r="O7" s="63"/>
      <c r="P7" s="13" t="e">
        <f t="shared" si="5"/>
        <v>#VALUE!</v>
      </c>
      <c r="Q7" s="62"/>
      <c r="R7" s="12" t="str">
        <f>IF(Q7="","",VLOOKUP(Q7,'TARAS DE REFERENCIA'!$A$6:$B$151,2,FALSE))</f>
        <v/>
      </c>
      <c r="S7" s="63"/>
      <c r="T7" s="13" t="e">
        <f t="shared" si="6"/>
        <v>#VALUE!</v>
      </c>
      <c r="U7" s="13" t="e">
        <f t="shared" si="10"/>
        <v>#VALUE!</v>
      </c>
      <c r="V7" s="5" t="str">
        <f t="shared" si="7"/>
        <v/>
      </c>
      <c r="W7" s="13" t="e">
        <f t="shared" si="11"/>
        <v>#VALUE!</v>
      </c>
      <c r="X7" s="11" t="e">
        <f t="shared" si="8"/>
        <v>#VALUE!</v>
      </c>
      <c r="Y7" s="11" t="e">
        <f t="shared" si="9"/>
        <v>#VALUE!</v>
      </c>
      <c r="Z7" s="11" t="e">
        <f t="shared" si="9"/>
        <v>#VALUE!</v>
      </c>
      <c r="AA7" s="13" t="e">
        <f>CHOOSE(Calculations!A$84,Calculations!$C$2,Calculations!$C$3,Calculations!$C$4,Calculations!$C$5,Calculations!$C$6,Calculations!$C$7,Calculations!$C$8,Calculations!$C$9,Calculations!$C$10,Calculations!$C$11,Calculations!$C$12,Calculations!$C$13)</f>
        <v>#VALUE!</v>
      </c>
      <c r="AB7" s="86"/>
      <c r="AC7" s="85"/>
    </row>
    <row r="8" spans="1:52" x14ac:dyDescent="0.2">
      <c r="A8" s="58"/>
      <c r="B8" s="59"/>
      <c r="C8" s="60"/>
      <c r="D8" s="61"/>
      <c r="E8" s="70" t="e">
        <f t="shared" si="1"/>
        <v>#DIV/0!</v>
      </c>
      <c r="F8" s="11">
        <f t="shared" si="2"/>
        <v>0</v>
      </c>
      <c r="G8" s="11">
        <f t="shared" si="3"/>
        <v>0</v>
      </c>
      <c r="H8" s="62"/>
      <c r="I8" s="12" t="str">
        <f>IF(H8="","",VLOOKUP(H8,'TARAS DE REFERENCIA'!$A$6:$B$151,2,FALSE))</f>
        <v/>
      </c>
      <c r="J8" s="63"/>
      <c r="K8" s="13" t="e">
        <f t="shared" si="4"/>
        <v>#VALUE!</v>
      </c>
      <c r="L8" s="5" t="str">
        <f t="shared" si="0"/>
        <v/>
      </c>
      <c r="M8" s="62"/>
      <c r="N8" s="12" t="str">
        <f>IF(M8="","",VLOOKUP(M8,'TARAS DE REFERENCIA'!$A$6:$B$151,2,FALSE))</f>
        <v/>
      </c>
      <c r="O8" s="63"/>
      <c r="P8" s="13" t="e">
        <f t="shared" si="5"/>
        <v>#VALUE!</v>
      </c>
      <c r="Q8" s="62"/>
      <c r="R8" s="12" t="str">
        <f>IF(Q8="","",VLOOKUP(Q8,'TARAS DE REFERENCIA'!$A$6:$B$151,2,FALSE))</f>
        <v/>
      </c>
      <c r="S8" s="63"/>
      <c r="T8" s="13" t="e">
        <f t="shared" si="6"/>
        <v>#VALUE!</v>
      </c>
      <c r="U8" s="13" t="e">
        <f t="shared" si="10"/>
        <v>#VALUE!</v>
      </c>
      <c r="V8" s="5" t="str">
        <f t="shared" si="7"/>
        <v/>
      </c>
      <c r="W8" s="13" t="e">
        <f t="shared" si="11"/>
        <v>#VALUE!</v>
      </c>
      <c r="X8" s="11" t="e">
        <f t="shared" si="8"/>
        <v>#VALUE!</v>
      </c>
      <c r="Y8" s="11" t="e">
        <f t="shared" si="9"/>
        <v>#VALUE!</v>
      </c>
      <c r="Z8" s="11" t="e">
        <f t="shared" si="9"/>
        <v>#VALUE!</v>
      </c>
      <c r="AA8" s="13" t="e">
        <f>CHOOSE(Calculations!A$98,Calculations!$C$2,Calculations!$C$3,Calculations!$C$4,Calculations!$C$5,Calculations!$C$6,Calculations!$C$7,Calculations!$C$8,Calculations!$C$9,Calculations!$C$10,Calculations!$C$11,Calculations!$C$12,Calculations!$C$13)</f>
        <v>#VALUE!</v>
      </c>
      <c r="AB8" s="86"/>
      <c r="AC8" s="85"/>
    </row>
    <row r="9" spans="1:52" x14ac:dyDescent="0.2">
      <c r="A9" s="58"/>
      <c r="B9" s="59"/>
      <c r="C9" s="60"/>
      <c r="D9" s="61"/>
      <c r="E9" s="70" t="e">
        <f t="shared" si="1"/>
        <v>#DIV/0!</v>
      </c>
      <c r="F9" s="11">
        <f t="shared" si="2"/>
        <v>0</v>
      </c>
      <c r="G9" s="11">
        <f t="shared" si="3"/>
        <v>0</v>
      </c>
      <c r="H9" s="62"/>
      <c r="I9" s="12" t="str">
        <f>IF(H9="","",VLOOKUP(H9,'TARAS DE REFERENCIA'!$A$6:$B$151,2,FALSE))</f>
        <v/>
      </c>
      <c r="J9" s="63"/>
      <c r="K9" s="13" t="e">
        <f t="shared" si="4"/>
        <v>#VALUE!</v>
      </c>
      <c r="L9" s="5" t="str">
        <f t="shared" si="0"/>
        <v/>
      </c>
      <c r="M9" s="62"/>
      <c r="N9" s="12" t="str">
        <f>IF(M9="","",VLOOKUP(M9,'TARAS DE REFERENCIA'!$A$6:$B$151,2,FALSE))</f>
        <v/>
      </c>
      <c r="O9" s="63"/>
      <c r="P9" s="13" t="e">
        <f t="shared" si="5"/>
        <v>#VALUE!</v>
      </c>
      <c r="Q9" s="62"/>
      <c r="R9" s="12" t="str">
        <f>IF(Q9="","",VLOOKUP(Q9,'TARAS DE REFERENCIA'!$A$6:$B$151,2,FALSE))</f>
        <v/>
      </c>
      <c r="S9" s="63"/>
      <c r="T9" s="13" t="e">
        <f t="shared" si="6"/>
        <v>#VALUE!</v>
      </c>
      <c r="U9" s="13" t="e">
        <f t="shared" si="10"/>
        <v>#VALUE!</v>
      </c>
      <c r="V9" s="5" t="str">
        <f t="shared" si="7"/>
        <v/>
      </c>
      <c r="W9" s="13" t="e">
        <f t="shared" si="11"/>
        <v>#VALUE!</v>
      </c>
      <c r="X9" s="11" t="e">
        <f t="shared" si="8"/>
        <v>#VALUE!</v>
      </c>
      <c r="Y9" s="11" t="e">
        <f t="shared" si="9"/>
        <v>#VALUE!</v>
      </c>
      <c r="Z9" s="11" t="e">
        <f t="shared" si="9"/>
        <v>#VALUE!</v>
      </c>
      <c r="AA9" s="13" t="e">
        <f>CHOOSE(Calculations!A$112,Calculations!$C$2,Calculations!$C$3,Calculations!$C$4,Calculations!$C$5,Calculations!$C$6,Calculations!$C$7,Calculations!$C$8,Calculations!$C$9,Calculations!$C$10,Calculations!$C$11,Calculations!$C$12,Calculations!$C$13)</f>
        <v>#VALUE!</v>
      </c>
      <c r="AB9" s="86"/>
      <c r="AC9" s="85"/>
    </row>
    <row r="10" spans="1:52" x14ac:dyDescent="0.2">
      <c r="A10" s="58"/>
      <c r="B10" s="59"/>
      <c r="C10" s="60"/>
      <c r="D10" s="61"/>
      <c r="E10" s="70" t="e">
        <f t="shared" si="1"/>
        <v>#DIV/0!</v>
      </c>
      <c r="F10" s="11">
        <f t="shared" si="2"/>
        <v>0</v>
      </c>
      <c r="G10" s="11">
        <f t="shared" si="3"/>
        <v>0</v>
      </c>
      <c r="H10" s="62"/>
      <c r="I10" s="12" t="str">
        <f>IF(H10="","",VLOOKUP(H10,'TARAS DE REFERENCIA'!$A$6:$B$151,2,FALSE))</f>
        <v/>
      </c>
      <c r="J10" s="63"/>
      <c r="K10" s="13" t="e">
        <f t="shared" si="4"/>
        <v>#VALUE!</v>
      </c>
      <c r="L10" s="5" t="str">
        <f t="shared" si="0"/>
        <v/>
      </c>
      <c r="M10" s="62"/>
      <c r="N10" s="12" t="str">
        <f>IF(M10="","",VLOOKUP(M10,'TARAS DE REFERENCIA'!$A$6:$B$151,2,FALSE))</f>
        <v/>
      </c>
      <c r="O10" s="63"/>
      <c r="P10" s="13" t="e">
        <f t="shared" si="5"/>
        <v>#VALUE!</v>
      </c>
      <c r="Q10" s="62"/>
      <c r="R10" s="12" t="str">
        <f>IF(Q10="","",VLOOKUP(Q10,'TARAS DE REFERENCIA'!$A$6:$B$151,2,FALSE))</f>
        <v/>
      </c>
      <c r="S10" s="63"/>
      <c r="T10" s="13" t="e">
        <f t="shared" si="6"/>
        <v>#VALUE!</v>
      </c>
      <c r="U10" s="13" t="e">
        <f t="shared" si="10"/>
        <v>#VALUE!</v>
      </c>
      <c r="V10" s="5" t="str">
        <f t="shared" si="7"/>
        <v/>
      </c>
      <c r="W10" s="13" t="e">
        <f t="shared" si="11"/>
        <v>#VALUE!</v>
      </c>
      <c r="X10" s="11" t="e">
        <f t="shared" si="8"/>
        <v>#VALUE!</v>
      </c>
      <c r="Y10" s="11" t="e">
        <f t="shared" si="9"/>
        <v>#VALUE!</v>
      </c>
      <c r="Z10" s="11" t="e">
        <f t="shared" si="9"/>
        <v>#VALUE!</v>
      </c>
      <c r="AA10" s="13" t="e">
        <f>CHOOSE(Calculations!A$126,Calculations!$C$2,Calculations!$C$3,Calculations!$C$4,Calculations!$C$5,Calculations!$C$6,Calculations!$C$7,Calculations!$C$8,Calculations!$C$9,Calculations!$C$10,Calculations!$C$11,Calculations!$C$12,Calculations!$C$13)</f>
        <v>#VALUE!</v>
      </c>
      <c r="AB10" s="86"/>
      <c r="AC10" s="85"/>
    </row>
    <row r="11" spans="1:52" x14ac:dyDescent="0.2">
      <c r="A11" s="58"/>
      <c r="B11" s="59"/>
      <c r="C11" s="60"/>
      <c r="D11" s="61"/>
      <c r="E11" s="70" t="e">
        <f t="shared" si="1"/>
        <v>#DIV/0!</v>
      </c>
      <c r="F11" s="11">
        <f t="shared" si="2"/>
        <v>0</v>
      </c>
      <c r="G11" s="11">
        <f t="shared" si="3"/>
        <v>0</v>
      </c>
      <c r="H11" s="62"/>
      <c r="I11" s="12" t="str">
        <f>IF(H11="","",VLOOKUP(H11,'TARAS DE REFERENCIA'!$A$6:$B$151,2,FALSE))</f>
        <v/>
      </c>
      <c r="J11" s="63"/>
      <c r="K11" s="13" t="e">
        <f t="shared" si="4"/>
        <v>#VALUE!</v>
      </c>
      <c r="L11" s="5" t="str">
        <f t="shared" si="0"/>
        <v/>
      </c>
      <c r="M11" s="62"/>
      <c r="N11" s="12" t="str">
        <f>IF(M11="","",VLOOKUP(M11,'TARAS DE REFERENCIA'!$A$6:$B$151,2,FALSE))</f>
        <v/>
      </c>
      <c r="O11" s="63"/>
      <c r="P11" s="13" t="e">
        <f t="shared" si="5"/>
        <v>#VALUE!</v>
      </c>
      <c r="Q11" s="62"/>
      <c r="R11" s="12" t="str">
        <f>IF(Q11="","",VLOOKUP(Q11,'TARAS DE REFERENCIA'!$A$6:$B$151,2,FALSE))</f>
        <v/>
      </c>
      <c r="S11" s="63"/>
      <c r="T11" s="13" t="e">
        <f t="shared" si="6"/>
        <v>#VALUE!</v>
      </c>
      <c r="U11" s="13" t="e">
        <f t="shared" si="10"/>
        <v>#VALUE!</v>
      </c>
      <c r="V11" s="5" t="str">
        <f t="shared" si="7"/>
        <v/>
      </c>
      <c r="W11" s="13" t="e">
        <f t="shared" si="11"/>
        <v>#VALUE!</v>
      </c>
      <c r="X11" s="11" t="e">
        <f t="shared" si="8"/>
        <v>#VALUE!</v>
      </c>
      <c r="Y11" s="11" t="e">
        <f t="shared" si="9"/>
        <v>#VALUE!</v>
      </c>
      <c r="Z11" s="11" t="e">
        <f t="shared" si="9"/>
        <v>#VALUE!</v>
      </c>
      <c r="AA11" s="13" t="e">
        <f>CHOOSE(Calculations!A$140,Calculations!$C$2,Calculations!$C$3,Calculations!$C$4,Calculations!$C$5,Calculations!$C$6,Calculations!$C$7,Calculations!$C$8,Calculations!$C$9,Calculations!$C$10,Calculations!$C$11,Calculations!$C$12,Calculations!$C$13)</f>
        <v>#VALUE!</v>
      </c>
      <c r="AB11" s="86"/>
      <c r="AC11" s="85"/>
    </row>
    <row r="12" spans="1:52" x14ac:dyDescent="0.2">
      <c r="A12" s="58"/>
      <c r="B12" s="59"/>
      <c r="C12" s="60"/>
      <c r="D12" s="61"/>
      <c r="E12" s="70" t="e">
        <f t="shared" si="1"/>
        <v>#DIV/0!</v>
      </c>
      <c r="F12" s="11">
        <f t="shared" si="2"/>
        <v>0</v>
      </c>
      <c r="G12" s="11">
        <f t="shared" si="3"/>
        <v>0</v>
      </c>
      <c r="H12" s="62"/>
      <c r="I12" s="12" t="str">
        <f>IF(H12="","",VLOOKUP(H12,'TARAS DE REFERENCIA'!$A$6:$B$151,2,FALSE))</f>
        <v/>
      </c>
      <c r="J12" s="63"/>
      <c r="K12" s="13" t="e">
        <f t="shared" si="4"/>
        <v>#VALUE!</v>
      </c>
      <c r="L12" s="5" t="str">
        <f t="shared" si="0"/>
        <v/>
      </c>
      <c r="M12" s="62"/>
      <c r="N12" s="12" t="str">
        <f>IF(M12="","",VLOOKUP(M12,'TARAS DE REFERENCIA'!$A$6:$B$151,2,FALSE))</f>
        <v/>
      </c>
      <c r="O12" s="63"/>
      <c r="P12" s="13" t="e">
        <f t="shared" si="5"/>
        <v>#VALUE!</v>
      </c>
      <c r="Q12" s="62"/>
      <c r="R12" s="12" t="str">
        <f>IF(Q12="","",VLOOKUP(Q12,'TARAS DE REFERENCIA'!$A$6:$B$151,2,FALSE))</f>
        <v/>
      </c>
      <c r="S12" s="63"/>
      <c r="T12" s="13" t="e">
        <f t="shared" si="6"/>
        <v>#VALUE!</v>
      </c>
      <c r="U12" s="13" t="e">
        <f t="shared" si="10"/>
        <v>#VALUE!</v>
      </c>
      <c r="V12" s="5" t="str">
        <f t="shared" si="7"/>
        <v/>
      </c>
      <c r="W12" s="13" t="e">
        <f t="shared" si="11"/>
        <v>#VALUE!</v>
      </c>
      <c r="X12" s="11" t="e">
        <f t="shared" si="8"/>
        <v>#VALUE!</v>
      </c>
      <c r="Y12" s="11" t="e">
        <f t="shared" si="9"/>
        <v>#VALUE!</v>
      </c>
      <c r="Z12" s="11" t="e">
        <f t="shared" si="9"/>
        <v>#VALUE!</v>
      </c>
      <c r="AA12" s="13" t="e">
        <f>CHOOSE(Calculations!A$154,Calculations!$C$2,Calculations!$C$3,Calculations!$C$4,Calculations!$C$5,Calculations!$C$6,Calculations!$C$7,Calculations!$C$8,Calculations!$C$9,Calculations!$C$10,Calculations!$C$11,Calculations!$C$12,Calculations!$C$13)</f>
        <v>#VALUE!</v>
      </c>
      <c r="AB12" s="86"/>
      <c r="AC12" s="85"/>
    </row>
    <row r="13" spans="1:52" x14ac:dyDescent="0.2">
      <c r="A13" s="58"/>
      <c r="B13" s="59"/>
      <c r="C13" s="60"/>
      <c r="D13" s="61"/>
      <c r="E13" s="70" t="e">
        <f t="shared" si="1"/>
        <v>#DIV/0!</v>
      </c>
      <c r="F13" s="11">
        <f t="shared" si="2"/>
        <v>0</v>
      </c>
      <c r="G13" s="11">
        <f t="shared" si="3"/>
        <v>0</v>
      </c>
      <c r="H13" s="62"/>
      <c r="I13" s="12" t="str">
        <f>IF(H13="","",VLOOKUP(H13,'TARAS DE REFERENCIA'!$A$6:$B$151,2,FALSE))</f>
        <v/>
      </c>
      <c r="J13" s="63"/>
      <c r="K13" s="13" t="e">
        <f t="shared" si="4"/>
        <v>#VALUE!</v>
      </c>
      <c r="L13" s="5" t="str">
        <f t="shared" si="0"/>
        <v/>
      </c>
      <c r="M13" s="62"/>
      <c r="N13" s="12" t="str">
        <f>IF(M13="","",VLOOKUP(M13,'TARAS DE REFERENCIA'!$A$6:$B$151,2,FALSE))</f>
        <v/>
      </c>
      <c r="O13" s="63"/>
      <c r="P13" s="13" t="e">
        <f t="shared" si="5"/>
        <v>#VALUE!</v>
      </c>
      <c r="Q13" s="62"/>
      <c r="R13" s="12" t="str">
        <f>IF(Q13="","",VLOOKUP(Q13,'TARAS DE REFERENCIA'!$A$6:$B$151,2,FALSE))</f>
        <v/>
      </c>
      <c r="S13" s="63"/>
      <c r="T13" s="13" t="e">
        <f t="shared" si="6"/>
        <v>#VALUE!</v>
      </c>
      <c r="U13" s="13" t="e">
        <f t="shared" si="10"/>
        <v>#VALUE!</v>
      </c>
      <c r="V13" s="5" t="str">
        <f t="shared" si="7"/>
        <v/>
      </c>
      <c r="W13" s="13" t="e">
        <f t="shared" si="11"/>
        <v>#VALUE!</v>
      </c>
      <c r="X13" s="11" t="e">
        <f t="shared" si="8"/>
        <v>#VALUE!</v>
      </c>
      <c r="Y13" s="11" t="e">
        <f t="shared" si="9"/>
        <v>#VALUE!</v>
      </c>
      <c r="Z13" s="11" t="e">
        <f t="shared" si="9"/>
        <v>#VALUE!</v>
      </c>
      <c r="AA13" s="13" t="e">
        <f>CHOOSE(Calculations!A$168,Calculations!$C$2,Calculations!$C$3,Calculations!$C$4,Calculations!$C$5,Calculations!$C$6,Calculations!$C$7,Calculations!$C$8,Calculations!$C$9,Calculations!$C$10,Calculations!$C$11,Calculations!$C$12,Calculations!$C$13)</f>
        <v>#VALUE!</v>
      </c>
      <c r="AB13" s="86"/>
      <c r="AC13" s="85"/>
    </row>
    <row r="14" spans="1:52" x14ac:dyDescent="0.2">
      <c r="A14" s="58"/>
      <c r="B14" s="59"/>
      <c r="C14" s="60"/>
      <c r="D14" s="61"/>
      <c r="E14" s="70" t="e">
        <f t="shared" si="1"/>
        <v>#DIV/0!</v>
      </c>
      <c r="F14" s="11">
        <f t="shared" si="2"/>
        <v>0</v>
      </c>
      <c r="G14" s="11">
        <f t="shared" si="3"/>
        <v>0</v>
      </c>
      <c r="H14" s="62"/>
      <c r="I14" s="12" t="str">
        <f>IF(H14="","",VLOOKUP(H14,'TARAS DE REFERENCIA'!$A$6:$B$151,2,FALSE))</f>
        <v/>
      </c>
      <c r="J14" s="63"/>
      <c r="K14" s="13" t="e">
        <f t="shared" si="4"/>
        <v>#VALUE!</v>
      </c>
      <c r="L14" s="5" t="str">
        <f t="shared" si="0"/>
        <v/>
      </c>
      <c r="M14" s="62"/>
      <c r="N14" s="12" t="str">
        <f>IF(M14="","",VLOOKUP(M14,'TARAS DE REFERENCIA'!$A$6:$B$151,2,FALSE))</f>
        <v/>
      </c>
      <c r="O14" s="63"/>
      <c r="P14" s="13" t="e">
        <f t="shared" si="5"/>
        <v>#VALUE!</v>
      </c>
      <c r="Q14" s="62"/>
      <c r="R14" s="12" t="str">
        <f>IF(Q14="","",VLOOKUP(Q14,'TARAS DE REFERENCIA'!$A$6:$B$151,2,FALSE))</f>
        <v/>
      </c>
      <c r="S14" s="63"/>
      <c r="T14" s="13" t="e">
        <f t="shared" si="6"/>
        <v>#VALUE!</v>
      </c>
      <c r="U14" s="13" t="e">
        <f t="shared" si="10"/>
        <v>#VALUE!</v>
      </c>
      <c r="V14" s="5" t="str">
        <f t="shared" si="7"/>
        <v/>
      </c>
      <c r="W14" s="13" t="e">
        <f t="shared" si="11"/>
        <v>#VALUE!</v>
      </c>
      <c r="X14" s="11" t="e">
        <f t="shared" si="8"/>
        <v>#VALUE!</v>
      </c>
      <c r="Y14" s="11" t="e">
        <f t="shared" si="9"/>
        <v>#VALUE!</v>
      </c>
      <c r="Z14" s="11" t="e">
        <f t="shared" si="9"/>
        <v>#VALUE!</v>
      </c>
      <c r="AA14" s="13" t="e">
        <f>CHOOSE(Calculations!A$182,Calculations!$C$2,Calculations!$C$3,Calculations!$C$4,Calculations!$C$5,Calculations!$C$6,Calculations!$C$7,Calculations!$C$8,Calculations!$C$9,Calculations!$C$10,Calculations!$C$11,Calculations!$C$12,Calculations!$C$13)</f>
        <v>#VALUE!</v>
      </c>
      <c r="AB14" s="86"/>
      <c r="AC14" s="85"/>
    </row>
    <row r="15" spans="1:52" x14ac:dyDescent="0.2">
      <c r="A15" s="58"/>
      <c r="B15" s="59"/>
      <c r="C15" s="60"/>
      <c r="D15" s="61"/>
      <c r="E15" s="70" t="e">
        <f t="shared" si="1"/>
        <v>#DIV/0!</v>
      </c>
      <c r="F15" s="11">
        <f t="shared" si="2"/>
        <v>0</v>
      </c>
      <c r="G15" s="11">
        <f t="shared" si="3"/>
        <v>0</v>
      </c>
      <c r="H15" s="62"/>
      <c r="I15" s="12" t="str">
        <f>IF(H15="","",VLOOKUP(H15,'TARAS DE REFERENCIA'!$A$6:$B$151,2,FALSE))</f>
        <v/>
      </c>
      <c r="J15" s="63"/>
      <c r="K15" s="13" t="e">
        <f t="shared" si="4"/>
        <v>#VALUE!</v>
      </c>
      <c r="L15" s="5" t="str">
        <f t="shared" si="0"/>
        <v/>
      </c>
      <c r="M15" s="62"/>
      <c r="N15" s="12" t="str">
        <f>IF(M15="","",VLOOKUP(M15,'TARAS DE REFERENCIA'!$A$6:$B$151,2,FALSE))</f>
        <v/>
      </c>
      <c r="O15" s="63"/>
      <c r="P15" s="13" t="e">
        <f t="shared" si="5"/>
        <v>#VALUE!</v>
      </c>
      <c r="Q15" s="62"/>
      <c r="R15" s="12" t="str">
        <f>IF(Q15="","",VLOOKUP(Q15,'TARAS DE REFERENCIA'!$A$6:$B$151,2,FALSE))</f>
        <v/>
      </c>
      <c r="S15" s="63"/>
      <c r="T15" s="13" t="e">
        <f t="shared" si="6"/>
        <v>#VALUE!</v>
      </c>
      <c r="U15" s="13" t="e">
        <f t="shared" si="10"/>
        <v>#VALUE!</v>
      </c>
      <c r="V15" s="5" t="str">
        <f t="shared" si="7"/>
        <v/>
      </c>
      <c r="W15" s="13" t="e">
        <f t="shared" si="11"/>
        <v>#VALUE!</v>
      </c>
      <c r="X15" s="11" t="e">
        <f t="shared" si="8"/>
        <v>#VALUE!</v>
      </c>
      <c r="Y15" s="11" t="e">
        <f t="shared" si="9"/>
        <v>#VALUE!</v>
      </c>
      <c r="Z15" s="11" t="e">
        <f t="shared" si="9"/>
        <v>#VALUE!</v>
      </c>
      <c r="AA15" s="13" t="e">
        <f>CHOOSE(Calculations!A$196,Calculations!$C$2,Calculations!$C$3,Calculations!$C$4,Calculations!$C$5,Calculations!$C$6,Calculations!$C$7,Calculations!$C$8,Calculations!$C$9,Calculations!$C$10,Calculations!$C$11,Calculations!$C$12,Calculations!$C$13)</f>
        <v>#VALUE!</v>
      </c>
      <c r="AB15" s="86"/>
      <c r="AC15" s="85"/>
    </row>
    <row r="16" spans="1:52" x14ac:dyDescent="0.2">
      <c r="A16" s="58"/>
      <c r="B16" s="59"/>
      <c r="C16" s="60"/>
      <c r="D16" s="61"/>
      <c r="E16" s="70" t="e">
        <f t="shared" si="1"/>
        <v>#DIV/0!</v>
      </c>
      <c r="F16" s="11">
        <f t="shared" si="2"/>
        <v>0</v>
      </c>
      <c r="G16" s="11">
        <f t="shared" si="3"/>
        <v>0</v>
      </c>
      <c r="H16" s="62"/>
      <c r="I16" s="12" t="str">
        <f>IF(H16="","",VLOOKUP(H16,'TARAS DE REFERENCIA'!$A$6:$B$151,2,FALSE))</f>
        <v/>
      </c>
      <c r="J16" s="63"/>
      <c r="K16" s="13" t="e">
        <f t="shared" si="4"/>
        <v>#VALUE!</v>
      </c>
      <c r="L16" s="5" t="str">
        <f t="shared" si="0"/>
        <v/>
      </c>
      <c r="M16" s="62"/>
      <c r="N16" s="12" t="str">
        <f>IF(M16="","",VLOOKUP(M16,'TARAS DE REFERENCIA'!$A$6:$B$151,2,FALSE))</f>
        <v/>
      </c>
      <c r="O16" s="63"/>
      <c r="P16" s="13" t="e">
        <f t="shared" si="5"/>
        <v>#VALUE!</v>
      </c>
      <c r="Q16" s="62"/>
      <c r="R16" s="12" t="str">
        <f>IF(Q16="","",VLOOKUP(Q16,'TARAS DE REFERENCIA'!$A$6:$B$151,2,FALSE))</f>
        <v/>
      </c>
      <c r="S16" s="63"/>
      <c r="T16" s="13" t="e">
        <f t="shared" si="6"/>
        <v>#VALUE!</v>
      </c>
      <c r="U16" s="13" t="e">
        <f t="shared" si="10"/>
        <v>#VALUE!</v>
      </c>
      <c r="V16" s="5" t="str">
        <f t="shared" si="7"/>
        <v/>
      </c>
      <c r="W16" s="13" t="e">
        <f t="shared" si="11"/>
        <v>#VALUE!</v>
      </c>
      <c r="X16" s="11" t="e">
        <f t="shared" si="8"/>
        <v>#VALUE!</v>
      </c>
      <c r="Y16" s="11" t="e">
        <f t="shared" si="9"/>
        <v>#VALUE!</v>
      </c>
      <c r="Z16" s="11" t="e">
        <f t="shared" si="9"/>
        <v>#VALUE!</v>
      </c>
      <c r="AA16" s="13" t="e">
        <f>CHOOSE(Calculations!A$210,Calculations!$C$2,Calculations!$C$3,Calculations!$C$4,Calculations!$C$5,Calculations!$C$6,Calculations!$C$7,Calculations!$C$8,Calculations!$C$9,Calculations!$C$10,Calculations!$C$11,Calculations!$C$12,Calculations!$C$13)</f>
        <v>#VALUE!</v>
      </c>
      <c r="AB16" s="86"/>
      <c r="AC16" s="85"/>
    </row>
    <row r="17" spans="1:29" x14ac:dyDescent="0.2">
      <c r="A17" s="58"/>
      <c r="B17" s="59"/>
      <c r="C17" s="60"/>
      <c r="D17" s="61"/>
      <c r="E17" s="70" t="e">
        <f t="shared" si="1"/>
        <v>#DIV/0!</v>
      </c>
      <c r="F17" s="11">
        <f t="shared" si="2"/>
        <v>0</v>
      </c>
      <c r="G17" s="11">
        <f t="shared" si="3"/>
        <v>0</v>
      </c>
      <c r="H17" s="62"/>
      <c r="I17" s="12" t="str">
        <f>IF(H17="","",VLOOKUP(H17,'TARAS DE REFERENCIA'!$A$6:$B$151,2,FALSE))</f>
        <v/>
      </c>
      <c r="J17" s="63"/>
      <c r="K17" s="13" t="e">
        <f t="shared" si="4"/>
        <v>#VALUE!</v>
      </c>
      <c r="L17" s="5" t="str">
        <f t="shared" si="0"/>
        <v/>
      </c>
      <c r="M17" s="62"/>
      <c r="N17" s="12" t="str">
        <f>IF(M17="","",VLOOKUP(M17,'TARAS DE REFERENCIA'!$A$6:$B$151,2,FALSE))</f>
        <v/>
      </c>
      <c r="O17" s="63"/>
      <c r="P17" s="13" t="e">
        <f t="shared" si="5"/>
        <v>#VALUE!</v>
      </c>
      <c r="Q17" s="62"/>
      <c r="R17" s="12" t="str">
        <f>IF(Q17="","",VLOOKUP(Q17,'TARAS DE REFERENCIA'!$A$6:$B$151,2,FALSE))</f>
        <v/>
      </c>
      <c r="S17" s="63"/>
      <c r="T17" s="13" t="e">
        <f t="shared" si="6"/>
        <v>#VALUE!</v>
      </c>
      <c r="U17" s="13" t="e">
        <f t="shared" si="10"/>
        <v>#VALUE!</v>
      </c>
      <c r="V17" s="5" t="str">
        <f t="shared" si="7"/>
        <v/>
      </c>
      <c r="W17" s="13" t="e">
        <f t="shared" si="11"/>
        <v>#VALUE!</v>
      </c>
      <c r="X17" s="11" t="e">
        <f t="shared" si="8"/>
        <v>#VALUE!</v>
      </c>
      <c r="Y17" s="11" t="e">
        <f t="shared" si="9"/>
        <v>#VALUE!</v>
      </c>
      <c r="Z17" s="11" t="e">
        <f t="shared" si="9"/>
        <v>#VALUE!</v>
      </c>
      <c r="AA17" s="13" t="e">
        <f>CHOOSE(Calculations!A$224,Calculations!$C$2,Calculations!$C$3,Calculations!$C$4,Calculations!$C$5,Calculations!$C$6,Calculations!$C$7,Calculations!$C$8,Calculations!$C$9,Calculations!$C$10,Calculations!$C$11,Calculations!$C$12,Calculations!$C$13)</f>
        <v>#VALUE!</v>
      </c>
      <c r="AB17" s="86"/>
      <c r="AC17" s="85"/>
    </row>
    <row r="18" spans="1:29" x14ac:dyDescent="0.2">
      <c r="A18" s="58"/>
      <c r="B18" s="59"/>
      <c r="C18" s="60"/>
      <c r="D18" s="61"/>
      <c r="E18" s="70" t="e">
        <f t="shared" si="1"/>
        <v>#DIV/0!</v>
      </c>
      <c r="F18" s="11">
        <f t="shared" si="2"/>
        <v>0</v>
      </c>
      <c r="G18" s="11">
        <f t="shared" si="3"/>
        <v>0</v>
      </c>
      <c r="H18" s="62"/>
      <c r="I18" s="12" t="str">
        <f>IF(H18="","",VLOOKUP(H18,'TARAS DE REFERENCIA'!$A$6:$B$151,2,FALSE))</f>
        <v/>
      </c>
      <c r="J18" s="63"/>
      <c r="K18" s="13" t="e">
        <f t="shared" si="4"/>
        <v>#VALUE!</v>
      </c>
      <c r="L18" s="5" t="str">
        <f t="shared" si="0"/>
        <v/>
      </c>
      <c r="M18" s="62"/>
      <c r="N18" s="12" t="str">
        <f>IF(M18="","",VLOOKUP(M18,'TARAS DE REFERENCIA'!$A$6:$B$151,2,FALSE))</f>
        <v/>
      </c>
      <c r="O18" s="63"/>
      <c r="P18" s="13" t="e">
        <f t="shared" si="5"/>
        <v>#VALUE!</v>
      </c>
      <c r="Q18" s="62"/>
      <c r="R18" s="12" t="str">
        <f>IF(Q18="","",VLOOKUP(Q18,'TARAS DE REFERENCIA'!$A$6:$B$151,2,FALSE))</f>
        <v/>
      </c>
      <c r="S18" s="63"/>
      <c r="T18" s="13" t="e">
        <f t="shared" si="6"/>
        <v>#VALUE!</v>
      </c>
      <c r="U18" s="13" t="e">
        <f t="shared" si="10"/>
        <v>#VALUE!</v>
      </c>
      <c r="V18" s="5" t="str">
        <f t="shared" si="7"/>
        <v/>
      </c>
      <c r="W18" s="13" t="e">
        <f t="shared" si="11"/>
        <v>#VALUE!</v>
      </c>
      <c r="X18" s="11" t="e">
        <f t="shared" si="8"/>
        <v>#VALUE!</v>
      </c>
      <c r="Y18" s="11" t="e">
        <f t="shared" si="9"/>
        <v>#VALUE!</v>
      </c>
      <c r="Z18" s="11" t="e">
        <f t="shared" si="9"/>
        <v>#VALUE!</v>
      </c>
      <c r="AA18" s="13" t="e">
        <f>CHOOSE(Calculations!A$238,Calculations!$C$2,Calculations!$C$3,Calculations!$C$4,Calculations!$C$5,Calculations!$C$6,Calculations!$C$7,Calculations!$C$8,Calculations!$C$9,Calculations!$C$10,Calculations!$C$11,Calculations!$C$12,Calculations!$C$13)</f>
        <v>#VALUE!</v>
      </c>
      <c r="AB18" s="86"/>
      <c r="AC18" s="85"/>
    </row>
    <row r="19" spans="1:29" x14ac:dyDescent="0.2">
      <c r="A19" s="58"/>
      <c r="B19" s="59"/>
      <c r="C19" s="60"/>
      <c r="D19" s="61"/>
      <c r="E19" s="70" t="e">
        <f t="shared" si="1"/>
        <v>#DIV/0!</v>
      </c>
      <c r="F19" s="11">
        <f t="shared" si="2"/>
        <v>0</v>
      </c>
      <c r="G19" s="11">
        <f t="shared" si="3"/>
        <v>0</v>
      </c>
      <c r="H19" s="62"/>
      <c r="I19" s="12" t="str">
        <f>IF(H19="","",VLOOKUP(H19,'TARAS DE REFERENCIA'!$A$6:$B$151,2,FALSE))</f>
        <v/>
      </c>
      <c r="J19" s="63"/>
      <c r="K19" s="13" t="e">
        <f t="shared" si="4"/>
        <v>#VALUE!</v>
      </c>
      <c r="L19" s="5" t="str">
        <f t="shared" si="0"/>
        <v/>
      </c>
      <c r="M19" s="62"/>
      <c r="N19" s="12" t="str">
        <f>IF(M19="","",VLOOKUP(M19,'TARAS DE REFERENCIA'!$A$6:$B$151,2,FALSE))</f>
        <v/>
      </c>
      <c r="O19" s="63"/>
      <c r="P19" s="13" t="e">
        <f t="shared" si="5"/>
        <v>#VALUE!</v>
      </c>
      <c r="Q19" s="62"/>
      <c r="R19" s="12" t="str">
        <f>IF(Q19="","",VLOOKUP(Q19,'TARAS DE REFERENCIA'!$A$6:$B$151,2,FALSE))</f>
        <v/>
      </c>
      <c r="S19" s="63"/>
      <c r="T19" s="13" t="e">
        <f t="shared" si="6"/>
        <v>#VALUE!</v>
      </c>
      <c r="U19" s="13" t="e">
        <f t="shared" si="10"/>
        <v>#VALUE!</v>
      </c>
      <c r="V19" s="5" t="str">
        <f t="shared" si="7"/>
        <v/>
      </c>
      <c r="W19" s="13" t="e">
        <f t="shared" si="11"/>
        <v>#VALUE!</v>
      </c>
      <c r="X19" s="11" t="e">
        <f t="shared" si="8"/>
        <v>#VALUE!</v>
      </c>
      <c r="Y19" s="11" t="e">
        <f t="shared" si="9"/>
        <v>#VALUE!</v>
      </c>
      <c r="Z19" s="11" t="e">
        <f t="shared" si="9"/>
        <v>#VALUE!</v>
      </c>
      <c r="AA19" s="13" t="e">
        <f>CHOOSE(Calculations!A$252,Calculations!$C$2,Calculations!$C$3,Calculations!$C$4,Calculations!$C$5,Calculations!$C$6,Calculations!$C$7,Calculations!$C$8,Calculations!$C$9,Calculations!$C$10,Calculations!$C$11,Calculations!$C$12,Calculations!$C$13)</f>
        <v>#VALUE!</v>
      </c>
      <c r="AB19" s="86"/>
      <c r="AC19" s="85"/>
    </row>
    <row r="20" spans="1:29" x14ac:dyDescent="0.2">
      <c r="A20" s="58"/>
      <c r="B20" s="59"/>
      <c r="C20" s="60"/>
      <c r="D20" s="61"/>
      <c r="E20" s="70" t="e">
        <f t="shared" si="1"/>
        <v>#DIV/0!</v>
      </c>
      <c r="F20" s="11">
        <f t="shared" si="2"/>
        <v>0</v>
      </c>
      <c r="G20" s="11">
        <f t="shared" si="3"/>
        <v>0</v>
      </c>
      <c r="H20" s="62"/>
      <c r="I20" s="12" t="str">
        <f>IF(H20="","",VLOOKUP(H20,'TARAS DE REFERENCIA'!$A$6:$B$151,2,FALSE))</f>
        <v/>
      </c>
      <c r="J20" s="63"/>
      <c r="K20" s="13" t="e">
        <f t="shared" si="4"/>
        <v>#VALUE!</v>
      </c>
      <c r="L20" s="5" t="str">
        <f t="shared" si="0"/>
        <v/>
      </c>
      <c r="M20" s="62"/>
      <c r="N20" s="12" t="str">
        <f>IF(M20="","",VLOOKUP(M20,'TARAS DE REFERENCIA'!$A$6:$B$151,2,FALSE))</f>
        <v/>
      </c>
      <c r="O20" s="63"/>
      <c r="P20" s="13" t="e">
        <f t="shared" si="5"/>
        <v>#VALUE!</v>
      </c>
      <c r="Q20" s="62"/>
      <c r="R20" s="12" t="str">
        <f>IF(Q20="","",VLOOKUP(Q20,'TARAS DE REFERENCIA'!$A$6:$B$151,2,FALSE))</f>
        <v/>
      </c>
      <c r="S20" s="63"/>
      <c r="T20" s="13" t="e">
        <f t="shared" si="6"/>
        <v>#VALUE!</v>
      </c>
      <c r="U20" s="13" t="e">
        <f t="shared" si="10"/>
        <v>#VALUE!</v>
      </c>
      <c r="V20" s="5" t="str">
        <f t="shared" si="7"/>
        <v/>
      </c>
      <c r="W20" s="13" t="e">
        <f t="shared" si="11"/>
        <v>#VALUE!</v>
      </c>
      <c r="X20" s="11" t="e">
        <f t="shared" si="8"/>
        <v>#VALUE!</v>
      </c>
      <c r="Y20" s="11" t="e">
        <f t="shared" si="9"/>
        <v>#VALUE!</v>
      </c>
      <c r="Z20" s="11" t="e">
        <f t="shared" si="9"/>
        <v>#VALUE!</v>
      </c>
      <c r="AA20" s="13" t="e">
        <f>CHOOSE(Calculations!A$266,Calculations!$C$2,Calculations!$C$3,Calculations!$C$4,Calculations!$C$5,Calculations!$C$6,Calculations!$C$7,Calculations!$C$8,Calculations!$C$9,Calculations!$C$10,Calculations!$C$11,Calculations!$C$12,Calculations!$C$13)</f>
        <v>#VALUE!</v>
      </c>
      <c r="AB20" s="86"/>
      <c r="AC20" s="85"/>
    </row>
    <row r="21" spans="1:29" x14ac:dyDescent="0.2">
      <c r="A21" s="58"/>
      <c r="B21" s="59"/>
      <c r="C21" s="60"/>
      <c r="D21" s="61"/>
      <c r="E21" s="70" t="e">
        <f t="shared" si="1"/>
        <v>#DIV/0!</v>
      </c>
      <c r="F21" s="11">
        <f t="shared" si="2"/>
        <v>0</v>
      </c>
      <c r="G21" s="11">
        <f t="shared" si="3"/>
        <v>0</v>
      </c>
      <c r="H21" s="62"/>
      <c r="I21" s="12" t="str">
        <f>IF(H21="","",VLOOKUP(H21,'TARAS DE REFERENCIA'!$A$6:$B$151,2,FALSE))</f>
        <v/>
      </c>
      <c r="J21" s="63"/>
      <c r="K21" s="13" t="e">
        <f t="shared" si="4"/>
        <v>#VALUE!</v>
      </c>
      <c r="L21" s="5" t="str">
        <f t="shared" si="0"/>
        <v/>
      </c>
      <c r="M21" s="62"/>
      <c r="N21" s="12" t="str">
        <f>IF(M21="","",VLOOKUP(M21,'TARAS DE REFERENCIA'!$A$6:$B$151,2,FALSE))</f>
        <v/>
      </c>
      <c r="O21" s="63"/>
      <c r="P21" s="13" t="e">
        <f t="shared" si="5"/>
        <v>#VALUE!</v>
      </c>
      <c r="Q21" s="62"/>
      <c r="R21" s="12" t="str">
        <f>IF(Q21="","",VLOOKUP(Q21,'TARAS DE REFERENCIA'!$A$6:$B$151,2,FALSE))</f>
        <v/>
      </c>
      <c r="S21" s="63"/>
      <c r="T21" s="13" t="e">
        <f t="shared" si="6"/>
        <v>#VALUE!</v>
      </c>
      <c r="U21" s="13" t="e">
        <f t="shared" si="10"/>
        <v>#VALUE!</v>
      </c>
      <c r="V21" s="5" t="str">
        <f t="shared" si="7"/>
        <v/>
      </c>
      <c r="W21" s="13" t="e">
        <f t="shared" si="11"/>
        <v>#VALUE!</v>
      </c>
      <c r="X21" s="11" t="e">
        <f t="shared" si="8"/>
        <v>#VALUE!</v>
      </c>
      <c r="Y21" s="11" t="e">
        <f t="shared" si="9"/>
        <v>#VALUE!</v>
      </c>
      <c r="Z21" s="11" t="e">
        <f t="shared" si="9"/>
        <v>#VALUE!</v>
      </c>
      <c r="AA21" s="13" t="e">
        <f>CHOOSE(Calculations!A$280,Calculations!$C$2,Calculations!$C$3,Calculations!$C$4,Calculations!$C$5,Calculations!$C$6,Calculations!$C$7,Calculations!$C$8,Calculations!$C$9,Calculations!$C$10,Calculations!$C$11,Calculations!$C$12,Calculations!$C$13)</f>
        <v>#VALUE!</v>
      </c>
      <c r="AB21" s="86"/>
      <c r="AC21" s="85"/>
    </row>
    <row r="22" spans="1:29" x14ac:dyDescent="0.2">
      <c r="A22" s="58"/>
      <c r="B22" s="59"/>
      <c r="C22" s="60"/>
      <c r="D22" s="61"/>
      <c r="E22" s="70" t="e">
        <f t="shared" si="1"/>
        <v>#DIV/0!</v>
      </c>
      <c r="F22" s="11">
        <f t="shared" si="2"/>
        <v>0</v>
      </c>
      <c r="G22" s="11">
        <f t="shared" si="3"/>
        <v>0</v>
      </c>
      <c r="H22" s="62"/>
      <c r="I22" s="12" t="str">
        <f>IF(H22="","",VLOOKUP(H22,'TARAS DE REFERENCIA'!$A$6:$B$151,2,FALSE))</f>
        <v/>
      </c>
      <c r="J22" s="63"/>
      <c r="K22" s="13" t="e">
        <f t="shared" si="4"/>
        <v>#VALUE!</v>
      </c>
      <c r="L22" s="5" t="str">
        <f t="shared" si="0"/>
        <v/>
      </c>
      <c r="M22" s="62"/>
      <c r="N22" s="12" t="str">
        <f>IF(M22="","",VLOOKUP(M22,'TARAS DE REFERENCIA'!$A$6:$B$151,2,FALSE))</f>
        <v/>
      </c>
      <c r="O22" s="63"/>
      <c r="P22" s="13" t="e">
        <f t="shared" si="5"/>
        <v>#VALUE!</v>
      </c>
      <c r="Q22" s="62"/>
      <c r="R22" s="12" t="str">
        <f>IF(Q22="","",VLOOKUP(Q22,'TARAS DE REFERENCIA'!$A$6:$B$151,2,FALSE))</f>
        <v/>
      </c>
      <c r="S22" s="63"/>
      <c r="T22" s="13" t="e">
        <f t="shared" si="6"/>
        <v>#VALUE!</v>
      </c>
      <c r="U22" s="13" t="e">
        <f t="shared" si="10"/>
        <v>#VALUE!</v>
      </c>
      <c r="V22" s="5" t="str">
        <f t="shared" si="7"/>
        <v/>
      </c>
      <c r="W22" s="13" t="e">
        <f t="shared" si="11"/>
        <v>#VALUE!</v>
      </c>
      <c r="X22" s="11" t="e">
        <f t="shared" si="8"/>
        <v>#VALUE!</v>
      </c>
      <c r="Y22" s="11" t="e">
        <f t="shared" si="9"/>
        <v>#VALUE!</v>
      </c>
      <c r="Z22" s="11" t="e">
        <f t="shared" si="9"/>
        <v>#VALUE!</v>
      </c>
      <c r="AA22" s="13" t="e">
        <f>CHOOSE(Calculations!A$294,Calculations!$C$2,Calculations!$C$3,Calculations!$C$4,Calculations!$C$5,Calculations!$C$6,Calculations!$C$7,Calculations!$C$8,Calculations!$C$9,Calculations!$C$10,Calculations!$C$11,Calculations!$C$12,Calculations!$C$13)</f>
        <v>#VALUE!</v>
      </c>
      <c r="AB22" s="86"/>
      <c r="AC22" s="85"/>
    </row>
    <row r="23" spans="1:29" x14ac:dyDescent="0.2">
      <c r="A23" s="58"/>
      <c r="B23" s="59"/>
      <c r="C23" s="60"/>
      <c r="D23" s="61"/>
      <c r="E23" s="70" t="e">
        <f t="shared" si="1"/>
        <v>#DIV/0!</v>
      </c>
      <c r="F23" s="11">
        <f t="shared" si="2"/>
        <v>0</v>
      </c>
      <c r="G23" s="11">
        <f t="shared" si="3"/>
        <v>0</v>
      </c>
      <c r="H23" s="62"/>
      <c r="I23" s="12" t="str">
        <f>IF(H23="","",VLOOKUP(H23,'TARAS DE REFERENCIA'!$A$6:$B$151,2,FALSE))</f>
        <v/>
      </c>
      <c r="J23" s="63"/>
      <c r="K23" s="13" t="e">
        <f t="shared" si="4"/>
        <v>#VALUE!</v>
      </c>
      <c r="L23" s="5" t="str">
        <f t="shared" si="0"/>
        <v/>
      </c>
      <c r="M23" s="62"/>
      <c r="N23" s="12" t="str">
        <f>IF(M23="","",VLOOKUP(M23,'TARAS DE REFERENCIA'!$A$6:$B$151,2,FALSE))</f>
        <v/>
      </c>
      <c r="O23" s="63"/>
      <c r="P23" s="13" t="e">
        <f t="shared" si="5"/>
        <v>#VALUE!</v>
      </c>
      <c r="Q23" s="62"/>
      <c r="R23" s="12" t="str">
        <f>IF(Q23="","",VLOOKUP(Q23,'TARAS DE REFERENCIA'!$A$6:$B$151,2,FALSE))</f>
        <v/>
      </c>
      <c r="S23" s="63"/>
      <c r="T23" s="13" t="e">
        <f t="shared" si="6"/>
        <v>#VALUE!</v>
      </c>
      <c r="U23" s="13" t="e">
        <f t="shared" si="10"/>
        <v>#VALUE!</v>
      </c>
      <c r="V23" s="5" t="str">
        <f t="shared" si="7"/>
        <v/>
      </c>
      <c r="W23" s="13" t="e">
        <f t="shared" si="11"/>
        <v>#VALUE!</v>
      </c>
      <c r="X23" s="11" t="e">
        <f t="shared" si="8"/>
        <v>#VALUE!</v>
      </c>
      <c r="Y23" s="11" t="e">
        <f t="shared" si="9"/>
        <v>#VALUE!</v>
      </c>
      <c r="Z23" s="11" t="e">
        <f t="shared" si="9"/>
        <v>#VALUE!</v>
      </c>
      <c r="AA23" s="13" t="e">
        <f>CHOOSE(Calculations!A$308,Calculations!$C$2,Calculations!$C$3,Calculations!$C$4,Calculations!$C$5,Calculations!$C$6,Calculations!$C$7,Calculations!$C$8,Calculations!$C$9,Calculations!$C$10,Calculations!$C$11,Calculations!$C$12,Calculations!$C$13)</f>
        <v>#VALUE!</v>
      </c>
      <c r="AB23" s="86"/>
      <c r="AC23" s="85"/>
    </row>
    <row r="24" spans="1:29" x14ac:dyDescent="0.2">
      <c r="A24" s="58"/>
      <c r="B24" s="59"/>
      <c r="C24" s="60"/>
      <c r="D24" s="61"/>
      <c r="E24" s="70" t="e">
        <f t="shared" si="1"/>
        <v>#DIV/0!</v>
      </c>
      <c r="F24" s="11">
        <f t="shared" si="2"/>
        <v>0</v>
      </c>
      <c r="G24" s="11">
        <f t="shared" si="3"/>
        <v>0</v>
      </c>
      <c r="H24" s="62"/>
      <c r="I24" s="12" t="str">
        <f>IF(H24="","",VLOOKUP(H24,'TARAS DE REFERENCIA'!$A$6:$B$151,2,FALSE))</f>
        <v/>
      </c>
      <c r="J24" s="63"/>
      <c r="K24" s="13" t="e">
        <f t="shared" si="4"/>
        <v>#VALUE!</v>
      </c>
      <c r="L24" s="5" t="str">
        <f t="shared" si="0"/>
        <v/>
      </c>
      <c r="M24" s="62"/>
      <c r="N24" s="12" t="str">
        <f>IF(M24="","",VLOOKUP(M24,'TARAS DE REFERENCIA'!$A$6:$B$151,2,FALSE))</f>
        <v/>
      </c>
      <c r="O24" s="63"/>
      <c r="P24" s="13" t="e">
        <f t="shared" si="5"/>
        <v>#VALUE!</v>
      </c>
      <c r="Q24" s="62"/>
      <c r="R24" s="12" t="str">
        <f>IF(Q24="","",VLOOKUP(Q24,'TARAS DE REFERENCIA'!$A$6:$B$151,2,FALSE))</f>
        <v/>
      </c>
      <c r="S24" s="63"/>
      <c r="T24" s="13" t="e">
        <f t="shared" si="6"/>
        <v>#VALUE!</v>
      </c>
      <c r="U24" s="13" t="e">
        <f t="shared" si="10"/>
        <v>#VALUE!</v>
      </c>
      <c r="V24" s="5" t="str">
        <f t="shared" si="7"/>
        <v/>
      </c>
      <c r="W24" s="13" t="e">
        <f t="shared" si="11"/>
        <v>#VALUE!</v>
      </c>
      <c r="X24" s="11" t="e">
        <f t="shared" si="8"/>
        <v>#VALUE!</v>
      </c>
      <c r="Y24" s="11" t="e">
        <f t="shared" si="9"/>
        <v>#VALUE!</v>
      </c>
      <c r="Z24" s="11" t="e">
        <f t="shared" si="9"/>
        <v>#VALUE!</v>
      </c>
      <c r="AA24" s="13" t="e">
        <f>CHOOSE(Calculations!A$322,Calculations!$C$2,Calculations!$C$3,Calculations!$C$4,Calculations!$C$5,Calculations!$C$6,Calculations!$C$7,Calculations!$C$8,Calculations!$C$9,Calculations!$C$10,Calculations!$C$11,Calculations!$C$12,Calculations!$C$13)</f>
        <v>#VALUE!</v>
      </c>
      <c r="AB24" s="86"/>
      <c r="AC24" s="85"/>
    </row>
    <row r="25" spans="1:29" x14ac:dyDescent="0.2">
      <c r="A25" s="58"/>
      <c r="B25" s="59"/>
      <c r="C25" s="60"/>
      <c r="D25" s="61"/>
      <c r="E25" s="70" t="e">
        <f t="shared" si="1"/>
        <v>#DIV/0!</v>
      </c>
      <c r="F25" s="11">
        <f t="shared" si="2"/>
        <v>0</v>
      </c>
      <c r="G25" s="11">
        <f t="shared" si="3"/>
        <v>0</v>
      </c>
      <c r="H25" s="62"/>
      <c r="I25" s="12" t="str">
        <f>IF(H25="","",VLOOKUP(H25,'TARAS DE REFERENCIA'!$A$6:$B$151,2,FALSE))</f>
        <v/>
      </c>
      <c r="J25" s="63"/>
      <c r="K25" s="13" t="e">
        <f t="shared" si="4"/>
        <v>#VALUE!</v>
      </c>
      <c r="L25" s="5" t="str">
        <f t="shared" si="0"/>
        <v/>
      </c>
      <c r="M25" s="62"/>
      <c r="N25" s="12" t="str">
        <f>IF(M25="","",VLOOKUP(M25,'TARAS DE REFERENCIA'!$A$6:$B$151,2,FALSE))</f>
        <v/>
      </c>
      <c r="O25" s="63"/>
      <c r="P25" s="13" t="e">
        <f t="shared" si="5"/>
        <v>#VALUE!</v>
      </c>
      <c r="Q25" s="62"/>
      <c r="R25" s="12" t="str">
        <f>IF(Q25="","",VLOOKUP(Q25,'TARAS DE REFERENCIA'!$A$6:$B$151,2,FALSE))</f>
        <v/>
      </c>
      <c r="S25" s="63"/>
      <c r="T25" s="13" t="e">
        <f t="shared" si="6"/>
        <v>#VALUE!</v>
      </c>
      <c r="U25" s="13" t="e">
        <f t="shared" si="10"/>
        <v>#VALUE!</v>
      </c>
      <c r="V25" s="5" t="str">
        <f t="shared" si="7"/>
        <v/>
      </c>
      <c r="W25" s="13" t="e">
        <f t="shared" si="11"/>
        <v>#VALUE!</v>
      </c>
      <c r="X25" s="11" t="e">
        <f t="shared" si="8"/>
        <v>#VALUE!</v>
      </c>
      <c r="Y25" s="11" t="e">
        <f t="shared" si="9"/>
        <v>#VALUE!</v>
      </c>
      <c r="Z25" s="11" t="e">
        <f t="shared" si="9"/>
        <v>#VALUE!</v>
      </c>
      <c r="AA25" s="13" t="e">
        <f>CHOOSE(Calculations!A$336,Calculations!$C$2,Calculations!$C$3,Calculations!$C$4,Calculations!$C$5,Calculations!$C$6,Calculations!$C$7,Calculations!$C$8,Calculations!$C$9,Calculations!$C$10,Calculations!$C$11,Calculations!$C$12,Calculations!$C$13)</f>
        <v>#VALUE!</v>
      </c>
      <c r="AB25" s="86"/>
      <c r="AC25" s="85"/>
    </row>
    <row r="27" spans="1:29" x14ac:dyDescent="0.2">
      <c r="E27" s="77" t="s">
        <v>127</v>
      </c>
      <c r="F27" s="11"/>
      <c r="G27" s="11"/>
      <c r="H27" s="8" t="s">
        <v>128</v>
      </c>
      <c r="I27" s="9" t="s">
        <v>129</v>
      </c>
      <c r="J27" s="9" t="s">
        <v>130</v>
      </c>
      <c r="K27" s="8" t="s">
        <v>131</v>
      </c>
    </row>
    <row r="28" spans="1:29" x14ac:dyDescent="0.2">
      <c r="E28" s="79"/>
      <c r="F28" s="78"/>
      <c r="G28" s="11"/>
      <c r="H28" s="58"/>
      <c r="I28" s="76" t="str">
        <f>IF(H28="","",VLOOKUP(H28,'TARAS DE REFERENCIA'!$A$6:$B$151,2,FALSE))</f>
        <v/>
      </c>
      <c r="J28" s="69"/>
      <c r="K28" s="73" t="str">
        <f>IF(H28="","",IF(I28="","",IF(J28="","",(J28-I28))))</f>
        <v/>
      </c>
    </row>
    <row r="29" spans="1:29" x14ac:dyDescent="0.2">
      <c r="E29" s="79"/>
      <c r="F29" s="78"/>
      <c r="G29" s="11"/>
      <c r="H29" s="58"/>
      <c r="I29" s="76" t="str">
        <f>IF(H29="","",VLOOKUP(H29,'TARAS DE REFERENCIA'!$A$6:$B$151,2,FALSE))</f>
        <v/>
      </c>
      <c r="J29" s="69"/>
      <c r="K29" s="73" t="str">
        <f t="shared" ref="K29:K30" si="12">IF(H29="","",IF(I29="","",IF(J29="","",(J29-I29))))</f>
        <v/>
      </c>
    </row>
    <row r="30" spans="1:29" x14ac:dyDescent="0.2">
      <c r="E30" s="79"/>
      <c r="F30" s="78"/>
      <c r="G30" s="11"/>
      <c r="H30" s="58"/>
      <c r="I30" s="76" t="str">
        <f>IF(H30="","",VLOOKUP(H30,'TARAS DE REFERENCIA'!$A$6:$B$151,2,FALSE))</f>
        <v/>
      </c>
      <c r="J30" s="69"/>
      <c r="K30" s="73" t="str">
        <f t="shared" si="12"/>
        <v/>
      </c>
    </row>
  </sheetData>
  <sheetProtection password="D1D1" sheet="1" objects="1" scenarios="1" formatCells="0" formatColumns="0" formatRows="0"/>
  <protectedRanges>
    <protectedRange sqref="AZ1:AZ13" name="Rango2"/>
  </protectedRanges>
  <conditionalFormatting sqref="H2:H30 M2:M25 Q2:Q25">
    <cfRule type="duplicateValues" dxfId="4" priority="1"/>
  </conditionalFormatting>
  <printOptions horizontalCentered="1" verticalCentered="1"/>
  <pageMargins left="0.75" right="0.75" top="1" bottom="1" header="0.51181102362204722" footer="0.51181102362204722"/>
  <pageSetup paperSize="9" scale="98" orientation="landscape" horizontalDpi="300" verticalDpi="300" r:id="rId1"/>
  <headerFooter alignWithMargins="0">
    <oddHeader>&amp;A</oddHeader>
  </headerFooter>
  <colBreaks count="2" manualBreakCount="2">
    <brk id="11" max="1048575" man="1"/>
    <brk id="21" max="1048575" man="1"/>
  </col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30B2100D-EBC8-47A0-AAC3-5951BEF4A0D9}">
            <xm:f>'TARAS DE REFERENCIA'!$K$5&lt;TODAY()</xm:f>
            <x14:dxf>
              <font>
                <color rgb="FFFF0000"/>
              </font>
            </x14:dxf>
          </x14:cfRule>
          <xm:sqref>I2:I25 N2:N25 R2:R25</xm:sqref>
        </x14:conditionalFormatting>
        <x14:conditionalFormatting xmlns:xm="http://schemas.microsoft.com/office/excel/2006/main">
          <x14:cfRule type="expression" priority="4" id="{B8392D80-9393-4358-BD5A-2B74C5FDA77C}">
            <xm:f>'TARAS DE REFERENCIA'!$K$5&lt;TODAY()</xm:f>
            <x14:dxf>
              <font>
                <color rgb="FFFF0000"/>
              </font>
            </x14:dxf>
          </x14:cfRule>
          <xm:sqref>I28:I30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AZ32"/>
  <sheetViews>
    <sheetView zoomScaleNormal="100" workbookViewId="0">
      <selection activeCell="A2" sqref="A2"/>
    </sheetView>
  </sheetViews>
  <sheetFormatPr baseColWidth="10" defaultColWidth="11.42578125" defaultRowHeight="12.75" x14ac:dyDescent="0.2"/>
  <cols>
    <col min="1" max="2" width="11.42578125" style="15"/>
    <col min="3" max="5" width="11.42578125" style="14"/>
    <col min="6" max="6" width="7.85546875" style="14" hidden="1" customWidth="1"/>
    <col min="7" max="7" width="11.85546875" style="14" hidden="1" customWidth="1"/>
    <col min="8" max="8" width="12.28515625" style="14" bestFit="1" customWidth="1"/>
    <col min="9" max="9" width="11.42578125" style="16"/>
    <col min="10" max="10" width="11.28515625" style="16" customWidth="1"/>
    <col min="11" max="11" width="11.28515625" style="14" customWidth="1"/>
    <col min="12" max="12" width="11.42578125" style="15"/>
    <col min="13" max="13" width="12.7109375" style="17" customWidth="1"/>
    <col min="14" max="14" width="12.7109375" style="16" customWidth="1"/>
    <col min="15" max="15" width="11.28515625" style="16" customWidth="1"/>
    <col min="16" max="16" width="12.42578125" style="14" customWidth="1"/>
    <col min="17" max="17" width="16.28515625" style="17" customWidth="1"/>
    <col min="18" max="18" width="16" style="16" customWidth="1"/>
    <col min="19" max="19" width="15.42578125" style="16" customWidth="1"/>
    <col min="20" max="20" width="12.28515625" style="14" customWidth="1"/>
    <col min="21" max="22" width="14.28515625" style="14" bestFit="1" customWidth="1"/>
    <col min="23" max="23" width="14.5703125" style="14" bestFit="1" customWidth="1"/>
    <col min="24" max="24" width="15.42578125" style="14" bestFit="1" customWidth="1"/>
    <col min="25" max="25" width="20.85546875" style="14" customWidth="1"/>
    <col min="26" max="26" width="11.85546875" style="14" customWidth="1"/>
    <col min="27" max="27" width="12.28515625" style="14" customWidth="1"/>
    <col min="28" max="28" width="10.85546875" style="14" customWidth="1"/>
    <col min="29" max="29" width="21.140625" style="14" customWidth="1"/>
    <col min="30" max="30" width="11.42578125" style="17"/>
    <col min="31" max="31" width="20.28515625" style="14" customWidth="1"/>
    <col min="32" max="32" width="18.7109375" style="14" customWidth="1"/>
    <col min="33" max="33" width="19" style="14" customWidth="1"/>
    <col min="34" max="16384" width="11.42578125" style="14"/>
  </cols>
  <sheetData>
    <row r="1" spans="1:52" s="10" customFormat="1" ht="38.25" x14ac:dyDescent="0.2">
      <c r="A1" s="5" t="s">
        <v>8</v>
      </c>
      <c r="B1" s="6" t="s">
        <v>32</v>
      </c>
      <c r="C1" s="8" t="s">
        <v>33</v>
      </c>
      <c r="D1" s="7" t="s">
        <v>11</v>
      </c>
      <c r="E1" s="7" t="s">
        <v>12</v>
      </c>
      <c r="F1" s="8" t="s">
        <v>13</v>
      </c>
      <c r="G1" s="8" t="s">
        <v>34</v>
      </c>
      <c r="H1" s="8" t="s">
        <v>14</v>
      </c>
      <c r="I1" s="9" t="s">
        <v>15</v>
      </c>
      <c r="J1" s="9" t="s">
        <v>35</v>
      </c>
      <c r="K1" s="7" t="s">
        <v>36</v>
      </c>
      <c r="L1" s="5" t="s">
        <v>8</v>
      </c>
      <c r="M1" s="5" t="s">
        <v>37</v>
      </c>
      <c r="N1" s="9" t="s">
        <v>38</v>
      </c>
      <c r="O1" s="9" t="s">
        <v>39</v>
      </c>
      <c r="P1" s="7" t="s">
        <v>40</v>
      </c>
      <c r="Q1" s="5" t="s">
        <v>41</v>
      </c>
      <c r="R1" s="9" t="s">
        <v>42</v>
      </c>
      <c r="S1" s="9" t="s">
        <v>43</v>
      </c>
      <c r="T1" s="7" t="s">
        <v>44</v>
      </c>
      <c r="U1" s="5" t="s">
        <v>8</v>
      </c>
      <c r="V1" s="8" t="s">
        <v>45</v>
      </c>
      <c r="W1" s="8" t="s">
        <v>46</v>
      </c>
      <c r="X1" s="8" t="s">
        <v>47</v>
      </c>
      <c r="Y1" s="7" t="s">
        <v>48</v>
      </c>
      <c r="Z1" s="8" t="s">
        <v>49</v>
      </c>
      <c r="AA1" s="8" t="s">
        <v>50</v>
      </c>
      <c r="AB1" s="8" t="s">
        <v>51</v>
      </c>
      <c r="AC1" s="7" t="s">
        <v>52</v>
      </c>
      <c r="AD1" s="5" t="s">
        <v>8</v>
      </c>
      <c r="AE1" s="8" t="s">
        <v>53</v>
      </c>
      <c r="AF1" s="18" t="s">
        <v>54</v>
      </c>
      <c r="AG1" s="8" t="s">
        <v>55</v>
      </c>
    </row>
    <row r="2" spans="1:52" x14ac:dyDescent="0.2">
      <c r="A2" s="58"/>
      <c r="B2" s="65"/>
      <c r="C2" s="66"/>
      <c r="D2" s="67"/>
      <c r="E2" s="71" t="e">
        <f>AVERAGE($K$24:$K$26)</f>
        <v>#DIV/0!</v>
      </c>
      <c r="F2" s="66">
        <f>D2/((1+(C2/100))*10)</f>
        <v>0</v>
      </c>
      <c r="G2" s="68">
        <f>B2-(C2+F2)/5</f>
        <v>0</v>
      </c>
      <c r="H2" s="62"/>
      <c r="I2" s="12" t="str">
        <f>IF(H2="","",VLOOKUP(H2,'TARAS DE REFERENCIA'!$A$6:$B$151,2,FALSE))</f>
        <v/>
      </c>
      <c r="J2" s="63"/>
      <c r="K2" s="8" t="e">
        <f t="shared" ref="K2:K21" si="0">(J2-I2-E2)*(50000/20)/G2</f>
        <v>#VALUE!</v>
      </c>
      <c r="L2" s="5" t="str">
        <f>IF(A2="","",A2)</f>
        <v/>
      </c>
      <c r="M2" s="62"/>
      <c r="N2" s="12" t="str">
        <f>IF(M2="","",VLOOKUP(M2,'TARAS DE REFERENCIA'!$A$6:$B$151,2,FALSE))</f>
        <v/>
      </c>
      <c r="O2" s="63"/>
      <c r="P2" s="8" t="e">
        <f t="shared" ref="P2:P21" si="1">(O2-N2-E2)*(50000/20)/G2</f>
        <v>#VALUE!</v>
      </c>
      <c r="Q2" s="62"/>
      <c r="R2" s="12" t="str">
        <f>IF(Q2="","",VLOOKUP(Q2,'TARAS DE REFERENCIA'!$A$6:$B$151,2,FALSE))</f>
        <v/>
      </c>
      <c r="S2" s="63"/>
      <c r="T2" s="8" t="e">
        <f t="shared" ref="T2:T21" si="2">(S2-R2-E2)*(50000/20)/G2</f>
        <v>#VALUE!</v>
      </c>
      <c r="U2" s="5" t="str">
        <f>IF(A2="","",A2)</f>
        <v/>
      </c>
      <c r="V2" s="62"/>
      <c r="W2" s="12" t="str">
        <f>IF(V2="","",VLOOKUP(V2,'TARAS DE REFERENCIA'!$A$6:$B$151,2,FALSE))</f>
        <v/>
      </c>
      <c r="X2" s="63"/>
      <c r="Y2" s="8" t="e">
        <f t="shared" ref="Y2:Y21" si="3">(X2-W2)*100/G2</f>
        <v>#VALUE!</v>
      </c>
      <c r="Z2" s="62"/>
      <c r="AA2" s="12" t="str">
        <f>IF(Z2="","",VLOOKUP(Z2,'TARAS DE REFERENCIA'!$A$6:$B$151,2,FALSE))</f>
        <v/>
      </c>
      <c r="AB2" s="63"/>
      <c r="AC2" s="8" t="e">
        <f t="shared" ref="AC2:AC21" si="4">(AB2-AA2)*100/G2</f>
        <v>#VALUE!</v>
      </c>
      <c r="AD2" s="5" t="str">
        <f>IF(A2="","",A2)</f>
        <v/>
      </c>
      <c r="AE2" s="8" t="e">
        <f t="shared" ref="AE2:AE21" si="5">P2-K2</f>
        <v>#VALUE!</v>
      </c>
      <c r="AF2" s="8" t="e">
        <f t="shared" ref="AF2:AF21" si="6">T2-P2</f>
        <v>#VALUE!</v>
      </c>
      <c r="AG2" s="8" t="e">
        <f t="shared" ref="AG2:AG21" si="7">T2+Y2+AC2</f>
        <v>#VALUE!</v>
      </c>
      <c r="AZ2"/>
    </row>
    <row r="3" spans="1:52" x14ac:dyDescent="0.2">
      <c r="A3" s="58"/>
      <c r="B3" s="65"/>
      <c r="C3" s="66"/>
      <c r="D3" s="67"/>
      <c r="E3" s="71" t="e">
        <f t="shared" ref="E3:E21" si="8">AVERAGE($K$24:$K$26)</f>
        <v>#DIV/0!</v>
      </c>
      <c r="F3" s="66">
        <f t="shared" ref="F3:F21" si="9">D3/((1+(C3/100))*10)</f>
        <v>0</v>
      </c>
      <c r="G3" s="68">
        <f t="shared" ref="G3:G21" si="10">B3-(C3+F3)/5</f>
        <v>0</v>
      </c>
      <c r="H3" s="62"/>
      <c r="I3" s="12" t="str">
        <f>IF(H3="","",VLOOKUP(H3,'TARAS DE REFERENCIA'!$A$6:$B$151,2,FALSE))</f>
        <v/>
      </c>
      <c r="J3" s="63"/>
      <c r="K3" s="8" t="e">
        <f t="shared" si="0"/>
        <v>#VALUE!</v>
      </c>
      <c r="L3" s="5" t="str">
        <f t="shared" ref="L3:L21" si="11">IF(A3="","",A3)</f>
        <v/>
      </c>
      <c r="M3" s="62"/>
      <c r="N3" s="12" t="str">
        <f>IF(M3="","",VLOOKUP(M3,'TARAS DE REFERENCIA'!$A$6:$B$151,2,FALSE))</f>
        <v/>
      </c>
      <c r="O3" s="63"/>
      <c r="P3" s="8" t="e">
        <f t="shared" si="1"/>
        <v>#VALUE!</v>
      </c>
      <c r="Q3" s="62"/>
      <c r="R3" s="12" t="str">
        <f>IF(Q3="","",VLOOKUP(Q3,'TARAS DE REFERENCIA'!$A$6:$B$151,2,FALSE))</f>
        <v/>
      </c>
      <c r="S3" s="63"/>
      <c r="T3" s="8" t="e">
        <f t="shared" si="2"/>
        <v>#VALUE!</v>
      </c>
      <c r="U3" s="5" t="str">
        <f t="shared" ref="U3:U21" si="12">IF(A3="","",A3)</f>
        <v/>
      </c>
      <c r="V3" s="62"/>
      <c r="W3" s="12" t="str">
        <f>IF(V3="","",VLOOKUP(V3,'TARAS DE REFERENCIA'!$A$6:$B$151,2,FALSE))</f>
        <v/>
      </c>
      <c r="X3" s="63"/>
      <c r="Y3" s="8" t="e">
        <f t="shared" si="3"/>
        <v>#VALUE!</v>
      </c>
      <c r="Z3" s="62"/>
      <c r="AA3" s="12" t="str">
        <f>IF(Z3="","",VLOOKUP(Z3,'TARAS DE REFERENCIA'!$A$6:$B$151,2,FALSE))</f>
        <v/>
      </c>
      <c r="AB3" s="63"/>
      <c r="AC3" s="8" t="e">
        <f t="shared" si="4"/>
        <v>#VALUE!</v>
      </c>
      <c r="AD3" s="5" t="str">
        <f t="shared" ref="AD3:AD21" si="13">IF(A3="","",A3)</f>
        <v/>
      </c>
      <c r="AE3" s="8" t="e">
        <f t="shared" si="5"/>
        <v>#VALUE!</v>
      </c>
      <c r="AF3" s="8" t="e">
        <f t="shared" si="6"/>
        <v>#VALUE!</v>
      </c>
      <c r="AG3" s="8" t="e">
        <f t="shared" si="7"/>
        <v>#VALUE!</v>
      </c>
      <c r="AZ3" s="14" t="s">
        <v>7</v>
      </c>
    </row>
    <row r="4" spans="1:52" x14ac:dyDescent="0.2">
      <c r="A4" s="58"/>
      <c r="B4" s="65"/>
      <c r="C4" s="66"/>
      <c r="D4" s="67"/>
      <c r="E4" s="71" t="e">
        <f t="shared" si="8"/>
        <v>#DIV/0!</v>
      </c>
      <c r="F4" s="66">
        <f t="shared" si="9"/>
        <v>0</v>
      </c>
      <c r="G4" s="68">
        <f t="shared" si="10"/>
        <v>0</v>
      </c>
      <c r="H4" s="62"/>
      <c r="I4" s="12" t="str">
        <f>IF(H4="","",VLOOKUP(H4,'TARAS DE REFERENCIA'!$A$6:$B$151,2,FALSE))</f>
        <v/>
      </c>
      <c r="J4" s="63"/>
      <c r="K4" s="8" t="e">
        <f t="shared" si="0"/>
        <v>#VALUE!</v>
      </c>
      <c r="L4" s="5" t="str">
        <f t="shared" si="11"/>
        <v/>
      </c>
      <c r="M4" s="62"/>
      <c r="N4" s="12" t="str">
        <f>IF(M4="","",VLOOKUP(M4,'TARAS DE REFERENCIA'!$A$6:$B$151,2,FALSE))</f>
        <v/>
      </c>
      <c r="O4" s="63"/>
      <c r="P4" s="8" t="e">
        <f t="shared" si="1"/>
        <v>#VALUE!</v>
      </c>
      <c r="Q4" s="62"/>
      <c r="R4" s="12" t="str">
        <f>IF(Q4="","",VLOOKUP(Q4,'TARAS DE REFERENCIA'!$A$6:$B$151,2,FALSE))</f>
        <v/>
      </c>
      <c r="S4" s="63"/>
      <c r="T4" s="8" t="e">
        <f t="shared" si="2"/>
        <v>#VALUE!</v>
      </c>
      <c r="U4" s="5" t="str">
        <f t="shared" si="12"/>
        <v/>
      </c>
      <c r="V4" s="62"/>
      <c r="W4" s="12" t="str">
        <f>IF(V4="","",VLOOKUP(V4,'TARAS DE REFERENCIA'!$A$6:$B$151,2,FALSE))</f>
        <v/>
      </c>
      <c r="X4" s="63"/>
      <c r="Y4" s="8" t="e">
        <f t="shared" si="3"/>
        <v>#VALUE!</v>
      </c>
      <c r="Z4" s="62"/>
      <c r="AA4" s="12" t="str">
        <f>IF(Z4="","",VLOOKUP(Z4,'TARAS DE REFERENCIA'!$A$6:$B$151,2,FALSE))</f>
        <v/>
      </c>
      <c r="AB4" s="63"/>
      <c r="AC4" s="8" t="e">
        <f t="shared" si="4"/>
        <v>#VALUE!</v>
      </c>
      <c r="AD4" s="5" t="str">
        <f t="shared" si="13"/>
        <v/>
      </c>
      <c r="AE4" s="8" t="e">
        <f t="shared" si="5"/>
        <v>#VALUE!</v>
      </c>
      <c r="AF4" s="8" t="e">
        <f t="shared" si="6"/>
        <v>#VALUE!</v>
      </c>
      <c r="AG4" s="8" t="e">
        <f t="shared" si="7"/>
        <v>#VALUE!</v>
      </c>
    </row>
    <row r="5" spans="1:52" x14ac:dyDescent="0.2">
      <c r="A5" s="58"/>
      <c r="B5" s="65"/>
      <c r="C5" s="66"/>
      <c r="D5" s="67"/>
      <c r="E5" s="71" t="e">
        <f t="shared" si="8"/>
        <v>#DIV/0!</v>
      </c>
      <c r="F5" s="66">
        <f t="shared" si="9"/>
        <v>0</v>
      </c>
      <c r="G5" s="68">
        <f t="shared" si="10"/>
        <v>0</v>
      </c>
      <c r="H5" s="62"/>
      <c r="I5" s="12" t="str">
        <f>IF(H5="","",VLOOKUP(H5,'TARAS DE REFERENCIA'!$A$6:$B$151,2,FALSE))</f>
        <v/>
      </c>
      <c r="J5" s="63"/>
      <c r="K5" s="8" t="e">
        <f t="shared" si="0"/>
        <v>#VALUE!</v>
      </c>
      <c r="L5" s="5" t="str">
        <f t="shared" si="11"/>
        <v/>
      </c>
      <c r="M5" s="62"/>
      <c r="N5" s="12" t="str">
        <f>IF(M5="","",VLOOKUP(M5,'TARAS DE REFERENCIA'!$A$6:$B$151,2,FALSE))</f>
        <v/>
      </c>
      <c r="O5" s="63"/>
      <c r="P5" s="8" t="e">
        <f t="shared" si="1"/>
        <v>#VALUE!</v>
      </c>
      <c r="Q5" s="62"/>
      <c r="R5" s="12" t="str">
        <f>IF(Q5="","",VLOOKUP(Q5,'TARAS DE REFERENCIA'!$A$6:$B$151,2,FALSE))</f>
        <v/>
      </c>
      <c r="S5" s="63"/>
      <c r="T5" s="8" t="e">
        <f t="shared" si="2"/>
        <v>#VALUE!</v>
      </c>
      <c r="U5" s="5" t="str">
        <f t="shared" si="12"/>
        <v/>
      </c>
      <c r="V5" s="62"/>
      <c r="W5" s="12" t="str">
        <f>IF(V5="","",VLOOKUP(V5,'TARAS DE REFERENCIA'!$A$6:$B$151,2,FALSE))</f>
        <v/>
      </c>
      <c r="X5" s="63"/>
      <c r="Y5" s="8" t="e">
        <f t="shared" si="3"/>
        <v>#VALUE!</v>
      </c>
      <c r="Z5" s="62"/>
      <c r="AA5" s="12" t="str">
        <f>IF(Z5="","",VLOOKUP(Z5,'TARAS DE REFERENCIA'!$A$6:$B$151,2,FALSE))</f>
        <v/>
      </c>
      <c r="AB5" s="63"/>
      <c r="AC5" s="8" t="e">
        <f t="shared" si="4"/>
        <v>#VALUE!</v>
      </c>
      <c r="AD5" s="5" t="str">
        <f t="shared" si="13"/>
        <v/>
      </c>
      <c r="AE5" s="8" t="e">
        <f t="shared" si="5"/>
        <v>#VALUE!</v>
      </c>
      <c r="AF5" s="8" t="e">
        <f t="shared" si="6"/>
        <v>#VALUE!</v>
      </c>
      <c r="AG5" s="8" t="e">
        <f t="shared" si="7"/>
        <v>#VALUE!</v>
      </c>
    </row>
    <row r="6" spans="1:52" x14ac:dyDescent="0.2">
      <c r="A6" s="58"/>
      <c r="B6" s="65"/>
      <c r="C6" s="66"/>
      <c r="D6" s="67"/>
      <c r="E6" s="71" t="e">
        <f t="shared" si="8"/>
        <v>#DIV/0!</v>
      </c>
      <c r="F6" s="66">
        <f t="shared" si="9"/>
        <v>0</v>
      </c>
      <c r="G6" s="68">
        <f t="shared" si="10"/>
        <v>0</v>
      </c>
      <c r="H6" s="62"/>
      <c r="I6" s="12" t="str">
        <f>IF(H6="","",VLOOKUP(H6,'TARAS DE REFERENCIA'!$A$6:$B$151,2,FALSE))</f>
        <v/>
      </c>
      <c r="J6" s="63"/>
      <c r="K6" s="8" t="e">
        <f t="shared" si="0"/>
        <v>#VALUE!</v>
      </c>
      <c r="L6" s="5" t="str">
        <f t="shared" si="11"/>
        <v/>
      </c>
      <c r="M6" s="62"/>
      <c r="N6" s="12" t="str">
        <f>IF(M6="","",VLOOKUP(M6,'TARAS DE REFERENCIA'!$A$6:$B$151,2,FALSE))</f>
        <v/>
      </c>
      <c r="O6" s="63"/>
      <c r="P6" s="8" t="e">
        <f t="shared" si="1"/>
        <v>#VALUE!</v>
      </c>
      <c r="Q6" s="62"/>
      <c r="R6" s="12" t="str">
        <f>IF(Q6="","",VLOOKUP(Q6,'TARAS DE REFERENCIA'!$A$6:$B$151,2,FALSE))</f>
        <v/>
      </c>
      <c r="S6" s="63"/>
      <c r="T6" s="8" t="e">
        <f t="shared" si="2"/>
        <v>#VALUE!</v>
      </c>
      <c r="U6" s="5" t="str">
        <f t="shared" si="12"/>
        <v/>
      </c>
      <c r="V6" s="62"/>
      <c r="W6" s="12" t="str">
        <f>IF(V6="","",VLOOKUP(V6,'TARAS DE REFERENCIA'!$A$6:$B$151,2,FALSE))</f>
        <v/>
      </c>
      <c r="X6" s="63"/>
      <c r="Y6" s="8" t="e">
        <f t="shared" si="3"/>
        <v>#VALUE!</v>
      </c>
      <c r="Z6" s="62"/>
      <c r="AA6" s="12" t="str">
        <f>IF(Z6="","",VLOOKUP(Z6,'TARAS DE REFERENCIA'!$A$6:$B$151,2,FALSE))</f>
        <v/>
      </c>
      <c r="AB6" s="63"/>
      <c r="AC6" s="8" t="e">
        <f t="shared" si="4"/>
        <v>#VALUE!</v>
      </c>
      <c r="AD6" s="5" t="str">
        <f t="shared" si="13"/>
        <v/>
      </c>
      <c r="AE6" s="8" t="e">
        <f t="shared" si="5"/>
        <v>#VALUE!</v>
      </c>
      <c r="AF6" s="8" t="e">
        <f t="shared" si="6"/>
        <v>#VALUE!</v>
      </c>
      <c r="AG6" s="8" t="e">
        <f t="shared" si="7"/>
        <v>#VALUE!</v>
      </c>
    </row>
    <row r="7" spans="1:52" x14ac:dyDescent="0.2">
      <c r="A7" s="58"/>
      <c r="B7" s="65"/>
      <c r="C7" s="66"/>
      <c r="D7" s="67"/>
      <c r="E7" s="71" t="e">
        <f t="shared" si="8"/>
        <v>#DIV/0!</v>
      </c>
      <c r="F7" s="66">
        <f t="shared" si="9"/>
        <v>0</v>
      </c>
      <c r="G7" s="68">
        <f t="shared" si="10"/>
        <v>0</v>
      </c>
      <c r="H7" s="62"/>
      <c r="I7" s="12" t="str">
        <f>IF(H7="","",VLOOKUP(H7,'TARAS DE REFERENCIA'!$A$6:$B$151,2,FALSE))</f>
        <v/>
      </c>
      <c r="J7" s="63"/>
      <c r="K7" s="8" t="e">
        <f t="shared" si="0"/>
        <v>#VALUE!</v>
      </c>
      <c r="L7" s="5" t="str">
        <f t="shared" si="11"/>
        <v/>
      </c>
      <c r="M7" s="62"/>
      <c r="N7" s="12" t="str">
        <f>IF(M7="","",VLOOKUP(M7,'TARAS DE REFERENCIA'!$A$6:$B$151,2,FALSE))</f>
        <v/>
      </c>
      <c r="O7" s="63"/>
      <c r="P7" s="8" t="e">
        <f t="shared" si="1"/>
        <v>#VALUE!</v>
      </c>
      <c r="Q7" s="62"/>
      <c r="R7" s="12" t="str">
        <f>IF(Q7="","",VLOOKUP(Q7,'TARAS DE REFERENCIA'!$A$6:$B$151,2,FALSE))</f>
        <v/>
      </c>
      <c r="S7" s="63"/>
      <c r="T7" s="8" t="e">
        <f t="shared" si="2"/>
        <v>#VALUE!</v>
      </c>
      <c r="U7" s="5" t="str">
        <f t="shared" si="12"/>
        <v/>
      </c>
      <c r="V7" s="62"/>
      <c r="W7" s="12" t="str">
        <f>IF(V7="","",VLOOKUP(V7,'TARAS DE REFERENCIA'!$A$6:$B$151,2,FALSE))</f>
        <v/>
      </c>
      <c r="X7" s="63"/>
      <c r="Y7" s="8" t="e">
        <f t="shared" si="3"/>
        <v>#VALUE!</v>
      </c>
      <c r="Z7" s="62"/>
      <c r="AA7" s="12" t="str">
        <f>IF(Z7="","",VLOOKUP(Z7,'TARAS DE REFERENCIA'!$A$6:$B$151,2,FALSE))</f>
        <v/>
      </c>
      <c r="AB7" s="63"/>
      <c r="AC7" s="8" t="e">
        <f t="shared" si="4"/>
        <v>#VALUE!</v>
      </c>
      <c r="AD7" s="5" t="str">
        <f t="shared" si="13"/>
        <v/>
      </c>
      <c r="AE7" s="8" t="e">
        <f t="shared" si="5"/>
        <v>#VALUE!</v>
      </c>
      <c r="AF7" s="8" t="e">
        <f t="shared" si="6"/>
        <v>#VALUE!</v>
      </c>
      <c r="AG7" s="8" t="e">
        <f t="shared" si="7"/>
        <v>#VALUE!</v>
      </c>
    </row>
    <row r="8" spans="1:52" x14ac:dyDescent="0.2">
      <c r="A8" s="58"/>
      <c r="B8" s="65"/>
      <c r="C8" s="66"/>
      <c r="D8" s="67"/>
      <c r="E8" s="71" t="e">
        <f t="shared" si="8"/>
        <v>#DIV/0!</v>
      </c>
      <c r="F8" s="66">
        <f t="shared" si="9"/>
        <v>0</v>
      </c>
      <c r="G8" s="68">
        <f t="shared" si="10"/>
        <v>0</v>
      </c>
      <c r="H8" s="62"/>
      <c r="I8" s="12" t="str">
        <f>IF(H8="","",VLOOKUP(H8,'TARAS DE REFERENCIA'!$A$6:$B$151,2,FALSE))</f>
        <v/>
      </c>
      <c r="J8" s="63"/>
      <c r="K8" s="8" t="e">
        <f t="shared" si="0"/>
        <v>#VALUE!</v>
      </c>
      <c r="L8" s="5" t="str">
        <f t="shared" si="11"/>
        <v/>
      </c>
      <c r="M8" s="62"/>
      <c r="N8" s="12" t="str">
        <f>IF(M8="","",VLOOKUP(M8,'TARAS DE REFERENCIA'!$A$6:$B$151,2,FALSE))</f>
        <v/>
      </c>
      <c r="O8" s="63"/>
      <c r="P8" s="8" t="e">
        <f t="shared" si="1"/>
        <v>#VALUE!</v>
      </c>
      <c r="Q8" s="62"/>
      <c r="R8" s="12" t="str">
        <f>IF(Q8="","",VLOOKUP(Q8,'TARAS DE REFERENCIA'!$A$6:$B$151,2,FALSE))</f>
        <v/>
      </c>
      <c r="S8" s="63"/>
      <c r="T8" s="8" t="e">
        <f t="shared" si="2"/>
        <v>#VALUE!</v>
      </c>
      <c r="U8" s="5" t="str">
        <f t="shared" si="12"/>
        <v/>
      </c>
      <c r="V8" s="62"/>
      <c r="W8" s="12" t="str">
        <f>IF(V8="","",VLOOKUP(V8,'TARAS DE REFERENCIA'!$A$6:$B$151,2,FALSE))</f>
        <v/>
      </c>
      <c r="X8" s="63"/>
      <c r="Y8" s="8" t="e">
        <f t="shared" si="3"/>
        <v>#VALUE!</v>
      </c>
      <c r="Z8" s="62"/>
      <c r="AA8" s="12" t="str">
        <f>IF(Z8="","",VLOOKUP(Z8,'TARAS DE REFERENCIA'!$A$6:$B$151,2,FALSE))</f>
        <v/>
      </c>
      <c r="AB8" s="63"/>
      <c r="AC8" s="8" t="e">
        <f t="shared" si="4"/>
        <v>#VALUE!</v>
      </c>
      <c r="AD8" s="5" t="str">
        <f t="shared" si="13"/>
        <v/>
      </c>
      <c r="AE8" s="8" t="e">
        <f t="shared" si="5"/>
        <v>#VALUE!</v>
      </c>
      <c r="AF8" s="8" t="e">
        <f t="shared" si="6"/>
        <v>#VALUE!</v>
      </c>
      <c r="AG8" s="8" t="e">
        <f t="shared" si="7"/>
        <v>#VALUE!</v>
      </c>
    </row>
    <row r="9" spans="1:52" x14ac:dyDescent="0.2">
      <c r="A9" s="58"/>
      <c r="B9" s="65"/>
      <c r="C9" s="66"/>
      <c r="D9" s="67"/>
      <c r="E9" s="71" t="e">
        <f t="shared" si="8"/>
        <v>#DIV/0!</v>
      </c>
      <c r="F9" s="66">
        <f t="shared" si="9"/>
        <v>0</v>
      </c>
      <c r="G9" s="68">
        <f t="shared" si="10"/>
        <v>0</v>
      </c>
      <c r="H9" s="62"/>
      <c r="I9" s="12" t="str">
        <f>IF(H9="","",VLOOKUP(H9,'TARAS DE REFERENCIA'!$A$6:$B$151,2,FALSE))</f>
        <v/>
      </c>
      <c r="J9" s="63"/>
      <c r="K9" s="8" t="e">
        <f t="shared" si="0"/>
        <v>#VALUE!</v>
      </c>
      <c r="L9" s="5" t="str">
        <f t="shared" si="11"/>
        <v/>
      </c>
      <c r="M9" s="62"/>
      <c r="N9" s="12" t="str">
        <f>IF(M9="","",VLOOKUP(M9,'TARAS DE REFERENCIA'!$A$6:$B$151,2,FALSE))</f>
        <v/>
      </c>
      <c r="O9" s="63"/>
      <c r="P9" s="8" t="e">
        <f t="shared" si="1"/>
        <v>#VALUE!</v>
      </c>
      <c r="Q9" s="62"/>
      <c r="R9" s="12" t="str">
        <f>IF(Q9="","",VLOOKUP(Q9,'TARAS DE REFERENCIA'!$A$6:$B$151,2,FALSE))</f>
        <v/>
      </c>
      <c r="S9" s="63"/>
      <c r="T9" s="8" t="e">
        <f t="shared" si="2"/>
        <v>#VALUE!</v>
      </c>
      <c r="U9" s="5" t="str">
        <f t="shared" si="12"/>
        <v/>
      </c>
      <c r="V9" s="62"/>
      <c r="W9" s="12" t="str">
        <f>IF(V9="","",VLOOKUP(V9,'TARAS DE REFERENCIA'!$A$6:$B$151,2,FALSE))</f>
        <v/>
      </c>
      <c r="X9" s="63"/>
      <c r="Y9" s="8" t="e">
        <f t="shared" si="3"/>
        <v>#VALUE!</v>
      </c>
      <c r="Z9" s="62"/>
      <c r="AA9" s="12" t="str">
        <f>IF(Z9="","",VLOOKUP(Z9,'TARAS DE REFERENCIA'!$A$6:$B$151,2,FALSE))</f>
        <v/>
      </c>
      <c r="AB9" s="63"/>
      <c r="AC9" s="8" t="e">
        <f t="shared" si="4"/>
        <v>#VALUE!</v>
      </c>
      <c r="AD9" s="5" t="str">
        <f t="shared" si="13"/>
        <v/>
      </c>
      <c r="AE9" s="8" t="e">
        <f t="shared" si="5"/>
        <v>#VALUE!</v>
      </c>
      <c r="AF9" s="8" t="e">
        <f t="shared" si="6"/>
        <v>#VALUE!</v>
      </c>
      <c r="AG9" s="8" t="e">
        <f t="shared" si="7"/>
        <v>#VALUE!</v>
      </c>
    </row>
    <row r="10" spans="1:52" x14ac:dyDescent="0.2">
      <c r="A10" s="58"/>
      <c r="B10" s="65"/>
      <c r="C10" s="66"/>
      <c r="D10" s="67"/>
      <c r="E10" s="71" t="e">
        <f t="shared" si="8"/>
        <v>#DIV/0!</v>
      </c>
      <c r="F10" s="66">
        <f t="shared" si="9"/>
        <v>0</v>
      </c>
      <c r="G10" s="68">
        <f t="shared" si="10"/>
        <v>0</v>
      </c>
      <c r="H10" s="62"/>
      <c r="I10" s="12" t="str">
        <f>IF(H10="","",VLOOKUP(H10,'TARAS DE REFERENCIA'!$A$6:$B$151,2,FALSE))</f>
        <v/>
      </c>
      <c r="J10" s="63"/>
      <c r="K10" s="8" t="e">
        <f t="shared" si="0"/>
        <v>#VALUE!</v>
      </c>
      <c r="L10" s="5" t="str">
        <f t="shared" si="11"/>
        <v/>
      </c>
      <c r="M10" s="62"/>
      <c r="N10" s="12" t="str">
        <f>IF(M10="","",VLOOKUP(M10,'TARAS DE REFERENCIA'!$A$6:$B$151,2,FALSE))</f>
        <v/>
      </c>
      <c r="O10" s="63"/>
      <c r="P10" s="8" t="e">
        <f t="shared" si="1"/>
        <v>#VALUE!</v>
      </c>
      <c r="Q10" s="62"/>
      <c r="R10" s="12" t="str">
        <f>IF(Q10="","",VLOOKUP(Q10,'TARAS DE REFERENCIA'!$A$6:$B$151,2,FALSE))</f>
        <v/>
      </c>
      <c r="S10" s="63"/>
      <c r="T10" s="8" t="e">
        <f t="shared" si="2"/>
        <v>#VALUE!</v>
      </c>
      <c r="U10" s="5" t="str">
        <f t="shared" si="12"/>
        <v/>
      </c>
      <c r="V10" s="62"/>
      <c r="W10" s="12" t="str">
        <f>IF(V10="","",VLOOKUP(V10,'TARAS DE REFERENCIA'!$A$6:$B$151,2,FALSE))</f>
        <v/>
      </c>
      <c r="X10" s="63"/>
      <c r="Y10" s="8" t="e">
        <f t="shared" si="3"/>
        <v>#VALUE!</v>
      </c>
      <c r="Z10" s="62"/>
      <c r="AA10" s="12" t="str">
        <f>IF(Z10="","",VLOOKUP(Z10,'TARAS DE REFERENCIA'!$A$6:$B$151,2,FALSE))</f>
        <v/>
      </c>
      <c r="AB10" s="63"/>
      <c r="AC10" s="8" t="e">
        <f t="shared" si="4"/>
        <v>#VALUE!</v>
      </c>
      <c r="AD10" s="5" t="str">
        <f t="shared" si="13"/>
        <v/>
      </c>
      <c r="AE10" s="8" t="e">
        <f t="shared" si="5"/>
        <v>#VALUE!</v>
      </c>
      <c r="AF10" s="8" t="e">
        <f t="shared" si="6"/>
        <v>#VALUE!</v>
      </c>
      <c r="AG10" s="8" t="e">
        <f t="shared" si="7"/>
        <v>#VALUE!</v>
      </c>
    </row>
    <row r="11" spans="1:52" x14ac:dyDescent="0.2">
      <c r="A11" s="58"/>
      <c r="B11" s="65"/>
      <c r="C11" s="66"/>
      <c r="D11" s="67"/>
      <c r="E11" s="71" t="e">
        <f t="shared" si="8"/>
        <v>#DIV/0!</v>
      </c>
      <c r="F11" s="66">
        <f t="shared" si="9"/>
        <v>0</v>
      </c>
      <c r="G11" s="68">
        <f t="shared" si="10"/>
        <v>0</v>
      </c>
      <c r="H11" s="62"/>
      <c r="I11" s="12" t="str">
        <f>IF(H11="","",VLOOKUP(H11,'TARAS DE REFERENCIA'!$A$6:$B$151,2,FALSE))</f>
        <v/>
      </c>
      <c r="J11" s="63"/>
      <c r="K11" s="8" t="e">
        <f t="shared" si="0"/>
        <v>#VALUE!</v>
      </c>
      <c r="L11" s="5" t="str">
        <f t="shared" si="11"/>
        <v/>
      </c>
      <c r="M11" s="62"/>
      <c r="N11" s="12" t="str">
        <f>IF(M11="","",VLOOKUP(M11,'TARAS DE REFERENCIA'!$A$6:$B$151,2,FALSE))</f>
        <v/>
      </c>
      <c r="O11" s="63"/>
      <c r="P11" s="8" t="e">
        <f t="shared" si="1"/>
        <v>#VALUE!</v>
      </c>
      <c r="Q11" s="62"/>
      <c r="R11" s="12" t="str">
        <f>IF(Q11="","",VLOOKUP(Q11,'TARAS DE REFERENCIA'!$A$6:$B$151,2,FALSE))</f>
        <v/>
      </c>
      <c r="S11" s="63"/>
      <c r="T11" s="8" t="e">
        <f t="shared" si="2"/>
        <v>#VALUE!</v>
      </c>
      <c r="U11" s="5" t="str">
        <f t="shared" si="12"/>
        <v/>
      </c>
      <c r="V11" s="62"/>
      <c r="W11" s="12" t="str">
        <f>IF(V11="","",VLOOKUP(V11,'TARAS DE REFERENCIA'!$A$6:$B$151,2,FALSE))</f>
        <v/>
      </c>
      <c r="X11" s="63"/>
      <c r="Y11" s="8" t="e">
        <f t="shared" si="3"/>
        <v>#VALUE!</v>
      </c>
      <c r="Z11" s="62"/>
      <c r="AA11" s="12" t="str">
        <f>IF(Z11="","",VLOOKUP(Z11,'TARAS DE REFERENCIA'!$A$6:$B$151,2,FALSE))</f>
        <v/>
      </c>
      <c r="AB11" s="63"/>
      <c r="AC11" s="8" t="e">
        <f t="shared" si="4"/>
        <v>#VALUE!</v>
      </c>
      <c r="AD11" s="5" t="str">
        <f t="shared" si="13"/>
        <v/>
      </c>
      <c r="AE11" s="8" t="e">
        <f t="shared" si="5"/>
        <v>#VALUE!</v>
      </c>
      <c r="AF11" s="8" t="e">
        <f t="shared" si="6"/>
        <v>#VALUE!</v>
      </c>
      <c r="AG11" s="8" t="e">
        <f t="shared" si="7"/>
        <v>#VALUE!</v>
      </c>
    </row>
    <row r="12" spans="1:52" x14ac:dyDescent="0.2">
      <c r="A12" s="58"/>
      <c r="B12" s="65"/>
      <c r="C12" s="66"/>
      <c r="D12" s="67"/>
      <c r="E12" s="71" t="e">
        <f t="shared" si="8"/>
        <v>#DIV/0!</v>
      </c>
      <c r="F12" s="66">
        <f t="shared" si="9"/>
        <v>0</v>
      </c>
      <c r="G12" s="68">
        <f t="shared" si="10"/>
        <v>0</v>
      </c>
      <c r="H12" s="62"/>
      <c r="I12" s="12" t="str">
        <f>IF(H12="","",VLOOKUP(H12,'TARAS DE REFERENCIA'!$A$6:$B$151,2,FALSE))</f>
        <v/>
      </c>
      <c r="J12" s="63"/>
      <c r="K12" s="8" t="e">
        <f t="shared" si="0"/>
        <v>#VALUE!</v>
      </c>
      <c r="L12" s="5" t="str">
        <f t="shared" si="11"/>
        <v/>
      </c>
      <c r="M12" s="62"/>
      <c r="N12" s="12" t="str">
        <f>IF(M12="","",VLOOKUP(M12,'TARAS DE REFERENCIA'!$A$6:$B$151,2,FALSE))</f>
        <v/>
      </c>
      <c r="O12" s="63"/>
      <c r="P12" s="8" t="e">
        <f t="shared" si="1"/>
        <v>#VALUE!</v>
      </c>
      <c r="Q12" s="62"/>
      <c r="R12" s="12" t="str">
        <f>IF(Q12="","",VLOOKUP(Q12,'TARAS DE REFERENCIA'!$A$6:$B$151,2,FALSE))</f>
        <v/>
      </c>
      <c r="S12" s="63"/>
      <c r="T12" s="8" t="e">
        <f t="shared" si="2"/>
        <v>#VALUE!</v>
      </c>
      <c r="U12" s="5" t="str">
        <f t="shared" si="12"/>
        <v/>
      </c>
      <c r="V12" s="62"/>
      <c r="W12" s="12" t="str">
        <f>IF(V12="","",VLOOKUP(V12,'TARAS DE REFERENCIA'!$A$6:$B$151,2,FALSE))</f>
        <v/>
      </c>
      <c r="X12" s="63"/>
      <c r="Y12" s="8" t="e">
        <f t="shared" si="3"/>
        <v>#VALUE!</v>
      </c>
      <c r="Z12" s="62"/>
      <c r="AA12" s="12" t="str">
        <f>IF(Z12="","",VLOOKUP(Z12,'TARAS DE REFERENCIA'!$A$6:$B$151,2,FALSE))</f>
        <v/>
      </c>
      <c r="AB12" s="63"/>
      <c r="AC12" s="8" t="e">
        <f t="shared" si="4"/>
        <v>#VALUE!</v>
      </c>
      <c r="AD12" s="5" t="str">
        <f t="shared" si="13"/>
        <v/>
      </c>
      <c r="AE12" s="8" t="e">
        <f t="shared" si="5"/>
        <v>#VALUE!</v>
      </c>
      <c r="AF12" s="8" t="e">
        <f t="shared" si="6"/>
        <v>#VALUE!</v>
      </c>
      <c r="AG12" s="8" t="e">
        <f t="shared" si="7"/>
        <v>#VALUE!</v>
      </c>
    </row>
    <row r="13" spans="1:52" x14ac:dyDescent="0.2">
      <c r="A13" s="58"/>
      <c r="B13" s="65"/>
      <c r="C13" s="66"/>
      <c r="D13" s="67"/>
      <c r="E13" s="71" t="e">
        <f t="shared" si="8"/>
        <v>#DIV/0!</v>
      </c>
      <c r="F13" s="66">
        <f t="shared" si="9"/>
        <v>0</v>
      </c>
      <c r="G13" s="68">
        <f t="shared" si="10"/>
        <v>0</v>
      </c>
      <c r="H13" s="62"/>
      <c r="I13" s="12" t="str">
        <f>IF(H13="","",VLOOKUP(H13,'TARAS DE REFERENCIA'!$A$6:$B$151,2,FALSE))</f>
        <v/>
      </c>
      <c r="J13" s="63"/>
      <c r="K13" s="8" t="e">
        <f t="shared" si="0"/>
        <v>#VALUE!</v>
      </c>
      <c r="L13" s="5" t="str">
        <f t="shared" si="11"/>
        <v/>
      </c>
      <c r="M13" s="62"/>
      <c r="N13" s="12" t="str">
        <f>IF(M13="","",VLOOKUP(M13,'TARAS DE REFERENCIA'!$A$6:$B$151,2,FALSE))</f>
        <v/>
      </c>
      <c r="O13" s="63"/>
      <c r="P13" s="8" t="e">
        <f t="shared" si="1"/>
        <v>#VALUE!</v>
      </c>
      <c r="Q13" s="62"/>
      <c r="R13" s="12" t="str">
        <f>IF(Q13="","",VLOOKUP(Q13,'TARAS DE REFERENCIA'!$A$6:$B$151,2,FALSE))</f>
        <v/>
      </c>
      <c r="S13" s="63"/>
      <c r="T13" s="8" t="e">
        <f t="shared" si="2"/>
        <v>#VALUE!</v>
      </c>
      <c r="U13" s="5" t="str">
        <f t="shared" si="12"/>
        <v/>
      </c>
      <c r="V13" s="62"/>
      <c r="W13" s="12" t="str">
        <f>IF(V13="","",VLOOKUP(V13,'TARAS DE REFERENCIA'!$A$6:$B$151,2,FALSE))</f>
        <v/>
      </c>
      <c r="X13" s="63"/>
      <c r="Y13" s="8" t="e">
        <f t="shared" si="3"/>
        <v>#VALUE!</v>
      </c>
      <c r="Z13" s="62"/>
      <c r="AA13" s="12" t="str">
        <f>IF(Z13="","",VLOOKUP(Z13,'TARAS DE REFERENCIA'!$A$6:$B$151,2,FALSE))</f>
        <v/>
      </c>
      <c r="AB13" s="63"/>
      <c r="AC13" s="8" t="e">
        <f t="shared" si="4"/>
        <v>#VALUE!</v>
      </c>
      <c r="AD13" s="5" t="str">
        <f t="shared" si="13"/>
        <v/>
      </c>
      <c r="AE13" s="8" t="e">
        <f t="shared" si="5"/>
        <v>#VALUE!</v>
      </c>
      <c r="AF13" s="8" t="e">
        <f t="shared" si="6"/>
        <v>#VALUE!</v>
      </c>
      <c r="AG13" s="8" t="e">
        <f t="shared" si="7"/>
        <v>#VALUE!</v>
      </c>
    </row>
    <row r="14" spans="1:52" x14ac:dyDescent="0.2">
      <c r="A14" s="58"/>
      <c r="B14" s="65"/>
      <c r="C14" s="66"/>
      <c r="D14" s="67"/>
      <c r="E14" s="71" t="e">
        <f t="shared" si="8"/>
        <v>#DIV/0!</v>
      </c>
      <c r="F14" s="66">
        <f t="shared" si="9"/>
        <v>0</v>
      </c>
      <c r="G14" s="68">
        <f t="shared" si="10"/>
        <v>0</v>
      </c>
      <c r="H14" s="62"/>
      <c r="I14" s="12" t="str">
        <f>IF(H14="","",VLOOKUP(H14,'TARAS DE REFERENCIA'!$A$6:$B$151,2,FALSE))</f>
        <v/>
      </c>
      <c r="J14" s="63"/>
      <c r="K14" s="8" t="e">
        <f t="shared" si="0"/>
        <v>#VALUE!</v>
      </c>
      <c r="L14" s="5" t="str">
        <f t="shared" si="11"/>
        <v/>
      </c>
      <c r="M14" s="62"/>
      <c r="N14" s="12" t="str">
        <f>IF(M14="","",VLOOKUP(M14,'TARAS DE REFERENCIA'!$A$6:$B$151,2,FALSE))</f>
        <v/>
      </c>
      <c r="O14" s="63"/>
      <c r="P14" s="8" t="e">
        <f t="shared" si="1"/>
        <v>#VALUE!</v>
      </c>
      <c r="Q14" s="62"/>
      <c r="R14" s="12" t="str">
        <f>IF(Q14="","",VLOOKUP(Q14,'TARAS DE REFERENCIA'!$A$6:$B$151,2,FALSE))</f>
        <v/>
      </c>
      <c r="S14" s="63"/>
      <c r="T14" s="8" t="e">
        <f t="shared" si="2"/>
        <v>#VALUE!</v>
      </c>
      <c r="U14" s="5" t="str">
        <f t="shared" si="12"/>
        <v/>
      </c>
      <c r="V14" s="62"/>
      <c r="W14" s="12" t="str">
        <f>IF(V14="","",VLOOKUP(V14,'TARAS DE REFERENCIA'!$A$6:$B$151,2,FALSE))</f>
        <v/>
      </c>
      <c r="X14" s="63"/>
      <c r="Y14" s="8" t="e">
        <f t="shared" si="3"/>
        <v>#VALUE!</v>
      </c>
      <c r="Z14" s="62"/>
      <c r="AA14" s="12" t="str">
        <f>IF(Z14="","",VLOOKUP(Z14,'TARAS DE REFERENCIA'!$A$6:$B$151,2,FALSE))</f>
        <v/>
      </c>
      <c r="AB14" s="63"/>
      <c r="AC14" s="8" t="e">
        <f t="shared" si="4"/>
        <v>#VALUE!</v>
      </c>
      <c r="AD14" s="5" t="str">
        <f t="shared" si="13"/>
        <v/>
      </c>
      <c r="AE14" s="8" t="e">
        <f t="shared" si="5"/>
        <v>#VALUE!</v>
      </c>
      <c r="AF14" s="8" t="e">
        <f t="shared" si="6"/>
        <v>#VALUE!</v>
      </c>
      <c r="AG14" s="8" t="e">
        <f t="shared" si="7"/>
        <v>#VALUE!</v>
      </c>
    </row>
    <row r="15" spans="1:52" x14ac:dyDescent="0.2">
      <c r="A15" s="58"/>
      <c r="B15" s="65"/>
      <c r="C15" s="66"/>
      <c r="D15" s="67"/>
      <c r="E15" s="71" t="e">
        <f t="shared" si="8"/>
        <v>#DIV/0!</v>
      </c>
      <c r="F15" s="66">
        <f t="shared" si="9"/>
        <v>0</v>
      </c>
      <c r="G15" s="68">
        <f t="shared" si="10"/>
        <v>0</v>
      </c>
      <c r="H15" s="62"/>
      <c r="I15" s="12" t="str">
        <f>IF(H15="","",VLOOKUP(H15,'TARAS DE REFERENCIA'!$A$6:$B$151,2,FALSE))</f>
        <v/>
      </c>
      <c r="J15" s="63"/>
      <c r="K15" s="8" t="e">
        <f t="shared" si="0"/>
        <v>#VALUE!</v>
      </c>
      <c r="L15" s="5" t="str">
        <f t="shared" si="11"/>
        <v/>
      </c>
      <c r="M15" s="62"/>
      <c r="N15" s="12" t="str">
        <f>IF(M15="","",VLOOKUP(M15,'TARAS DE REFERENCIA'!$A$6:$B$151,2,FALSE))</f>
        <v/>
      </c>
      <c r="O15" s="63"/>
      <c r="P15" s="8" t="e">
        <f t="shared" si="1"/>
        <v>#VALUE!</v>
      </c>
      <c r="Q15" s="62"/>
      <c r="R15" s="12" t="str">
        <f>IF(Q15="","",VLOOKUP(Q15,'TARAS DE REFERENCIA'!$A$6:$B$151,2,FALSE))</f>
        <v/>
      </c>
      <c r="S15" s="63"/>
      <c r="T15" s="8" t="e">
        <f t="shared" si="2"/>
        <v>#VALUE!</v>
      </c>
      <c r="U15" s="5" t="str">
        <f t="shared" si="12"/>
        <v/>
      </c>
      <c r="V15" s="62"/>
      <c r="W15" s="12" t="str">
        <f>IF(V15="","",VLOOKUP(V15,'TARAS DE REFERENCIA'!$A$6:$B$151,2,FALSE))</f>
        <v/>
      </c>
      <c r="X15" s="63"/>
      <c r="Y15" s="8" t="e">
        <f t="shared" si="3"/>
        <v>#VALUE!</v>
      </c>
      <c r="Z15" s="62"/>
      <c r="AA15" s="12" t="str">
        <f>IF(Z15="","",VLOOKUP(Z15,'TARAS DE REFERENCIA'!$A$6:$B$151,2,FALSE))</f>
        <v/>
      </c>
      <c r="AB15" s="63"/>
      <c r="AC15" s="8" t="e">
        <f t="shared" si="4"/>
        <v>#VALUE!</v>
      </c>
      <c r="AD15" s="5" t="str">
        <f t="shared" si="13"/>
        <v/>
      </c>
      <c r="AE15" s="8" t="e">
        <f t="shared" si="5"/>
        <v>#VALUE!</v>
      </c>
      <c r="AF15" s="8" t="e">
        <f t="shared" si="6"/>
        <v>#VALUE!</v>
      </c>
      <c r="AG15" s="8" t="e">
        <f t="shared" si="7"/>
        <v>#VALUE!</v>
      </c>
    </row>
    <row r="16" spans="1:52" x14ac:dyDescent="0.2">
      <c r="A16" s="58"/>
      <c r="B16" s="65"/>
      <c r="C16" s="66"/>
      <c r="D16" s="67"/>
      <c r="E16" s="71" t="e">
        <f t="shared" si="8"/>
        <v>#DIV/0!</v>
      </c>
      <c r="F16" s="66">
        <f t="shared" si="9"/>
        <v>0</v>
      </c>
      <c r="G16" s="68">
        <f t="shared" si="10"/>
        <v>0</v>
      </c>
      <c r="H16" s="62"/>
      <c r="I16" s="12" t="str">
        <f>IF(H16="","",VLOOKUP(H16,'TARAS DE REFERENCIA'!$A$6:$B$151,2,FALSE))</f>
        <v/>
      </c>
      <c r="J16" s="63"/>
      <c r="K16" s="8" t="e">
        <f t="shared" si="0"/>
        <v>#VALUE!</v>
      </c>
      <c r="L16" s="5" t="str">
        <f t="shared" si="11"/>
        <v/>
      </c>
      <c r="M16" s="62"/>
      <c r="N16" s="12" t="str">
        <f>IF(M16="","",VLOOKUP(M16,'TARAS DE REFERENCIA'!$A$6:$B$151,2,FALSE))</f>
        <v/>
      </c>
      <c r="O16" s="63"/>
      <c r="P16" s="8" t="e">
        <f t="shared" si="1"/>
        <v>#VALUE!</v>
      </c>
      <c r="Q16" s="62"/>
      <c r="R16" s="12" t="str">
        <f>IF(Q16="","",VLOOKUP(Q16,'TARAS DE REFERENCIA'!$A$6:$B$151,2,FALSE))</f>
        <v/>
      </c>
      <c r="S16" s="63"/>
      <c r="T16" s="8" t="e">
        <f t="shared" si="2"/>
        <v>#VALUE!</v>
      </c>
      <c r="U16" s="5" t="str">
        <f t="shared" si="12"/>
        <v/>
      </c>
      <c r="V16" s="62"/>
      <c r="W16" s="12" t="str">
        <f>IF(V16="","",VLOOKUP(V16,'TARAS DE REFERENCIA'!$A$6:$B$151,2,FALSE))</f>
        <v/>
      </c>
      <c r="X16" s="63"/>
      <c r="Y16" s="8" t="e">
        <f t="shared" si="3"/>
        <v>#VALUE!</v>
      </c>
      <c r="Z16" s="62"/>
      <c r="AA16" s="12" t="str">
        <f>IF(Z16="","",VLOOKUP(Z16,'TARAS DE REFERENCIA'!$A$6:$B$151,2,FALSE))</f>
        <v/>
      </c>
      <c r="AB16" s="63"/>
      <c r="AC16" s="8" t="e">
        <f t="shared" si="4"/>
        <v>#VALUE!</v>
      </c>
      <c r="AD16" s="5" t="str">
        <f t="shared" si="13"/>
        <v/>
      </c>
      <c r="AE16" s="8" t="e">
        <f t="shared" si="5"/>
        <v>#VALUE!</v>
      </c>
      <c r="AF16" s="8" t="e">
        <f t="shared" si="6"/>
        <v>#VALUE!</v>
      </c>
      <c r="AG16" s="8" t="e">
        <f t="shared" si="7"/>
        <v>#VALUE!</v>
      </c>
    </row>
    <row r="17" spans="1:33" x14ac:dyDescent="0.2">
      <c r="A17" s="58"/>
      <c r="B17" s="65"/>
      <c r="C17" s="66"/>
      <c r="D17" s="67"/>
      <c r="E17" s="71" t="e">
        <f t="shared" si="8"/>
        <v>#DIV/0!</v>
      </c>
      <c r="F17" s="66">
        <f t="shared" si="9"/>
        <v>0</v>
      </c>
      <c r="G17" s="68">
        <f t="shared" si="10"/>
        <v>0</v>
      </c>
      <c r="H17" s="62"/>
      <c r="I17" s="12" t="str">
        <f>IF(H17="","",VLOOKUP(H17,'TARAS DE REFERENCIA'!$A$6:$B$151,2,FALSE))</f>
        <v/>
      </c>
      <c r="J17" s="63"/>
      <c r="K17" s="8" t="e">
        <f t="shared" si="0"/>
        <v>#VALUE!</v>
      </c>
      <c r="L17" s="5" t="str">
        <f t="shared" si="11"/>
        <v/>
      </c>
      <c r="M17" s="62"/>
      <c r="N17" s="12" t="str">
        <f>IF(M17="","",VLOOKUP(M17,'TARAS DE REFERENCIA'!$A$6:$B$151,2,FALSE))</f>
        <v/>
      </c>
      <c r="O17" s="63"/>
      <c r="P17" s="8" t="e">
        <f t="shared" si="1"/>
        <v>#VALUE!</v>
      </c>
      <c r="Q17" s="62"/>
      <c r="R17" s="12" t="str">
        <f>IF(Q17="","",VLOOKUP(Q17,'TARAS DE REFERENCIA'!$A$6:$B$151,2,FALSE))</f>
        <v/>
      </c>
      <c r="S17" s="63"/>
      <c r="T17" s="8" t="e">
        <f t="shared" si="2"/>
        <v>#VALUE!</v>
      </c>
      <c r="U17" s="5" t="str">
        <f t="shared" si="12"/>
        <v/>
      </c>
      <c r="V17" s="62"/>
      <c r="W17" s="12" t="str">
        <f>IF(V17="","",VLOOKUP(V17,'TARAS DE REFERENCIA'!$A$6:$B$151,2,FALSE))</f>
        <v/>
      </c>
      <c r="X17" s="63"/>
      <c r="Y17" s="8" t="e">
        <f t="shared" si="3"/>
        <v>#VALUE!</v>
      </c>
      <c r="Z17" s="62"/>
      <c r="AA17" s="12" t="str">
        <f>IF(Z17="","",VLOOKUP(Z17,'TARAS DE REFERENCIA'!$A$6:$B$151,2,FALSE))</f>
        <v/>
      </c>
      <c r="AB17" s="63"/>
      <c r="AC17" s="8" t="e">
        <f t="shared" si="4"/>
        <v>#VALUE!</v>
      </c>
      <c r="AD17" s="5" t="str">
        <f t="shared" si="13"/>
        <v/>
      </c>
      <c r="AE17" s="8" t="e">
        <f t="shared" si="5"/>
        <v>#VALUE!</v>
      </c>
      <c r="AF17" s="8" t="e">
        <f t="shared" si="6"/>
        <v>#VALUE!</v>
      </c>
      <c r="AG17" s="8" t="e">
        <f t="shared" si="7"/>
        <v>#VALUE!</v>
      </c>
    </row>
    <row r="18" spans="1:33" x14ac:dyDescent="0.2">
      <c r="A18" s="58"/>
      <c r="B18" s="65"/>
      <c r="C18" s="66"/>
      <c r="D18" s="67"/>
      <c r="E18" s="71" t="e">
        <f t="shared" si="8"/>
        <v>#DIV/0!</v>
      </c>
      <c r="F18" s="66">
        <f t="shared" si="9"/>
        <v>0</v>
      </c>
      <c r="G18" s="68">
        <f t="shared" si="10"/>
        <v>0</v>
      </c>
      <c r="H18" s="62"/>
      <c r="I18" s="12" t="str">
        <f>IF(H18="","",VLOOKUP(H18,'TARAS DE REFERENCIA'!$A$6:$B$151,2,FALSE))</f>
        <v/>
      </c>
      <c r="J18" s="63"/>
      <c r="K18" s="8" t="e">
        <f t="shared" si="0"/>
        <v>#VALUE!</v>
      </c>
      <c r="L18" s="5" t="str">
        <f t="shared" si="11"/>
        <v/>
      </c>
      <c r="M18" s="62"/>
      <c r="N18" s="12" t="str">
        <f>IF(M18="","",VLOOKUP(M18,'TARAS DE REFERENCIA'!$A$6:$B$151,2,FALSE))</f>
        <v/>
      </c>
      <c r="O18" s="63"/>
      <c r="P18" s="8" t="e">
        <f t="shared" si="1"/>
        <v>#VALUE!</v>
      </c>
      <c r="Q18" s="62"/>
      <c r="R18" s="12" t="str">
        <f>IF(Q18="","",VLOOKUP(Q18,'TARAS DE REFERENCIA'!$A$6:$B$151,2,FALSE))</f>
        <v/>
      </c>
      <c r="S18" s="63"/>
      <c r="T18" s="8" t="e">
        <f t="shared" si="2"/>
        <v>#VALUE!</v>
      </c>
      <c r="U18" s="5" t="str">
        <f t="shared" si="12"/>
        <v/>
      </c>
      <c r="V18" s="62"/>
      <c r="W18" s="12" t="str">
        <f>IF(V18="","",VLOOKUP(V18,'TARAS DE REFERENCIA'!$A$6:$B$151,2,FALSE))</f>
        <v/>
      </c>
      <c r="X18" s="63"/>
      <c r="Y18" s="8" t="e">
        <f t="shared" si="3"/>
        <v>#VALUE!</v>
      </c>
      <c r="Z18" s="62"/>
      <c r="AA18" s="12" t="str">
        <f>IF(Z18="","",VLOOKUP(Z18,'TARAS DE REFERENCIA'!$A$6:$B$151,2,FALSE))</f>
        <v/>
      </c>
      <c r="AB18" s="63"/>
      <c r="AC18" s="8" t="e">
        <f t="shared" si="4"/>
        <v>#VALUE!</v>
      </c>
      <c r="AD18" s="5" t="str">
        <f t="shared" si="13"/>
        <v/>
      </c>
      <c r="AE18" s="8" t="e">
        <f t="shared" si="5"/>
        <v>#VALUE!</v>
      </c>
      <c r="AF18" s="8" t="e">
        <f t="shared" si="6"/>
        <v>#VALUE!</v>
      </c>
      <c r="AG18" s="8" t="e">
        <f t="shared" si="7"/>
        <v>#VALUE!</v>
      </c>
    </row>
    <row r="19" spans="1:33" x14ac:dyDescent="0.2">
      <c r="A19" s="58"/>
      <c r="B19" s="65"/>
      <c r="C19" s="66"/>
      <c r="D19" s="67"/>
      <c r="E19" s="71" t="e">
        <f t="shared" si="8"/>
        <v>#DIV/0!</v>
      </c>
      <c r="F19" s="66">
        <f t="shared" si="9"/>
        <v>0</v>
      </c>
      <c r="G19" s="68">
        <f t="shared" si="10"/>
        <v>0</v>
      </c>
      <c r="H19" s="62"/>
      <c r="I19" s="12" t="str">
        <f>IF(H19="","",VLOOKUP(H19,'TARAS DE REFERENCIA'!$A$6:$B$151,2,FALSE))</f>
        <v/>
      </c>
      <c r="J19" s="63"/>
      <c r="K19" s="8" t="e">
        <f t="shared" si="0"/>
        <v>#VALUE!</v>
      </c>
      <c r="L19" s="5" t="str">
        <f t="shared" si="11"/>
        <v/>
      </c>
      <c r="M19" s="62"/>
      <c r="N19" s="12" t="str">
        <f>IF(M19="","",VLOOKUP(M19,'TARAS DE REFERENCIA'!$A$6:$B$151,2,FALSE))</f>
        <v/>
      </c>
      <c r="O19" s="63"/>
      <c r="P19" s="8" t="e">
        <f t="shared" si="1"/>
        <v>#VALUE!</v>
      </c>
      <c r="Q19" s="62"/>
      <c r="R19" s="12" t="str">
        <f>IF(Q19="","",VLOOKUP(Q19,'TARAS DE REFERENCIA'!$A$6:$B$151,2,FALSE))</f>
        <v/>
      </c>
      <c r="S19" s="63"/>
      <c r="T19" s="8" t="e">
        <f t="shared" si="2"/>
        <v>#VALUE!</v>
      </c>
      <c r="U19" s="5" t="str">
        <f t="shared" si="12"/>
        <v/>
      </c>
      <c r="V19" s="62"/>
      <c r="W19" s="12" t="str">
        <f>IF(V19="","",VLOOKUP(V19,'TARAS DE REFERENCIA'!$A$6:$B$151,2,FALSE))</f>
        <v/>
      </c>
      <c r="X19" s="63"/>
      <c r="Y19" s="8" t="e">
        <f t="shared" si="3"/>
        <v>#VALUE!</v>
      </c>
      <c r="Z19" s="62"/>
      <c r="AA19" s="12" t="str">
        <f>IF(Z19="","",VLOOKUP(Z19,'TARAS DE REFERENCIA'!$A$6:$B$151,2,FALSE))</f>
        <v/>
      </c>
      <c r="AB19" s="63"/>
      <c r="AC19" s="8" t="e">
        <f t="shared" si="4"/>
        <v>#VALUE!</v>
      </c>
      <c r="AD19" s="5" t="str">
        <f t="shared" si="13"/>
        <v/>
      </c>
      <c r="AE19" s="8" t="e">
        <f t="shared" si="5"/>
        <v>#VALUE!</v>
      </c>
      <c r="AF19" s="8" t="e">
        <f t="shared" si="6"/>
        <v>#VALUE!</v>
      </c>
      <c r="AG19" s="8" t="e">
        <f t="shared" si="7"/>
        <v>#VALUE!</v>
      </c>
    </row>
    <row r="20" spans="1:33" x14ac:dyDescent="0.2">
      <c r="A20" s="58"/>
      <c r="B20" s="65"/>
      <c r="C20" s="66"/>
      <c r="D20" s="67"/>
      <c r="E20" s="71" t="e">
        <f t="shared" si="8"/>
        <v>#DIV/0!</v>
      </c>
      <c r="F20" s="66">
        <f t="shared" si="9"/>
        <v>0</v>
      </c>
      <c r="G20" s="68">
        <f t="shared" si="10"/>
        <v>0</v>
      </c>
      <c r="H20" s="62"/>
      <c r="I20" s="12" t="str">
        <f>IF(H20="","",VLOOKUP(H20,'TARAS DE REFERENCIA'!$A$6:$B$151,2,FALSE))</f>
        <v/>
      </c>
      <c r="J20" s="63"/>
      <c r="K20" s="8" t="e">
        <f t="shared" si="0"/>
        <v>#VALUE!</v>
      </c>
      <c r="L20" s="5" t="str">
        <f t="shared" si="11"/>
        <v/>
      </c>
      <c r="M20" s="62"/>
      <c r="N20" s="12" t="str">
        <f>IF(M20="","",VLOOKUP(M20,'TARAS DE REFERENCIA'!$A$6:$B$151,2,FALSE))</f>
        <v/>
      </c>
      <c r="O20" s="63"/>
      <c r="P20" s="8" t="e">
        <f t="shared" si="1"/>
        <v>#VALUE!</v>
      </c>
      <c r="Q20" s="62"/>
      <c r="R20" s="12" t="str">
        <f>IF(Q20="","",VLOOKUP(Q20,'TARAS DE REFERENCIA'!$A$6:$B$151,2,FALSE))</f>
        <v/>
      </c>
      <c r="S20" s="63"/>
      <c r="T20" s="8" t="e">
        <f t="shared" si="2"/>
        <v>#VALUE!</v>
      </c>
      <c r="U20" s="5" t="str">
        <f t="shared" si="12"/>
        <v/>
      </c>
      <c r="V20" s="62"/>
      <c r="W20" s="12" t="str">
        <f>IF(V20="","",VLOOKUP(V20,'TARAS DE REFERENCIA'!$A$6:$B$151,2,FALSE))</f>
        <v/>
      </c>
      <c r="X20" s="63"/>
      <c r="Y20" s="8" t="e">
        <f t="shared" si="3"/>
        <v>#VALUE!</v>
      </c>
      <c r="Z20" s="62"/>
      <c r="AA20" s="12" t="str">
        <f>IF(Z20="","",VLOOKUP(Z20,'TARAS DE REFERENCIA'!$A$6:$B$151,2,FALSE))</f>
        <v/>
      </c>
      <c r="AB20" s="63"/>
      <c r="AC20" s="8" t="e">
        <f t="shared" si="4"/>
        <v>#VALUE!</v>
      </c>
      <c r="AD20" s="5" t="str">
        <f t="shared" si="13"/>
        <v/>
      </c>
      <c r="AE20" s="8" t="e">
        <f t="shared" si="5"/>
        <v>#VALUE!</v>
      </c>
      <c r="AF20" s="8" t="e">
        <f t="shared" si="6"/>
        <v>#VALUE!</v>
      </c>
      <c r="AG20" s="8" t="e">
        <f t="shared" si="7"/>
        <v>#VALUE!</v>
      </c>
    </row>
    <row r="21" spans="1:33" x14ac:dyDescent="0.2">
      <c r="A21" s="58"/>
      <c r="B21" s="65"/>
      <c r="C21" s="66"/>
      <c r="D21" s="67"/>
      <c r="E21" s="71" t="e">
        <f t="shared" si="8"/>
        <v>#DIV/0!</v>
      </c>
      <c r="F21" s="66">
        <f t="shared" si="9"/>
        <v>0</v>
      </c>
      <c r="G21" s="68">
        <f t="shared" si="10"/>
        <v>0</v>
      </c>
      <c r="H21" s="62"/>
      <c r="I21" s="12" t="str">
        <f>IF(H21="","",VLOOKUP(H21,'TARAS DE REFERENCIA'!$A$6:$B$151,2,FALSE))</f>
        <v/>
      </c>
      <c r="J21" s="63"/>
      <c r="K21" s="8" t="e">
        <f t="shared" si="0"/>
        <v>#VALUE!</v>
      </c>
      <c r="L21" s="5" t="str">
        <f t="shared" si="11"/>
        <v/>
      </c>
      <c r="M21" s="62"/>
      <c r="N21" s="12" t="str">
        <f>IF(M21="","",VLOOKUP(M21,'TARAS DE REFERENCIA'!$A$6:$B$151,2,FALSE))</f>
        <v/>
      </c>
      <c r="O21" s="63"/>
      <c r="P21" s="8" t="e">
        <f t="shared" si="1"/>
        <v>#VALUE!</v>
      </c>
      <c r="Q21" s="62"/>
      <c r="R21" s="12" t="str">
        <f>IF(Q21="","",VLOOKUP(Q21,'TARAS DE REFERENCIA'!$A$6:$B$151,2,FALSE))</f>
        <v/>
      </c>
      <c r="S21" s="63"/>
      <c r="T21" s="8" t="e">
        <f t="shared" si="2"/>
        <v>#VALUE!</v>
      </c>
      <c r="U21" s="5" t="str">
        <f t="shared" si="12"/>
        <v/>
      </c>
      <c r="V21" s="62"/>
      <c r="W21" s="12" t="str">
        <f>IF(V21="","",VLOOKUP(V21,'TARAS DE REFERENCIA'!$A$6:$B$151,2,FALSE))</f>
        <v/>
      </c>
      <c r="X21" s="63"/>
      <c r="Y21" s="8" t="e">
        <f t="shared" si="3"/>
        <v>#VALUE!</v>
      </c>
      <c r="Z21" s="62"/>
      <c r="AA21" s="12" t="str">
        <f>IF(Z21="","",VLOOKUP(Z21,'TARAS DE REFERENCIA'!$A$6:$B$151,2,FALSE))</f>
        <v/>
      </c>
      <c r="AB21" s="63"/>
      <c r="AC21" s="8" t="e">
        <f t="shared" si="4"/>
        <v>#VALUE!</v>
      </c>
      <c r="AD21" s="5" t="str">
        <f t="shared" si="13"/>
        <v/>
      </c>
      <c r="AE21" s="8" t="e">
        <f t="shared" si="5"/>
        <v>#VALUE!</v>
      </c>
      <c r="AF21" s="8" t="e">
        <f t="shared" si="6"/>
        <v>#VALUE!</v>
      </c>
      <c r="AG21" s="8" t="e">
        <f t="shared" si="7"/>
        <v>#VALUE!</v>
      </c>
    </row>
    <row r="22" spans="1:33" x14ac:dyDescent="0.2">
      <c r="H22" s="17"/>
      <c r="J22" s="51"/>
      <c r="O22" s="51"/>
      <c r="S22" s="51"/>
      <c r="V22" s="17"/>
      <c r="X22" s="51"/>
      <c r="Z22" s="17"/>
      <c r="AB22" s="51"/>
    </row>
    <row r="23" spans="1:33" x14ac:dyDescent="0.2">
      <c r="E23" s="88" t="s">
        <v>132</v>
      </c>
      <c r="F23" s="71"/>
      <c r="G23" s="71"/>
      <c r="H23" s="72" t="s">
        <v>128</v>
      </c>
      <c r="I23" s="73" t="s">
        <v>129</v>
      </c>
      <c r="J23" s="73" t="s">
        <v>130</v>
      </c>
      <c r="K23" s="72" t="s">
        <v>131</v>
      </c>
      <c r="O23" s="51"/>
      <c r="S23" s="51"/>
      <c r="X23" s="51"/>
      <c r="AB23" s="51"/>
    </row>
    <row r="24" spans="1:33" x14ac:dyDescent="0.2">
      <c r="E24" s="89"/>
      <c r="F24" s="71"/>
      <c r="G24" s="71"/>
      <c r="H24" s="74" t="str">
        <f>IF(USDA!H28="","",CONCATENATE(USDA!H28,"_"))</f>
        <v/>
      </c>
      <c r="I24" s="75" t="str">
        <f>IF(USDA!I28="","",USDA!I28)</f>
        <v/>
      </c>
      <c r="J24" s="75" t="str">
        <f>IF(USDA!J28="","",USDA!J28)</f>
        <v/>
      </c>
      <c r="K24" s="73" t="str">
        <f>USDA!K28</f>
        <v/>
      </c>
      <c r="O24" s="51"/>
      <c r="S24" s="51"/>
      <c r="X24" s="51"/>
      <c r="AB24" s="51"/>
    </row>
    <row r="25" spans="1:33" x14ac:dyDescent="0.2">
      <c r="E25" s="89"/>
      <c r="F25" s="71"/>
      <c r="G25" s="71"/>
      <c r="H25" s="74" t="str">
        <f>IF(USDA!H29="","",CONCATENATE(USDA!H29,"_"))</f>
        <v/>
      </c>
      <c r="I25" s="75" t="str">
        <f>IF(USDA!I29="","",USDA!I29)</f>
        <v/>
      </c>
      <c r="J25" s="75" t="str">
        <f>IF(USDA!J29="","",USDA!J29)</f>
        <v/>
      </c>
      <c r="K25" s="73" t="str">
        <f>USDA!K29</f>
        <v/>
      </c>
      <c r="O25" s="51"/>
      <c r="S25" s="51"/>
      <c r="X25" s="51"/>
      <c r="AB25" s="51"/>
    </row>
    <row r="26" spans="1:33" x14ac:dyDescent="0.2">
      <c r="E26" s="89"/>
      <c r="F26" s="71"/>
      <c r="G26" s="71"/>
      <c r="H26" s="74" t="str">
        <f>IF(USDA!H30="","",CONCATENATE(USDA!H30,"_"))</f>
        <v/>
      </c>
      <c r="I26" s="75" t="str">
        <f>IF(USDA!I30="","",USDA!I30)</f>
        <v/>
      </c>
      <c r="J26" s="75" t="str">
        <f>IF(USDA!J30="","",USDA!J30)</f>
        <v/>
      </c>
      <c r="K26" s="73" t="str">
        <f>USDA!K30</f>
        <v/>
      </c>
    </row>
    <row r="27" spans="1:33" x14ac:dyDescent="0.2">
      <c r="H27" s="17"/>
    </row>
    <row r="28" spans="1:33" x14ac:dyDescent="0.2">
      <c r="H28" s="17"/>
    </row>
    <row r="29" spans="1:33" hidden="1" x14ac:dyDescent="0.2">
      <c r="H29" s="17"/>
    </row>
    <row r="30" spans="1:33" x14ac:dyDescent="0.2">
      <c r="H30" s="17"/>
    </row>
    <row r="31" spans="1:33" x14ac:dyDescent="0.2">
      <c r="H31" s="17"/>
    </row>
    <row r="32" spans="1:33" x14ac:dyDescent="0.2">
      <c r="H32" s="17"/>
    </row>
  </sheetData>
  <sheetProtection password="D1D1" sheet="1" objects="1" scenarios="1" formatCells="0" formatColumns="0" formatRows="0"/>
  <protectedRanges>
    <protectedRange sqref="AZ1:AZ15" name="Rango1"/>
  </protectedRanges>
  <mergeCells count="1">
    <mergeCell ref="E23:E26"/>
  </mergeCells>
  <conditionalFormatting sqref="H2:H21 M2:M21 Q2:Q21 V2:V21 Z2:Z21">
    <cfRule type="duplicateValues" dxfId="1" priority="1"/>
  </conditionalFormatting>
  <pageMargins left="0.78740157480314965" right="0.78740157480314965" top="0.98425196850393704" bottom="0.98425196850393704" header="0" footer="0"/>
  <pageSetup paperSize="9" scale="97" orientation="landscape" r:id="rId1"/>
  <headerFooter alignWithMargins="0"/>
  <colBreaks count="3" manualBreakCount="3">
    <brk id="11" max="1048575" man="1"/>
    <brk id="20" max="20" man="1"/>
    <brk id="29" max="1048575" man="1"/>
  </col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7C611D73-5A04-4609-BB50-05C7060E0244}">
            <xm:f>'TARAS DE REFERENCIA'!$K$5&lt;TODAY()</xm:f>
            <x14:dxf>
              <font>
                <color rgb="FFFF0000"/>
              </font>
            </x14:dxf>
          </x14:cfRule>
          <xm:sqref>I2:I21 N2:N21 R2:R21 W2:W21 AA2:AA21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3:AW52"/>
  <sheetViews>
    <sheetView topLeftCell="B1" workbookViewId="0">
      <selection activeCell="AZ2" sqref="AZ2"/>
    </sheetView>
  </sheetViews>
  <sheetFormatPr baseColWidth="10" defaultColWidth="11.42578125" defaultRowHeight="12.75" x14ac:dyDescent="0.2"/>
  <cols>
    <col min="1" max="1" width="11.42578125" style="19"/>
    <col min="2" max="5" width="11.42578125" style="20"/>
    <col min="6" max="9" width="11.42578125" style="21"/>
    <col min="10" max="11" width="11.42578125" style="22"/>
    <col min="12" max="12" width="11.42578125" style="21"/>
    <col min="13" max="13" width="11.42578125" style="19"/>
    <col min="14" max="14" width="13.140625" style="20" customWidth="1"/>
    <col min="15" max="15" width="13.7109375" style="22" customWidth="1"/>
    <col min="16" max="16" width="14" style="22" bestFit="1" customWidth="1"/>
    <col min="17" max="17" width="16" style="21" customWidth="1"/>
    <col min="18" max="18" width="13.42578125" style="24" customWidth="1"/>
    <col min="19" max="19" width="11.42578125" style="21"/>
    <col min="20" max="20" width="11.42578125" style="25"/>
    <col min="21" max="21" width="15.140625" style="21" customWidth="1"/>
    <col min="22" max="23" width="11.42578125" style="21"/>
    <col min="24" max="24" width="11.42578125" style="22"/>
    <col min="25" max="25" width="11.42578125" style="19"/>
    <col min="26" max="26" width="22" style="21" customWidth="1"/>
    <col min="27" max="27" width="11.42578125" style="24"/>
    <col min="28" max="28" width="11.42578125" style="21"/>
    <col min="29" max="29" width="11.42578125" style="26"/>
    <col min="30" max="30" width="22" style="21" customWidth="1"/>
    <col min="31" max="31" width="11.42578125" style="24"/>
    <col min="32" max="32" width="11.42578125" style="21"/>
    <col min="33" max="33" width="11.42578125" style="25"/>
    <col min="34" max="34" width="22.7109375" style="21" customWidth="1"/>
    <col min="35" max="35" width="11.42578125" style="19"/>
    <col min="36" max="36" width="11.42578125" style="24"/>
    <col min="37" max="37" width="11.42578125" style="21"/>
    <col min="38" max="38" width="11.42578125" style="25"/>
    <col min="39" max="39" width="23.5703125" style="21" customWidth="1"/>
    <col min="40" max="40" width="11.42578125" style="24"/>
    <col min="41" max="41" width="11.42578125" style="21"/>
    <col min="42" max="42" width="11.42578125" style="25"/>
    <col min="43" max="43" width="24.85546875" style="21" customWidth="1"/>
    <col min="44" max="45" width="11.42578125" style="19"/>
    <col min="46" max="46" width="11.7109375" style="21" customWidth="1"/>
    <col min="47" max="47" width="13" style="21" customWidth="1"/>
    <col min="48" max="48" width="13.140625" style="21" customWidth="1"/>
    <col min="49" max="16384" width="11.42578125" style="21"/>
  </cols>
  <sheetData>
    <row r="3" spans="1:49" x14ac:dyDescent="0.2">
      <c r="L3" s="23" t="s">
        <v>56</v>
      </c>
      <c r="N3" s="20" t="s">
        <v>57</v>
      </c>
      <c r="O3" s="20" t="s">
        <v>57</v>
      </c>
      <c r="P3" s="20" t="s">
        <v>57</v>
      </c>
      <c r="Q3" s="23" t="s">
        <v>58</v>
      </c>
      <c r="U3" s="23" t="s">
        <v>59</v>
      </c>
      <c r="AT3" s="21" t="s">
        <v>60</v>
      </c>
      <c r="AU3" s="21" t="s">
        <v>61</v>
      </c>
      <c r="AV3" s="21" t="s">
        <v>57</v>
      </c>
    </row>
    <row r="4" spans="1:49" s="27" customFormat="1" x14ac:dyDescent="0.2">
      <c r="A4" s="19" t="s">
        <v>8</v>
      </c>
      <c r="B4" s="19" t="s">
        <v>62</v>
      </c>
      <c r="C4" s="19" t="s">
        <v>63</v>
      </c>
      <c r="D4" s="19" t="s">
        <v>64</v>
      </c>
      <c r="E4" s="19" t="s">
        <v>65</v>
      </c>
      <c r="F4" s="27" t="s">
        <v>33</v>
      </c>
      <c r="G4" s="27" t="s">
        <v>13</v>
      </c>
      <c r="H4" s="27" t="s">
        <v>34</v>
      </c>
      <c r="I4" s="27" t="s">
        <v>14</v>
      </c>
      <c r="J4" s="28" t="s">
        <v>15</v>
      </c>
      <c r="K4" s="28" t="s">
        <v>16</v>
      </c>
      <c r="L4" s="23" t="s">
        <v>66</v>
      </c>
      <c r="M4" s="19" t="s">
        <v>8</v>
      </c>
      <c r="N4" s="19" t="s">
        <v>67</v>
      </c>
      <c r="O4" s="28" t="s">
        <v>68</v>
      </c>
      <c r="P4" s="28" t="s">
        <v>69</v>
      </c>
      <c r="Q4" s="27" t="s">
        <v>70</v>
      </c>
      <c r="R4" s="19" t="s">
        <v>18</v>
      </c>
      <c r="S4" s="28" t="s">
        <v>19</v>
      </c>
      <c r="T4" s="28" t="s">
        <v>20</v>
      </c>
      <c r="U4" s="27" t="s">
        <v>71</v>
      </c>
      <c r="V4" s="27" t="s">
        <v>22</v>
      </c>
      <c r="W4" s="27" t="s">
        <v>23</v>
      </c>
      <c r="X4" s="28" t="s">
        <v>24</v>
      </c>
      <c r="Y4" s="19" t="s">
        <v>8</v>
      </c>
      <c r="Z4" s="27" t="s">
        <v>72</v>
      </c>
      <c r="AA4" s="19" t="s">
        <v>22</v>
      </c>
      <c r="AB4" s="27" t="s">
        <v>23</v>
      </c>
      <c r="AC4" s="27" t="s">
        <v>24</v>
      </c>
      <c r="AD4" s="27" t="s">
        <v>73</v>
      </c>
      <c r="AE4" s="19" t="s">
        <v>22</v>
      </c>
      <c r="AF4" s="27" t="s">
        <v>23</v>
      </c>
      <c r="AG4" s="28" t="s">
        <v>24</v>
      </c>
      <c r="AH4" s="27" t="s">
        <v>74</v>
      </c>
      <c r="AI4" s="19" t="s">
        <v>8</v>
      </c>
      <c r="AJ4" s="19" t="s">
        <v>22</v>
      </c>
      <c r="AK4" s="27" t="s">
        <v>23</v>
      </c>
      <c r="AL4" s="28" t="s">
        <v>24</v>
      </c>
      <c r="AM4" s="27" t="s">
        <v>75</v>
      </c>
      <c r="AN4" s="19" t="s">
        <v>22</v>
      </c>
      <c r="AO4" s="27" t="s">
        <v>23</v>
      </c>
      <c r="AP4" s="28" t="s">
        <v>24</v>
      </c>
      <c r="AQ4" s="27" t="s">
        <v>76</v>
      </c>
      <c r="AR4" s="19" t="s">
        <v>8</v>
      </c>
      <c r="AS4" s="27" t="s">
        <v>76</v>
      </c>
      <c r="AT4" s="27" t="s">
        <v>77</v>
      </c>
      <c r="AU4" s="27" t="s">
        <v>78</v>
      </c>
      <c r="AV4" s="27" t="s">
        <v>79</v>
      </c>
      <c r="AW4" s="27" t="s">
        <v>80</v>
      </c>
    </row>
    <row r="5" spans="1:49" x14ac:dyDescent="0.2">
      <c r="A5" s="29"/>
      <c r="B5" s="30"/>
      <c r="C5" s="3"/>
      <c r="D5" s="31"/>
      <c r="E5" s="31"/>
      <c r="F5" s="32" t="e">
        <f>(D5-E5)*100/(D5-C5)</f>
        <v>#DIV/0!</v>
      </c>
      <c r="G5" s="32"/>
      <c r="H5" s="32" t="e">
        <f>20-(F5+G5)/5</f>
        <v>#DIV/0!</v>
      </c>
      <c r="I5" s="30"/>
      <c r="J5" s="33"/>
      <c r="K5" s="31"/>
      <c r="L5" s="34" t="e">
        <f>(K5-J5-0.0187)*(50000/20)/H5</f>
        <v>#DIV/0!</v>
      </c>
      <c r="M5" s="29"/>
      <c r="N5" s="30"/>
      <c r="O5" s="33"/>
      <c r="P5" s="31"/>
      <c r="Q5" s="34" t="e">
        <f>(P5-O5-0.0187)*(50000/20)/H5</f>
        <v>#DIV/0!</v>
      </c>
      <c r="R5" s="35"/>
      <c r="S5" s="33"/>
      <c r="T5" s="36"/>
      <c r="U5" s="34" t="e">
        <f>(T5-S5-0.0187)*(50000/20)/H5</f>
        <v>#DIV/0!</v>
      </c>
      <c r="V5" s="30"/>
      <c r="W5" s="37"/>
      <c r="X5" s="31"/>
      <c r="Y5" s="29"/>
      <c r="Z5" s="34" t="e">
        <f>(X5-W5)*100/H5</f>
        <v>#DIV/0!</v>
      </c>
      <c r="AA5" s="35"/>
      <c r="AB5" s="33"/>
      <c r="AC5" s="38"/>
      <c r="AD5" s="34" t="e">
        <f>(AC5-AB5)*100/H5</f>
        <v>#DIV/0!</v>
      </c>
      <c r="AE5" s="35"/>
      <c r="AF5" s="33"/>
      <c r="AG5" s="36"/>
      <c r="AH5" s="34" t="e">
        <f>(AG5-AF5)*100/H5</f>
        <v>#DIV/0!</v>
      </c>
      <c r="AI5" s="29"/>
      <c r="AJ5" s="35"/>
      <c r="AK5" s="33"/>
      <c r="AL5" s="36"/>
      <c r="AM5" s="34" t="e">
        <f>(AL5-AK5)*100/H5</f>
        <v>#DIV/0!</v>
      </c>
      <c r="AN5" s="35"/>
      <c r="AO5" s="33"/>
      <c r="AP5" s="36"/>
      <c r="AQ5" s="34" t="e">
        <f t="shared" ref="AQ5:AQ23" si="0">(AP5-AO5)*100/H5</f>
        <v>#DIV/0!</v>
      </c>
      <c r="AR5" s="29"/>
      <c r="AS5" s="34" t="e">
        <f>(Z5+AD5+AH5+AM5+AQ5)</f>
        <v>#DIV/0!</v>
      </c>
      <c r="AT5" s="34" t="e">
        <f>100-(AU5+AS5+L5)</f>
        <v>#DIV/0!</v>
      </c>
      <c r="AU5" s="34" t="e">
        <f>(U5-L5)</f>
        <v>#DIV/0!</v>
      </c>
      <c r="AV5" s="34" t="e">
        <f>(AT5+AU5)</f>
        <v>#DIV/0!</v>
      </c>
      <c r="AW5" s="34" t="e">
        <f t="shared" ref="AW5:AW22" si="1">AS5+Q5</f>
        <v>#DIV/0!</v>
      </c>
    </row>
    <row r="6" spans="1:49" x14ac:dyDescent="0.2">
      <c r="A6" s="29"/>
      <c r="B6" s="30"/>
      <c r="C6" s="3"/>
      <c r="D6" s="31"/>
      <c r="E6" s="31"/>
      <c r="F6" s="32" t="e">
        <f>(D6-E6)*100/(D6-C6)</f>
        <v>#DIV/0!</v>
      </c>
      <c r="G6" s="32"/>
      <c r="H6" s="32" t="e">
        <f>20-(F6+G6)/5</f>
        <v>#DIV/0!</v>
      </c>
      <c r="I6" s="30"/>
      <c r="J6" s="33"/>
      <c r="K6" s="31"/>
      <c r="L6" s="34" t="e">
        <f t="shared" ref="L6:L23" si="2">(K6-J6-0.0187)*(50000/20)/H6</f>
        <v>#DIV/0!</v>
      </c>
      <c r="M6" s="29"/>
      <c r="N6" s="30"/>
      <c r="O6" s="37"/>
      <c r="P6" s="31"/>
      <c r="Q6" s="34" t="e">
        <f t="shared" ref="Q6:Q23" si="3">(P6-O6-0.0187)*(50000/20)/H6</f>
        <v>#DIV/0!</v>
      </c>
      <c r="R6" s="35"/>
      <c r="S6" s="33"/>
      <c r="T6" s="36"/>
      <c r="U6" s="34" t="e">
        <f t="shared" ref="U6:U23" si="4">(T6-S6-0.0187)*(50000/20)/H6</f>
        <v>#DIV/0!</v>
      </c>
      <c r="V6" s="30"/>
      <c r="W6" s="33"/>
      <c r="X6" s="31"/>
      <c r="Y6" s="29"/>
      <c r="Z6" s="34" t="e">
        <f>(X6-W6)*100/H6</f>
        <v>#DIV/0!</v>
      </c>
      <c r="AA6" s="35"/>
      <c r="AB6" s="37"/>
      <c r="AC6" s="38"/>
      <c r="AD6" s="34" t="e">
        <f t="shared" ref="AD6:AD23" si="5">(AC6-AB6)*100/H6</f>
        <v>#DIV/0!</v>
      </c>
      <c r="AE6" s="35"/>
      <c r="AF6" s="33"/>
      <c r="AG6" s="36"/>
      <c r="AH6" s="34" t="e">
        <f t="shared" ref="AH6:AH23" si="6">(AG6-AF6)*100/H6</f>
        <v>#DIV/0!</v>
      </c>
      <c r="AI6" s="29"/>
      <c r="AJ6" s="35"/>
      <c r="AK6" s="33"/>
      <c r="AL6" s="36"/>
      <c r="AM6" s="34" t="e">
        <f t="shared" ref="AM6:AM23" si="7">(AL6-AK6)*100/H6</f>
        <v>#DIV/0!</v>
      </c>
      <c r="AN6" s="35"/>
      <c r="AO6" s="33"/>
      <c r="AP6" s="36"/>
      <c r="AQ6" s="34" t="e">
        <f t="shared" si="0"/>
        <v>#DIV/0!</v>
      </c>
      <c r="AR6" s="29"/>
      <c r="AS6" s="34" t="e">
        <f t="shared" ref="AS6:AS22" si="8">(Z6+AD6+AH6+AM6+AQ6)</f>
        <v>#DIV/0!</v>
      </c>
      <c r="AT6" s="34" t="e">
        <f t="shared" ref="AT6:AT22" si="9">100-(AU6+AS6+L6)</f>
        <v>#DIV/0!</v>
      </c>
      <c r="AU6" s="34" t="e">
        <f t="shared" ref="AU6:AU22" si="10">(U6-L6)</f>
        <v>#DIV/0!</v>
      </c>
      <c r="AV6" s="34" t="e">
        <f t="shared" ref="AV6:AV22" si="11">(AT6+AU6)</f>
        <v>#DIV/0!</v>
      </c>
      <c r="AW6" s="34" t="e">
        <f t="shared" si="1"/>
        <v>#DIV/0!</v>
      </c>
    </row>
    <row r="7" spans="1:49" x14ac:dyDescent="0.2">
      <c r="A7" s="29"/>
      <c r="B7" s="30"/>
      <c r="C7" s="3"/>
      <c r="D7" s="31"/>
      <c r="E7" s="31"/>
      <c r="F7" s="32" t="e">
        <f>(D7-E7)*100/(D7-C7)</f>
        <v>#DIV/0!</v>
      </c>
      <c r="G7" s="32"/>
      <c r="H7" s="39" t="e">
        <f>20-(F7+G7)/5</f>
        <v>#DIV/0!</v>
      </c>
      <c r="I7" s="30"/>
      <c r="J7" s="33"/>
      <c r="K7" s="31"/>
      <c r="L7" s="34" t="e">
        <f t="shared" si="2"/>
        <v>#DIV/0!</v>
      </c>
      <c r="M7" s="29"/>
      <c r="N7" s="30"/>
      <c r="O7" s="33"/>
      <c r="P7" s="31"/>
      <c r="Q7" s="34" t="e">
        <f t="shared" si="3"/>
        <v>#DIV/0!</v>
      </c>
      <c r="R7" s="35"/>
      <c r="S7" s="33"/>
      <c r="T7" s="36"/>
      <c r="U7" s="34" t="e">
        <f t="shared" si="4"/>
        <v>#DIV/0!</v>
      </c>
      <c r="V7" s="30"/>
      <c r="W7" s="33"/>
      <c r="X7" s="31"/>
      <c r="Y7" s="29"/>
      <c r="Z7" s="34" t="e">
        <f>(X7-W7)*100/H7</f>
        <v>#DIV/0!</v>
      </c>
      <c r="AA7" s="35"/>
      <c r="AB7" s="37"/>
      <c r="AC7" s="38"/>
      <c r="AD7" s="34" t="e">
        <f t="shared" si="5"/>
        <v>#DIV/0!</v>
      </c>
      <c r="AE7" s="35"/>
      <c r="AF7" s="33"/>
      <c r="AG7" s="36"/>
      <c r="AH7" s="34" t="e">
        <f t="shared" si="6"/>
        <v>#DIV/0!</v>
      </c>
      <c r="AI7" s="29"/>
      <c r="AJ7" s="35"/>
      <c r="AK7" s="37"/>
      <c r="AL7" s="36"/>
      <c r="AM7" s="34" t="e">
        <f t="shared" si="7"/>
        <v>#DIV/0!</v>
      </c>
      <c r="AN7" s="35"/>
      <c r="AO7" s="33"/>
      <c r="AP7" s="36"/>
      <c r="AQ7" s="34" t="e">
        <f t="shared" si="0"/>
        <v>#DIV/0!</v>
      </c>
      <c r="AR7" s="29"/>
      <c r="AS7" s="34" t="e">
        <f t="shared" si="8"/>
        <v>#DIV/0!</v>
      </c>
      <c r="AT7" s="34" t="e">
        <f t="shared" si="9"/>
        <v>#DIV/0!</v>
      </c>
      <c r="AU7" s="34" t="e">
        <f t="shared" si="10"/>
        <v>#DIV/0!</v>
      </c>
      <c r="AV7" s="34" t="e">
        <f t="shared" si="11"/>
        <v>#DIV/0!</v>
      </c>
      <c r="AW7" s="34" t="e">
        <f t="shared" si="1"/>
        <v>#DIV/0!</v>
      </c>
    </row>
    <row r="8" spans="1:49" x14ac:dyDescent="0.2">
      <c r="A8" s="29"/>
      <c r="B8" s="30"/>
      <c r="C8" s="31"/>
      <c r="D8" s="31"/>
      <c r="E8" s="31"/>
      <c r="F8" s="32" t="e">
        <f>(D8-E8)*100/(D8-C8)</f>
        <v>#DIV/0!</v>
      </c>
      <c r="G8" s="32"/>
      <c r="H8" s="32" t="e">
        <f>20-(F8+G8)/5</f>
        <v>#DIV/0!</v>
      </c>
      <c r="I8" s="30"/>
      <c r="J8" s="33"/>
      <c r="K8" s="31"/>
      <c r="L8" s="34" t="e">
        <f t="shared" si="2"/>
        <v>#DIV/0!</v>
      </c>
      <c r="M8" s="29"/>
      <c r="N8" s="30"/>
      <c r="O8" s="33"/>
      <c r="P8" s="31"/>
      <c r="Q8" s="34" t="e">
        <f t="shared" si="3"/>
        <v>#DIV/0!</v>
      </c>
      <c r="R8" s="35"/>
      <c r="S8" s="33"/>
      <c r="T8" s="36"/>
      <c r="U8" s="34" t="e">
        <f t="shared" si="4"/>
        <v>#DIV/0!</v>
      </c>
      <c r="V8" s="30"/>
      <c r="W8" s="33"/>
      <c r="X8" s="31"/>
      <c r="Y8" s="29"/>
      <c r="Z8" s="34" t="e">
        <f>(X8-W8)*100/H8</f>
        <v>#DIV/0!</v>
      </c>
      <c r="AA8" s="35"/>
      <c r="AB8" s="33"/>
      <c r="AC8" s="38"/>
      <c r="AD8" s="34" t="e">
        <f t="shared" si="5"/>
        <v>#DIV/0!</v>
      </c>
      <c r="AE8" s="35"/>
      <c r="AF8" s="33"/>
      <c r="AG8" s="36"/>
      <c r="AH8" s="34" t="e">
        <f t="shared" si="6"/>
        <v>#DIV/0!</v>
      </c>
      <c r="AI8" s="29"/>
      <c r="AJ8" s="35"/>
      <c r="AK8" s="33"/>
      <c r="AL8" s="36"/>
      <c r="AM8" s="34" t="e">
        <f t="shared" si="7"/>
        <v>#DIV/0!</v>
      </c>
      <c r="AN8" s="35"/>
      <c r="AO8" s="33"/>
      <c r="AP8" s="36"/>
      <c r="AQ8" s="34" t="e">
        <f t="shared" si="0"/>
        <v>#DIV/0!</v>
      </c>
      <c r="AR8" s="29"/>
      <c r="AS8" s="34" t="e">
        <f t="shared" si="8"/>
        <v>#DIV/0!</v>
      </c>
      <c r="AT8" s="34" t="e">
        <f t="shared" si="9"/>
        <v>#DIV/0!</v>
      </c>
      <c r="AU8" s="34" t="e">
        <f t="shared" si="10"/>
        <v>#DIV/0!</v>
      </c>
      <c r="AV8" s="34" t="e">
        <f t="shared" si="11"/>
        <v>#DIV/0!</v>
      </c>
      <c r="AW8" s="34" t="e">
        <f t="shared" si="1"/>
        <v>#DIV/0!</v>
      </c>
    </row>
    <row r="9" spans="1:49" x14ac:dyDescent="0.2">
      <c r="A9" s="29"/>
      <c r="B9" s="30"/>
      <c r="C9" s="31"/>
      <c r="D9" s="31"/>
      <c r="E9" s="31"/>
      <c r="F9" s="32" t="e">
        <f>(D9-E9)*100/(D9-C9)</f>
        <v>#DIV/0!</v>
      </c>
      <c r="G9" s="32"/>
      <c r="H9" s="32" t="e">
        <f>20-(F9+G9)/5</f>
        <v>#DIV/0!</v>
      </c>
      <c r="I9" s="30"/>
      <c r="J9" s="33"/>
      <c r="K9" s="31"/>
      <c r="L9" s="34" t="e">
        <f t="shared" si="2"/>
        <v>#DIV/0!</v>
      </c>
      <c r="M9" s="29"/>
      <c r="N9" s="30"/>
      <c r="O9" s="33"/>
      <c r="P9" s="31"/>
      <c r="Q9" s="34" t="e">
        <f t="shared" si="3"/>
        <v>#DIV/0!</v>
      </c>
      <c r="R9" s="35"/>
      <c r="S9" s="33"/>
      <c r="T9" s="36"/>
      <c r="U9" s="34" t="e">
        <f t="shared" si="4"/>
        <v>#DIV/0!</v>
      </c>
      <c r="V9" s="30"/>
      <c r="W9" s="33"/>
      <c r="X9" s="31"/>
      <c r="Y9" s="29"/>
      <c r="Z9" s="34" t="e">
        <f>(X9-W9)*100/H9</f>
        <v>#DIV/0!</v>
      </c>
      <c r="AA9" s="35"/>
      <c r="AB9" s="33"/>
      <c r="AC9" s="38"/>
      <c r="AD9" s="34" t="e">
        <f t="shared" si="5"/>
        <v>#DIV/0!</v>
      </c>
      <c r="AE9" s="35"/>
      <c r="AF9" s="33"/>
      <c r="AG9" s="36"/>
      <c r="AH9" s="34" t="e">
        <f t="shared" si="6"/>
        <v>#DIV/0!</v>
      </c>
      <c r="AI9" s="29"/>
      <c r="AJ9" s="35"/>
      <c r="AK9" s="33"/>
      <c r="AL9" s="36"/>
      <c r="AM9" s="34" t="e">
        <f t="shared" si="7"/>
        <v>#DIV/0!</v>
      </c>
      <c r="AN9" s="35"/>
      <c r="AO9" s="33"/>
      <c r="AP9" s="36"/>
      <c r="AQ9" s="34" t="e">
        <f t="shared" si="0"/>
        <v>#DIV/0!</v>
      </c>
      <c r="AR9" s="29"/>
      <c r="AS9" s="34" t="e">
        <f t="shared" si="8"/>
        <v>#DIV/0!</v>
      </c>
      <c r="AT9" s="34" t="e">
        <f t="shared" si="9"/>
        <v>#DIV/0!</v>
      </c>
      <c r="AU9" s="34" t="e">
        <f t="shared" si="10"/>
        <v>#DIV/0!</v>
      </c>
      <c r="AV9" s="34" t="e">
        <f t="shared" si="11"/>
        <v>#DIV/0!</v>
      </c>
      <c r="AW9" s="34" t="e">
        <f t="shared" si="1"/>
        <v>#DIV/0!</v>
      </c>
    </row>
    <row r="10" spans="1:49" x14ac:dyDescent="0.2">
      <c r="A10" s="29"/>
      <c r="B10" s="30"/>
      <c r="C10" s="31"/>
      <c r="D10" s="31"/>
      <c r="E10" s="31"/>
      <c r="F10" s="32" t="e">
        <f t="shared" ref="F10:F23" si="12">(D10-E10)*100/(D10-C10)</f>
        <v>#DIV/0!</v>
      </c>
      <c r="G10" s="32"/>
      <c r="H10" s="32" t="e">
        <f t="shared" ref="H10:H23" si="13">20-(F10+G10)/5</f>
        <v>#DIV/0!</v>
      </c>
      <c r="I10" s="30"/>
      <c r="J10" s="33"/>
      <c r="K10" s="31"/>
      <c r="L10" s="34" t="e">
        <f t="shared" si="2"/>
        <v>#DIV/0!</v>
      </c>
      <c r="M10" s="29"/>
      <c r="N10" s="30"/>
      <c r="O10" s="33"/>
      <c r="P10" s="31"/>
      <c r="Q10" s="34" t="e">
        <f t="shared" si="3"/>
        <v>#DIV/0!</v>
      </c>
      <c r="R10" s="35"/>
      <c r="S10" s="33"/>
      <c r="T10" s="36"/>
      <c r="U10" s="34" t="e">
        <f t="shared" si="4"/>
        <v>#DIV/0!</v>
      </c>
      <c r="V10" s="30"/>
      <c r="W10" s="33"/>
      <c r="X10" s="31"/>
      <c r="Y10" s="29"/>
      <c r="Z10" s="34" t="e">
        <f t="shared" ref="Z10:Z23" si="14">(X10-W10)*100/H10</f>
        <v>#DIV/0!</v>
      </c>
      <c r="AA10" s="35"/>
      <c r="AB10" s="33"/>
      <c r="AC10" s="38"/>
      <c r="AD10" s="34" t="e">
        <f t="shared" si="5"/>
        <v>#DIV/0!</v>
      </c>
      <c r="AE10" s="35"/>
      <c r="AF10" s="33"/>
      <c r="AG10" s="36"/>
      <c r="AH10" s="34" t="e">
        <f t="shared" si="6"/>
        <v>#DIV/0!</v>
      </c>
      <c r="AI10" s="29"/>
      <c r="AJ10" s="35"/>
      <c r="AK10" s="33"/>
      <c r="AL10" s="36"/>
      <c r="AM10" s="34" t="e">
        <f t="shared" si="7"/>
        <v>#DIV/0!</v>
      </c>
      <c r="AN10" s="35"/>
      <c r="AO10" s="33"/>
      <c r="AP10" s="36"/>
      <c r="AQ10" s="34" t="e">
        <f t="shared" si="0"/>
        <v>#DIV/0!</v>
      </c>
      <c r="AR10" s="29"/>
      <c r="AS10" s="34" t="e">
        <f t="shared" si="8"/>
        <v>#DIV/0!</v>
      </c>
      <c r="AT10" s="34" t="e">
        <f t="shared" si="9"/>
        <v>#DIV/0!</v>
      </c>
      <c r="AU10" s="34" t="e">
        <f t="shared" si="10"/>
        <v>#DIV/0!</v>
      </c>
      <c r="AV10" s="34" t="e">
        <f t="shared" si="11"/>
        <v>#DIV/0!</v>
      </c>
      <c r="AW10" s="34" t="e">
        <f t="shared" si="1"/>
        <v>#DIV/0!</v>
      </c>
    </row>
    <row r="11" spans="1:49" x14ac:dyDescent="0.2">
      <c r="A11" s="29"/>
      <c r="B11" s="30"/>
      <c r="C11" s="31"/>
      <c r="D11" s="31"/>
      <c r="E11" s="31"/>
      <c r="F11" s="32" t="e">
        <f t="shared" si="12"/>
        <v>#DIV/0!</v>
      </c>
      <c r="G11" s="32"/>
      <c r="H11" s="32" t="e">
        <f t="shared" si="13"/>
        <v>#DIV/0!</v>
      </c>
      <c r="I11" s="30"/>
      <c r="J11" s="33"/>
      <c r="K11" s="31"/>
      <c r="L11" s="34" t="e">
        <f t="shared" si="2"/>
        <v>#DIV/0!</v>
      </c>
      <c r="M11" s="29"/>
      <c r="N11" s="30"/>
      <c r="O11" s="33"/>
      <c r="P11" s="31"/>
      <c r="Q11" s="34" t="e">
        <f t="shared" si="3"/>
        <v>#DIV/0!</v>
      </c>
      <c r="R11" s="35"/>
      <c r="S11" s="33"/>
      <c r="T11" s="36"/>
      <c r="U11" s="34" t="e">
        <f t="shared" si="4"/>
        <v>#DIV/0!</v>
      </c>
      <c r="V11" s="30"/>
      <c r="W11" s="33"/>
      <c r="X11" s="31"/>
      <c r="Y11" s="29"/>
      <c r="Z11" s="34" t="e">
        <f t="shared" si="14"/>
        <v>#DIV/0!</v>
      </c>
      <c r="AA11" s="35"/>
      <c r="AB11" s="33"/>
      <c r="AC11" s="38"/>
      <c r="AD11" s="34" t="e">
        <f t="shared" si="5"/>
        <v>#DIV/0!</v>
      </c>
      <c r="AE11" s="35"/>
      <c r="AF11" s="33"/>
      <c r="AG11" s="36"/>
      <c r="AH11" s="34" t="e">
        <f t="shared" si="6"/>
        <v>#DIV/0!</v>
      </c>
      <c r="AI11" s="29"/>
      <c r="AJ11" s="35"/>
      <c r="AK11" s="33"/>
      <c r="AL11" s="36"/>
      <c r="AM11" s="34" t="e">
        <f t="shared" si="7"/>
        <v>#DIV/0!</v>
      </c>
      <c r="AN11" s="35"/>
      <c r="AO11" s="33"/>
      <c r="AP11" s="36"/>
      <c r="AQ11" s="34" t="e">
        <f t="shared" si="0"/>
        <v>#DIV/0!</v>
      </c>
      <c r="AR11" s="29"/>
      <c r="AS11" s="34" t="e">
        <f t="shared" si="8"/>
        <v>#DIV/0!</v>
      </c>
      <c r="AT11" s="34" t="e">
        <f t="shared" si="9"/>
        <v>#DIV/0!</v>
      </c>
      <c r="AU11" s="34" t="e">
        <f t="shared" si="10"/>
        <v>#DIV/0!</v>
      </c>
      <c r="AV11" s="34" t="e">
        <f t="shared" si="11"/>
        <v>#DIV/0!</v>
      </c>
      <c r="AW11" s="34" t="e">
        <f t="shared" si="1"/>
        <v>#DIV/0!</v>
      </c>
    </row>
    <row r="12" spans="1:49" x14ac:dyDescent="0.2">
      <c r="A12" s="29"/>
      <c r="B12" s="30"/>
      <c r="C12" s="31"/>
      <c r="D12" s="31"/>
      <c r="E12" s="31"/>
      <c r="F12" s="32" t="e">
        <f t="shared" si="12"/>
        <v>#DIV/0!</v>
      </c>
      <c r="G12" s="32"/>
      <c r="H12" s="32" t="e">
        <f t="shared" si="13"/>
        <v>#DIV/0!</v>
      </c>
      <c r="I12" s="30"/>
      <c r="J12" s="33"/>
      <c r="K12" s="31"/>
      <c r="L12" s="34" t="e">
        <f t="shared" si="2"/>
        <v>#DIV/0!</v>
      </c>
      <c r="M12" s="29"/>
      <c r="N12" s="30"/>
      <c r="O12" s="33"/>
      <c r="P12" s="31"/>
      <c r="Q12" s="34" t="e">
        <f t="shared" si="3"/>
        <v>#DIV/0!</v>
      </c>
      <c r="R12" s="35"/>
      <c r="S12" s="33"/>
      <c r="T12" s="36"/>
      <c r="U12" s="34" t="e">
        <f t="shared" si="4"/>
        <v>#DIV/0!</v>
      </c>
      <c r="V12" s="30"/>
      <c r="W12" s="33"/>
      <c r="X12" s="31"/>
      <c r="Y12" s="29"/>
      <c r="Z12" s="34" t="e">
        <f t="shared" si="14"/>
        <v>#DIV/0!</v>
      </c>
      <c r="AA12" s="35"/>
      <c r="AB12" s="33"/>
      <c r="AC12" s="38"/>
      <c r="AD12" s="34" t="e">
        <f t="shared" si="5"/>
        <v>#DIV/0!</v>
      </c>
      <c r="AE12" s="35"/>
      <c r="AF12" s="33"/>
      <c r="AG12" s="36"/>
      <c r="AH12" s="34" t="e">
        <f t="shared" si="6"/>
        <v>#DIV/0!</v>
      </c>
      <c r="AI12" s="29"/>
      <c r="AJ12" s="35"/>
      <c r="AK12" s="33"/>
      <c r="AL12" s="36"/>
      <c r="AM12" s="34" t="e">
        <f t="shared" si="7"/>
        <v>#DIV/0!</v>
      </c>
      <c r="AN12" s="35"/>
      <c r="AO12" s="33"/>
      <c r="AP12" s="36"/>
      <c r="AQ12" s="34" t="e">
        <f t="shared" si="0"/>
        <v>#DIV/0!</v>
      </c>
      <c r="AR12" s="29"/>
      <c r="AS12" s="34" t="e">
        <f t="shared" si="8"/>
        <v>#DIV/0!</v>
      </c>
      <c r="AT12" s="34" t="e">
        <f t="shared" si="9"/>
        <v>#DIV/0!</v>
      </c>
      <c r="AU12" s="34" t="e">
        <f t="shared" si="10"/>
        <v>#DIV/0!</v>
      </c>
      <c r="AV12" s="34" t="e">
        <f t="shared" si="11"/>
        <v>#DIV/0!</v>
      </c>
      <c r="AW12" s="34" t="e">
        <f t="shared" si="1"/>
        <v>#DIV/0!</v>
      </c>
    </row>
    <row r="13" spans="1:49" x14ac:dyDescent="0.2">
      <c r="A13" s="29"/>
      <c r="B13" s="30"/>
      <c r="C13" s="31"/>
      <c r="D13" s="31"/>
      <c r="E13" s="31"/>
      <c r="F13" s="32" t="e">
        <f t="shared" si="12"/>
        <v>#DIV/0!</v>
      </c>
      <c r="G13" s="32"/>
      <c r="H13" s="32" t="e">
        <f t="shared" si="13"/>
        <v>#DIV/0!</v>
      </c>
      <c r="I13" s="30"/>
      <c r="J13" s="33"/>
      <c r="K13" s="31"/>
      <c r="L13" s="34" t="e">
        <f t="shared" si="2"/>
        <v>#DIV/0!</v>
      </c>
      <c r="M13" s="29"/>
      <c r="N13" s="30"/>
      <c r="O13" s="33"/>
      <c r="P13" s="31"/>
      <c r="Q13" s="34" t="e">
        <f t="shared" si="3"/>
        <v>#DIV/0!</v>
      </c>
      <c r="R13" s="35"/>
      <c r="S13" s="33"/>
      <c r="T13" s="36"/>
      <c r="U13" s="34" t="e">
        <f t="shared" si="4"/>
        <v>#DIV/0!</v>
      </c>
      <c r="V13" s="30"/>
      <c r="W13" s="33"/>
      <c r="X13" s="31"/>
      <c r="Y13" s="29"/>
      <c r="Z13" s="34" t="e">
        <f t="shared" si="14"/>
        <v>#DIV/0!</v>
      </c>
      <c r="AA13" s="35"/>
      <c r="AB13" s="33"/>
      <c r="AC13" s="38"/>
      <c r="AD13" s="34" t="e">
        <f t="shared" si="5"/>
        <v>#DIV/0!</v>
      </c>
      <c r="AE13" s="35"/>
      <c r="AF13" s="37"/>
      <c r="AG13" s="36"/>
      <c r="AH13" s="34" t="e">
        <f t="shared" si="6"/>
        <v>#DIV/0!</v>
      </c>
      <c r="AI13" s="29"/>
      <c r="AJ13" s="35"/>
      <c r="AK13" s="33"/>
      <c r="AL13" s="36"/>
      <c r="AM13" s="34" t="e">
        <f t="shared" si="7"/>
        <v>#DIV/0!</v>
      </c>
      <c r="AN13" s="35"/>
      <c r="AO13" s="33"/>
      <c r="AP13" s="36"/>
      <c r="AQ13" s="34" t="e">
        <f t="shared" si="0"/>
        <v>#DIV/0!</v>
      </c>
      <c r="AR13" s="29"/>
      <c r="AS13" s="34" t="e">
        <f t="shared" si="8"/>
        <v>#DIV/0!</v>
      </c>
      <c r="AT13" s="34" t="e">
        <f t="shared" si="9"/>
        <v>#DIV/0!</v>
      </c>
      <c r="AU13" s="34" t="e">
        <f t="shared" si="10"/>
        <v>#DIV/0!</v>
      </c>
      <c r="AV13" s="34" t="e">
        <f t="shared" si="11"/>
        <v>#DIV/0!</v>
      </c>
      <c r="AW13" s="34" t="e">
        <f t="shared" si="1"/>
        <v>#DIV/0!</v>
      </c>
    </row>
    <row r="14" spans="1:49" x14ac:dyDescent="0.2">
      <c r="A14" s="29"/>
      <c r="B14" s="30"/>
      <c r="C14" s="31"/>
      <c r="D14" s="31"/>
      <c r="E14" s="31"/>
      <c r="F14" s="32" t="e">
        <f t="shared" si="12"/>
        <v>#DIV/0!</v>
      </c>
      <c r="G14" s="32"/>
      <c r="H14" s="32" t="e">
        <f t="shared" si="13"/>
        <v>#DIV/0!</v>
      </c>
      <c r="I14" s="30"/>
      <c r="J14" s="33"/>
      <c r="K14" s="31"/>
      <c r="L14" s="34" t="e">
        <f t="shared" si="2"/>
        <v>#DIV/0!</v>
      </c>
      <c r="M14" s="29"/>
      <c r="N14" s="30"/>
      <c r="O14" s="33"/>
      <c r="P14" s="31"/>
      <c r="Q14" s="34" t="e">
        <f t="shared" si="3"/>
        <v>#DIV/0!</v>
      </c>
      <c r="R14" s="35"/>
      <c r="S14" s="33"/>
      <c r="T14" s="36"/>
      <c r="U14" s="34" t="e">
        <f t="shared" si="4"/>
        <v>#DIV/0!</v>
      </c>
      <c r="V14" s="30"/>
      <c r="W14" s="33"/>
      <c r="X14" s="31"/>
      <c r="Y14" s="29"/>
      <c r="Z14" s="34" t="e">
        <f t="shared" si="14"/>
        <v>#DIV/0!</v>
      </c>
      <c r="AA14" s="35"/>
      <c r="AB14" s="33"/>
      <c r="AC14" s="38"/>
      <c r="AD14" s="34" t="e">
        <f t="shared" si="5"/>
        <v>#DIV/0!</v>
      </c>
      <c r="AE14" s="35"/>
      <c r="AF14" s="33"/>
      <c r="AG14" s="36"/>
      <c r="AH14" s="34" t="e">
        <f t="shared" si="6"/>
        <v>#DIV/0!</v>
      </c>
      <c r="AI14" s="29"/>
      <c r="AJ14" s="35"/>
      <c r="AK14" s="33"/>
      <c r="AL14" s="36"/>
      <c r="AM14" s="34" t="e">
        <f t="shared" si="7"/>
        <v>#DIV/0!</v>
      </c>
      <c r="AN14" s="35"/>
      <c r="AO14" s="33"/>
      <c r="AP14" s="36"/>
      <c r="AQ14" s="34" t="e">
        <f t="shared" si="0"/>
        <v>#DIV/0!</v>
      </c>
      <c r="AR14" s="29"/>
      <c r="AS14" s="34" t="e">
        <f t="shared" si="8"/>
        <v>#DIV/0!</v>
      </c>
      <c r="AT14" s="34" t="e">
        <f t="shared" si="9"/>
        <v>#DIV/0!</v>
      </c>
      <c r="AU14" s="34" t="e">
        <f t="shared" si="10"/>
        <v>#DIV/0!</v>
      </c>
      <c r="AV14" s="34" t="e">
        <f t="shared" si="11"/>
        <v>#DIV/0!</v>
      </c>
      <c r="AW14" s="34" t="e">
        <f t="shared" si="1"/>
        <v>#DIV/0!</v>
      </c>
    </row>
    <row r="15" spans="1:49" ht="12" customHeight="1" x14ac:dyDescent="0.2">
      <c r="A15" s="29"/>
      <c r="B15" s="30"/>
      <c r="C15" s="31"/>
      <c r="D15" s="31"/>
      <c r="E15" s="31"/>
      <c r="F15" s="32" t="e">
        <f t="shared" si="12"/>
        <v>#DIV/0!</v>
      </c>
      <c r="G15" s="32"/>
      <c r="H15" s="32" t="e">
        <f t="shared" si="13"/>
        <v>#DIV/0!</v>
      </c>
      <c r="I15" s="30"/>
      <c r="J15" s="33"/>
      <c r="K15" s="31"/>
      <c r="L15" s="34" t="e">
        <f t="shared" si="2"/>
        <v>#DIV/0!</v>
      </c>
      <c r="M15" s="29"/>
      <c r="N15" s="30"/>
      <c r="O15" s="33"/>
      <c r="P15" s="31"/>
      <c r="Q15" s="34" t="e">
        <f t="shared" si="3"/>
        <v>#DIV/0!</v>
      </c>
      <c r="R15" s="35"/>
      <c r="S15" s="33"/>
      <c r="T15" s="36"/>
      <c r="U15" s="34" t="e">
        <f t="shared" si="4"/>
        <v>#DIV/0!</v>
      </c>
      <c r="V15" s="30"/>
      <c r="W15" s="33"/>
      <c r="X15" s="31"/>
      <c r="Y15" s="29"/>
      <c r="Z15" s="34" t="e">
        <f t="shared" si="14"/>
        <v>#DIV/0!</v>
      </c>
      <c r="AA15" s="35"/>
      <c r="AB15" s="33"/>
      <c r="AC15" s="38"/>
      <c r="AD15" s="34" t="e">
        <f t="shared" si="5"/>
        <v>#DIV/0!</v>
      </c>
      <c r="AE15" s="35"/>
      <c r="AF15" s="37"/>
      <c r="AG15" s="36"/>
      <c r="AH15" s="34" t="e">
        <f t="shared" si="6"/>
        <v>#DIV/0!</v>
      </c>
      <c r="AI15" s="29"/>
      <c r="AJ15" s="35"/>
      <c r="AK15" s="33"/>
      <c r="AL15" s="36"/>
      <c r="AM15" s="34" t="e">
        <f t="shared" si="7"/>
        <v>#DIV/0!</v>
      </c>
      <c r="AN15" s="35"/>
      <c r="AO15" s="33"/>
      <c r="AP15" s="36"/>
      <c r="AQ15" s="34" t="e">
        <f t="shared" si="0"/>
        <v>#DIV/0!</v>
      </c>
      <c r="AR15" s="29"/>
      <c r="AS15" s="34" t="e">
        <f t="shared" si="8"/>
        <v>#DIV/0!</v>
      </c>
      <c r="AT15" s="34" t="e">
        <f t="shared" si="9"/>
        <v>#DIV/0!</v>
      </c>
      <c r="AU15" s="34" t="e">
        <f t="shared" si="10"/>
        <v>#DIV/0!</v>
      </c>
      <c r="AV15" s="34" t="e">
        <f t="shared" si="11"/>
        <v>#DIV/0!</v>
      </c>
      <c r="AW15" s="34" t="e">
        <f t="shared" si="1"/>
        <v>#DIV/0!</v>
      </c>
    </row>
    <row r="16" spans="1:49" x14ac:dyDescent="0.2">
      <c r="A16" s="29"/>
      <c r="B16" s="30"/>
      <c r="C16" s="31"/>
      <c r="D16" s="31"/>
      <c r="E16" s="31"/>
      <c r="F16" s="32" t="e">
        <f t="shared" si="12"/>
        <v>#DIV/0!</v>
      </c>
      <c r="G16" s="32"/>
      <c r="H16" s="32" t="e">
        <f t="shared" si="13"/>
        <v>#DIV/0!</v>
      </c>
      <c r="I16" s="30"/>
      <c r="J16" s="33"/>
      <c r="K16" s="31"/>
      <c r="L16" s="34" t="e">
        <f t="shared" si="2"/>
        <v>#DIV/0!</v>
      </c>
      <c r="M16" s="29"/>
      <c r="N16" s="30"/>
      <c r="O16" s="33"/>
      <c r="P16" s="31"/>
      <c r="Q16" s="34" t="e">
        <f t="shared" si="3"/>
        <v>#DIV/0!</v>
      </c>
      <c r="R16" s="35"/>
      <c r="S16" s="33"/>
      <c r="T16" s="36"/>
      <c r="U16" s="34" t="e">
        <f t="shared" si="4"/>
        <v>#DIV/0!</v>
      </c>
      <c r="V16" s="30"/>
      <c r="W16" s="33"/>
      <c r="X16" s="31"/>
      <c r="Y16" s="29"/>
      <c r="Z16" s="34" t="e">
        <f t="shared" si="14"/>
        <v>#DIV/0!</v>
      </c>
      <c r="AA16" s="35"/>
      <c r="AB16" s="33"/>
      <c r="AC16" s="38"/>
      <c r="AD16" s="34" t="e">
        <f t="shared" si="5"/>
        <v>#DIV/0!</v>
      </c>
      <c r="AE16" s="35"/>
      <c r="AF16" s="33"/>
      <c r="AG16" s="36"/>
      <c r="AH16" s="34" t="e">
        <f t="shared" si="6"/>
        <v>#DIV/0!</v>
      </c>
      <c r="AI16" s="29"/>
      <c r="AJ16" s="35"/>
      <c r="AK16" s="33"/>
      <c r="AL16" s="36"/>
      <c r="AM16" s="34" t="e">
        <f t="shared" si="7"/>
        <v>#DIV/0!</v>
      </c>
      <c r="AN16" s="35"/>
      <c r="AO16" s="33"/>
      <c r="AP16" s="36"/>
      <c r="AQ16" s="34" t="e">
        <f t="shared" si="0"/>
        <v>#DIV/0!</v>
      </c>
      <c r="AR16" s="29"/>
      <c r="AS16" s="34" t="e">
        <f t="shared" si="8"/>
        <v>#DIV/0!</v>
      </c>
      <c r="AT16" s="34" t="e">
        <f t="shared" si="9"/>
        <v>#DIV/0!</v>
      </c>
      <c r="AU16" s="34" t="e">
        <f t="shared" si="10"/>
        <v>#DIV/0!</v>
      </c>
      <c r="AV16" s="34" t="e">
        <f t="shared" si="11"/>
        <v>#DIV/0!</v>
      </c>
      <c r="AW16" s="34" t="e">
        <f t="shared" si="1"/>
        <v>#DIV/0!</v>
      </c>
    </row>
    <row r="17" spans="1:49" x14ac:dyDescent="0.2">
      <c r="A17" s="29"/>
      <c r="B17" s="30"/>
      <c r="C17" s="31"/>
      <c r="D17" s="31"/>
      <c r="E17" s="31"/>
      <c r="F17" s="32" t="e">
        <f t="shared" si="12"/>
        <v>#DIV/0!</v>
      </c>
      <c r="G17" s="32"/>
      <c r="H17" s="32" t="e">
        <f t="shared" si="13"/>
        <v>#DIV/0!</v>
      </c>
      <c r="I17" s="30"/>
      <c r="J17" s="33"/>
      <c r="K17" s="31"/>
      <c r="L17" s="34" t="e">
        <f t="shared" si="2"/>
        <v>#DIV/0!</v>
      </c>
      <c r="M17" s="29"/>
      <c r="N17" s="30"/>
      <c r="O17" s="33"/>
      <c r="P17" s="31"/>
      <c r="Q17" s="34" t="e">
        <f t="shared" si="3"/>
        <v>#DIV/0!</v>
      </c>
      <c r="R17" s="35"/>
      <c r="S17" s="37"/>
      <c r="T17" s="36"/>
      <c r="U17" s="34" t="e">
        <f t="shared" si="4"/>
        <v>#DIV/0!</v>
      </c>
      <c r="V17" s="30"/>
      <c r="W17" s="33"/>
      <c r="X17" s="31"/>
      <c r="Y17" s="29"/>
      <c r="Z17" s="34" t="e">
        <f t="shared" si="14"/>
        <v>#DIV/0!</v>
      </c>
      <c r="AA17" s="35"/>
      <c r="AB17" s="33"/>
      <c r="AC17" s="38"/>
      <c r="AD17" s="34" t="e">
        <f t="shared" si="5"/>
        <v>#DIV/0!</v>
      </c>
      <c r="AE17" s="35"/>
      <c r="AF17" s="33"/>
      <c r="AG17" s="36"/>
      <c r="AH17" s="34" t="e">
        <f t="shared" si="6"/>
        <v>#DIV/0!</v>
      </c>
      <c r="AI17" s="29"/>
      <c r="AJ17" s="35"/>
      <c r="AK17" s="33"/>
      <c r="AL17" s="36"/>
      <c r="AM17" s="34" t="e">
        <f t="shared" si="7"/>
        <v>#DIV/0!</v>
      </c>
      <c r="AN17" s="35"/>
      <c r="AO17" s="33"/>
      <c r="AP17" s="36"/>
      <c r="AQ17" s="34" t="e">
        <f t="shared" si="0"/>
        <v>#DIV/0!</v>
      </c>
      <c r="AR17" s="29"/>
      <c r="AS17" s="34" t="e">
        <f t="shared" si="8"/>
        <v>#DIV/0!</v>
      </c>
      <c r="AT17" s="34" t="e">
        <f t="shared" si="9"/>
        <v>#DIV/0!</v>
      </c>
      <c r="AU17" s="34" t="e">
        <f t="shared" si="10"/>
        <v>#DIV/0!</v>
      </c>
      <c r="AV17" s="34" t="e">
        <f t="shared" si="11"/>
        <v>#DIV/0!</v>
      </c>
      <c r="AW17" s="34" t="e">
        <f t="shared" si="1"/>
        <v>#DIV/0!</v>
      </c>
    </row>
    <row r="18" spans="1:49" x14ac:dyDescent="0.2">
      <c r="A18" s="29"/>
      <c r="B18" s="30"/>
      <c r="C18" s="31"/>
      <c r="D18" s="31"/>
      <c r="E18" s="31"/>
      <c r="F18" s="32" t="e">
        <f t="shared" si="12"/>
        <v>#DIV/0!</v>
      </c>
      <c r="G18" s="32"/>
      <c r="H18" s="32" t="e">
        <f t="shared" si="13"/>
        <v>#DIV/0!</v>
      </c>
      <c r="I18" s="30"/>
      <c r="J18" s="33"/>
      <c r="K18" s="31"/>
      <c r="L18" s="34" t="e">
        <f t="shared" si="2"/>
        <v>#DIV/0!</v>
      </c>
      <c r="M18" s="29"/>
      <c r="N18" s="30"/>
      <c r="O18" s="33"/>
      <c r="P18" s="31"/>
      <c r="Q18" s="34" t="e">
        <f t="shared" si="3"/>
        <v>#DIV/0!</v>
      </c>
      <c r="R18" s="35"/>
      <c r="S18" s="37"/>
      <c r="T18" s="36"/>
      <c r="U18" s="34" t="e">
        <f t="shared" si="4"/>
        <v>#DIV/0!</v>
      </c>
      <c r="V18" s="30"/>
      <c r="W18" s="33"/>
      <c r="X18" s="31"/>
      <c r="Y18" s="29"/>
      <c r="Z18" s="34" t="e">
        <f t="shared" si="14"/>
        <v>#DIV/0!</v>
      </c>
      <c r="AA18" s="35"/>
      <c r="AB18" s="33"/>
      <c r="AC18" s="38"/>
      <c r="AD18" s="34" t="e">
        <f t="shared" si="5"/>
        <v>#DIV/0!</v>
      </c>
      <c r="AE18" s="35"/>
      <c r="AF18" s="33"/>
      <c r="AG18" s="36"/>
      <c r="AH18" s="34" t="e">
        <f t="shared" si="6"/>
        <v>#DIV/0!</v>
      </c>
      <c r="AI18" s="29"/>
      <c r="AJ18" s="35"/>
      <c r="AK18" s="33"/>
      <c r="AL18" s="36"/>
      <c r="AM18" s="34" t="e">
        <f t="shared" si="7"/>
        <v>#DIV/0!</v>
      </c>
      <c r="AN18" s="35"/>
      <c r="AO18" s="33"/>
      <c r="AP18" s="36"/>
      <c r="AQ18" s="34" t="e">
        <f t="shared" si="0"/>
        <v>#DIV/0!</v>
      </c>
      <c r="AR18" s="29"/>
      <c r="AS18" s="34" t="e">
        <f t="shared" si="8"/>
        <v>#DIV/0!</v>
      </c>
      <c r="AT18" s="34" t="e">
        <f t="shared" si="9"/>
        <v>#DIV/0!</v>
      </c>
      <c r="AU18" s="34" t="e">
        <f t="shared" si="10"/>
        <v>#DIV/0!</v>
      </c>
      <c r="AV18" s="34" t="e">
        <f t="shared" si="11"/>
        <v>#DIV/0!</v>
      </c>
      <c r="AW18" s="34" t="e">
        <f t="shared" si="1"/>
        <v>#DIV/0!</v>
      </c>
    </row>
    <row r="19" spans="1:49" x14ac:dyDescent="0.2">
      <c r="A19" s="29"/>
      <c r="B19" s="30"/>
      <c r="C19" s="31"/>
      <c r="D19" s="31"/>
      <c r="E19" s="31"/>
      <c r="F19" s="32" t="e">
        <f t="shared" si="12"/>
        <v>#DIV/0!</v>
      </c>
      <c r="G19" s="32"/>
      <c r="H19" s="32" t="e">
        <f t="shared" si="13"/>
        <v>#DIV/0!</v>
      </c>
      <c r="I19" s="30"/>
      <c r="J19" s="33"/>
      <c r="K19" s="31"/>
      <c r="L19" s="34" t="e">
        <f t="shared" si="2"/>
        <v>#DIV/0!</v>
      </c>
      <c r="M19" s="29"/>
      <c r="N19" s="30"/>
      <c r="O19" s="33"/>
      <c r="P19" s="31"/>
      <c r="Q19" s="34" t="e">
        <f t="shared" si="3"/>
        <v>#DIV/0!</v>
      </c>
      <c r="R19" s="35"/>
      <c r="S19" s="33"/>
      <c r="T19" s="36"/>
      <c r="U19" s="34" t="e">
        <f t="shared" si="4"/>
        <v>#DIV/0!</v>
      </c>
      <c r="V19" s="30"/>
      <c r="W19" s="33"/>
      <c r="X19" s="31"/>
      <c r="Y19" s="29"/>
      <c r="Z19" s="34" t="e">
        <f t="shared" si="14"/>
        <v>#DIV/0!</v>
      </c>
      <c r="AA19" s="35"/>
      <c r="AB19" s="33"/>
      <c r="AC19" s="38"/>
      <c r="AD19" s="34" t="e">
        <f t="shared" si="5"/>
        <v>#DIV/0!</v>
      </c>
      <c r="AE19" s="35"/>
      <c r="AF19" s="33"/>
      <c r="AG19" s="36"/>
      <c r="AH19" s="34" t="e">
        <f t="shared" si="6"/>
        <v>#DIV/0!</v>
      </c>
      <c r="AI19" s="29"/>
      <c r="AJ19" s="35"/>
      <c r="AK19" s="33"/>
      <c r="AL19" s="36"/>
      <c r="AM19" s="34" t="e">
        <f t="shared" si="7"/>
        <v>#DIV/0!</v>
      </c>
      <c r="AN19" s="35"/>
      <c r="AO19" s="33"/>
      <c r="AP19" s="36"/>
      <c r="AQ19" s="34" t="e">
        <f t="shared" si="0"/>
        <v>#DIV/0!</v>
      </c>
      <c r="AR19" s="29"/>
      <c r="AS19" s="34" t="e">
        <f t="shared" si="8"/>
        <v>#DIV/0!</v>
      </c>
      <c r="AT19" s="34" t="e">
        <f t="shared" si="9"/>
        <v>#DIV/0!</v>
      </c>
      <c r="AU19" s="34" t="e">
        <f t="shared" si="10"/>
        <v>#DIV/0!</v>
      </c>
      <c r="AV19" s="34" t="e">
        <f t="shared" si="11"/>
        <v>#DIV/0!</v>
      </c>
      <c r="AW19" s="34" t="e">
        <f t="shared" si="1"/>
        <v>#DIV/0!</v>
      </c>
    </row>
    <row r="20" spans="1:49" ht="11.25" customHeight="1" x14ac:dyDescent="0.2">
      <c r="A20" s="29"/>
      <c r="B20" s="30"/>
      <c r="C20" s="31"/>
      <c r="D20" s="31"/>
      <c r="E20" s="31"/>
      <c r="F20" s="32" t="e">
        <f t="shared" si="12"/>
        <v>#DIV/0!</v>
      </c>
      <c r="G20" s="32"/>
      <c r="H20" s="32" t="e">
        <f t="shared" si="13"/>
        <v>#DIV/0!</v>
      </c>
      <c r="I20" s="30"/>
      <c r="J20" s="33"/>
      <c r="K20" s="31"/>
      <c r="L20" s="34" t="e">
        <f t="shared" si="2"/>
        <v>#DIV/0!</v>
      </c>
      <c r="M20" s="29"/>
      <c r="N20" s="30"/>
      <c r="O20" s="33"/>
      <c r="P20" s="31"/>
      <c r="Q20" s="34" t="e">
        <f t="shared" si="3"/>
        <v>#DIV/0!</v>
      </c>
      <c r="R20" s="35"/>
      <c r="S20" s="33"/>
      <c r="T20" s="36"/>
      <c r="U20" s="34" t="e">
        <f t="shared" si="4"/>
        <v>#DIV/0!</v>
      </c>
      <c r="V20" s="30"/>
      <c r="W20" s="33"/>
      <c r="X20" s="31"/>
      <c r="Y20" s="29"/>
      <c r="Z20" s="34" t="e">
        <f t="shared" si="14"/>
        <v>#DIV/0!</v>
      </c>
      <c r="AA20" s="35"/>
      <c r="AB20" s="33"/>
      <c r="AC20" s="38"/>
      <c r="AD20" s="34" t="e">
        <f t="shared" si="5"/>
        <v>#DIV/0!</v>
      </c>
      <c r="AE20" s="35"/>
      <c r="AF20" s="33"/>
      <c r="AG20" s="36"/>
      <c r="AH20" s="34" t="e">
        <f t="shared" si="6"/>
        <v>#DIV/0!</v>
      </c>
      <c r="AI20" s="29"/>
      <c r="AJ20" s="35"/>
      <c r="AK20" s="33"/>
      <c r="AL20" s="36"/>
      <c r="AM20" s="34" t="e">
        <f t="shared" si="7"/>
        <v>#DIV/0!</v>
      </c>
      <c r="AN20" s="35"/>
      <c r="AO20" s="33"/>
      <c r="AP20" s="36"/>
      <c r="AQ20" s="34" t="e">
        <f t="shared" si="0"/>
        <v>#DIV/0!</v>
      </c>
      <c r="AR20" s="29"/>
      <c r="AS20" s="34" t="e">
        <f t="shared" si="8"/>
        <v>#DIV/0!</v>
      </c>
      <c r="AT20" s="34" t="e">
        <f t="shared" si="9"/>
        <v>#DIV/0!</v>
      </c>
      <c r="AU20" s="34" t="e">
        <f t="shared" si="10"/>
        <v>#DIV/0!</v>
      </c>
      <c r="AV20" s="34" t="e">
        <f t="shared" si="11"/>
        <v>#DIV/0!</v>
      </c>
      <c r="AW20" s="34" t="e">
        <f t="shared" si="1"/>
        <v>#DIV/0!</v>
      </c>
    </row>
    <row r="21" spans="1:49" hidden="1" x14ac:dyDescent="0.2">
      <c r="A21" s="29"/>
      <c r="B21" s="30"/>
      <c r="C21" s="31"/>
      <c r="D21" s="31"/>
      <c r="E21" s="31"/>
      <c r="F21" s="32" t="e">
        <f t="shared" si="12"/>
        <v>#DIV/0!</v>
      </c>
      <c r="G21" s="32"/>
      <c r="H21" s="32" t="e">
        <f t="shared" si="13"/>
        <v>#DIV/0!</v>
      </c>
      <c r="I21" s="30"/>
      <c r="J21" s="33"/>
      <c r="K21" s="31"/>
      <c r="L21" s="34" t="e">
        <f t="shared" si="2"/>
        <v>#DIV/0!</v>
      </c>
      <c r="M21" s="29"/>
      <c r="N21" s="30"/>
      <c r="O21" s="33"/>
      <c r="P21" s="31"/>
      <c r="Q21" s="34" t="e">
        <f t="shared" si="3"/>
        <v>#DIV/0!</v>
      </c>
      <c r="R21" s="35"/>
      <c r="S21" s="34"/>
      <c r="T21" s="36"/>
      <c r="U21" s="34" t="e">
        <f t="shared" si="4"/>
        <v>#DIV/0!</v>
      </c>
      <c r="V21" s="30"/>
      <c r="W21" s="33"/>
      <c r="X21" s="31"/>
      <c r="Y21" s="29"/>
      <c r="Z21" s="34" t="e">
        <f t="shared" si="14"/>
        <v>#DIV/0!</v>
      </c>
      <c r="AA21" s="35"/>
      <c r="AB21" s="34"/>
      <c r="AC21" s="38"/>
      <c r="AD21" s="34" t="e">
        <f t="shared" si="5"/>
        <v>#DIV/0!</v>
      </c>
      <c r="AE21" s="35"/>
      <c r="AF21" s="34"/>
      <c r="AG21" s="36"/>
      <c r="AH21" s="34" t="e">
        <f t="shared" si="6"/>
        <v>#DIV/0!</v>
      </c>
      <c r="AI21" s="29"/>
      <c r="AJ21" s="35"/>
      <c r="AK21" s="34"/>
      <c r="AL21" s="36"/>
      <c r="AM21" s="34" t="e">
        <f t="shared" si="7"/>
        <v>#DIV/0!</v>
      </c>
      <c r="AN21" s="35"/>
      <c r="AO21" s="34"/>
      <c r="AP21" s="36"/>
      <c r="AQ21" s="34" t="e">
        <f t="shared" si="0"/>
        <v>#DIV/0!</v>
      </c>
      <c r="AR21" s="29"/>
      <c r="AS21" s="34" t="e">
        <f t="shared" si="8"/>
        <v>#DIV/0!</v>
      </c>
      <c r="AT21" s="34" t="e">
        <f t="shared" si="9"/>
        <v>#DIV/0!</v>
      </c>
      <c r="AU21" s="34" t="e">
        <f t="shared" si="10"/>
        <v>#DIV/0!</v>
      </c>
      <c r="AV21" s="34" t="e">
        <f t="shared" si="11"/>
        <v>#DIV/0!</v>
      </c>
      <c r="AW21" s="34" t="e">
        <f t="shared" si="1"/>
        <v>#DIV/0!</v>
      </c>
    </row>
    <row r="22" spans="1:49" x14ac:dyDescent="0.2">
      <c r="A22" s="29"/>
      <c r="B22" s="30"/>
      <c r="C22" s="31"/>
      <c r="D22" s="31"/>
      <c r="E22" s="31"/>
      <c r="F22" s="32" t="e">
        <f t="shared" si="12"/>
        <v>#DIV/0!</v>
      </c>
      <c r="G22" s="32"/>
      <c r="H22" s="32" t="e">
        <f t="shared" si="13"/>
        <v>#DIV/0!</v>
      </c>
      <c r="I22" s="30"/>
      <c r="J22" s="33"/>
      <c r="K22" s="31"/>
      <c r="L22" s="34" t="e">
        <f t="shared" si="2"/>
        <v>#DIV/0!</v>
      </c>
      <c r="M22" s="29"/>
      <c r="N22" s="30"/>
      <c r="O22" s="33"/>
      <c r="P22" s="31"/>
      <c r="Q22" s="34" t="e">
        <f t="shared" si="3"/>
        <v>#DIV/0!</v>
      </c>
      <c r="R22" s="35"/>
      <c r="S22" s="33"/>
      <c r="T22" s="36"/>
      <c r="U22" s="34" t="e">
        <f t="shared" si="4"/>
        <v>#DIV/0!</v>
      </c>
      <c r="V22" s="30"/>
      <c r="W22" s="33"/>
      <c r="X22" s="31"/>
      <c r="Y22" s="29"/>
      <c r="Z22" s="34" t="e">
        <f t="shared" si="14"/>
        <v>#DIV/0!</v>
      </c>
      <c r="AA22" s="35"/>
      <c r="AB22" s="33"/>
      <c r="AC22" s="38"/>
      <c r="AD22" s="34" t="e">
        <f t="shared" si="5"/>
        <v>#DIV/0!</v>
      </c>
      <c r="AE22" s="35"/>
      <c r="AF22" s="33"/>
      <c r="AG22" s="36"/>
      <c r="AH22" s="34" t="e">
        <f t="shared" si="6"/>
        <v>#DIV/0!</v>
      </c>
      <c r="AI22" s="29"/>
      <c r="AJ22" s="35"/>
      <c r="AK22" s="33"/>
      <c r="AL22" s="36"/>
      <c r="AM22" s="34" t="e">
        <f t="shared" si="7"/>
        <v>#DIV/0!</v>
      </c>
      <c r="AN22" s="35"/>
      <c r="AO22" s="33"/>
      <c r="AP22" s="36"/>
      <c r="AQ22" s="34" t="e">
        <f t="shared" si="0"/>
        <v>#DIV/0!</v>
      </c>
      <c r="AR22" s="29"/>
      <c r="AS22" s="34" t="e">
        <f t="shared" si="8"/>
        <v>#DIV/0!</v>
      </c>
      <c r="AT22" s="34" t="e">
        <f t="shared" si="9"/>
        <v>#DIV/0!</v>
      </c>
      <c r="AU22" s="34" t="e">
        <f t="shared" si="10"/>
        <v>#DIV/0!</v>
      </c>
      <c r="AV22" s="34" t="e">
        <f t="shared" si="11"/>
        <v>#DIV/0!</v>
      </c>
      <c r="AW22" s="34" t="e">
        <f t="shared" si="1"/>
        <v>#DIV/0!</v>
      </c>
    </row>
    <row r="23" spans="1:49" x14ac:dyDescent="0.2">
      <c r="A23" s="29"/>
      <c r="B23" s="30"/>
      <c r="C23" s="31"/>
      <c r="D23" s="31"/>
      <c r="E23" s="31"/>
      <c r="F23" s="32" t="e">
        <f t="shared" si="12"/>
        <v>#DIV/0!</v>
      </c>
      <c r="G23" s="32"/>
      <c r="H23" s="32" t="e">
        <f t="shared" si="13"/>
        <v>#DIV/0!</v>
      </c>
      <c r="I23" s="30"/>
      <c r="J23" s="33"/>
      <c r="K23" s="31"/>
      <c r="L23" s="34" t="e">
        <f t="shared" si="2"/>
        <v>#DIV/0!</v>
      </c>
      <c r="M23" s="29"/>
      <c r="N23" s="30"/>
      <c r="O23" s="33"/>
      <c r="P23" s="31"/>
      <c r="Q23" s="34" t="e">
        <f t="shared" si="3"/>
        <v>#DIV/0!</v>
      </c>
      <c r="R23" s="35"/>
      <c r="S23" s="34"/>
      <c r="T23" s="36"/>
      <c r="U23" s="34" t="e">
        <f t="shared" si="4"/>
        <v>#DIV/0!</v>
      </c>
      <c r="V23" s="30"/>
      <c r="W23" s="33"/>
      <c r="X23" s="31"/>
      <c r="Y23" s="29"/>
      <c r="Z23" s="34" t="e">
        <f t="shared" si="14"/>
        <v>#DIV/0!</v>
      </c>
      <c r="AA23" s="35"/>
      <c r="AB23" s="34"/>
      <c r="AC23" s="38"/>
      <c r="AD23" s="34" t="e">
        <f t="shared" si="5"/>
        <v>#DIV/0!</v>
      </c>
      <c r="AE23" s="35"/>
      <c r="AF23" s="34"/>
      <c r="AG23" s="36"/>
      <c r="AH23" s="34" t="e">
        <f t="shared" si="6"/>
        <v>#DIV/0!</v>
      </c>
      <c r="AI23" s="29"/>
      <c r="AJ23" s="35"/>
      <c r="AK23" s="34"/>
      <c r="AL23" s="36"/>
      <c r="AM23" s="34" t="e">
        <f t="shared" si="7"/>
        <v>#DIV/0!</v>
      </c>
      <c r="AN23" s="35"/>
      <c r="AO23" s="34"/>
      <c r="AP23" s="36"/>
      <c r="AQ23" s="34" t="e">
        <f t="shared" si="0"/>
        <v>#DIV/0!</v>
      </c>
      <c r="AR23" s="29"/>
      <c r="AS23" s="34" t="e">
        <f>(Z23+AD23+AH23+AM23+AQ23)</f>
        <v>#DIV/0!</v>
      </c>
      <c r="AT23" s="34" t="e">
        <f>100-(AU23+AS23+L23)</f>
        <v>#DIV/0!</v>
      </c>
      <c r="AU23" s="34" t="e">
        <f>(U23-L23)</f>
        <v>#DIV/0!</v>
      </c>
      <c r="AV23" s="34" t="e">
        <f>(AT23+AU23)</f>
        <v>#DIV/0!</v>
      </c>
      <c r="AW23" s="34" t="e">
        <f>AS23+Q23</f>
        <v>#DIV/0!</v>
      </c>
    </row>
    <row r="24" spans="1:49" x14ac:dyDescent="0.2">
      <c r="C24" s="22"/>
      <c r="D24" s="22"/>
      <c r="E24" s="22"/>
      <c r="I24" s="20"/>
      <c r="J24" s="40"/>
      <c r="L24" s="27"/>
      <c r="O24" s="40"/>
      <c r="Q24" s="27"/>
      <c r="S24" s="27"/>
      <c r="U24" s="27"/>
      <c r="V24" s="20"/>
      <c r="W24" s="40"/>
      <c r="Z24" s="27"/>
      <c r="AB24" s="27"/>
      <c r="AD24" s="27"/>
      <c r="AF24" s="27"/>
      <c r="AH24" s="27"/>
      <c r="AK24" s="27"/>
      <c r="AM24" s="27"/>
      <c r="AO24" s="27"/>
      <c r="AQ24" s="27"/>
      <c r="AS24" s="27"/>
      <c r="AT24" s="27"/>
      <c r="AU24" s="27"/>
      <c r="AV24" s="27"/>
      <c r="AW24" s="27"/>
    </row>
    <row r="25" spans="1:49" x14ac:dyDescent="0.2">
      <c r="C25" s="22"/>
      <c r="D25" s="22"/>
      <c r="E25" s="22"/>
      <c r="I25" s="20"/>
      <c r="J25" s="40"/>
      <c r="L25" s="27"/>
      <c r="O25" s="40"/>
      <c r="Q25" s="27"/>
      <c r="S25" s="27"/>
      <c r="U25" s="27"/>
      <c r="V25" s="20"/>
      <c r="W25" s="40"/>
      <c r="Z25" s="27"/>
      <c r="AB25" s="27"/>
      <c r="AD25" s="27"/>
      <c r="AF25" s="27"/>
      <c r="AH25" s="27"/>
      <c r="AK25" s="27"/>
      <c r="AM25" s="27"/>
      <c r="AO25" s="27"/>
      <c r="AQ25" s="27"/>
      <c r="AS25" s="27"/>
      <c r="AT25" s="27"/>
      <c r="AU25" s="27"/>
      <c r="AV25" s="27"/>
      <c r="AW25" s="27"/>
    </row>
    <row r="26" spans="1:49" x14ac:dyDescent="0.2">
      <c r="B26" s="20" t="s">
        <v>81</v>
      </c>
      <c r="C26" s="22"/>
      <c r="D26" s="22"/>
      <c r="E26" s="22"/>
      <c r="I26" s="20"/>
      <c r="J26" s="40"/>
      <c r="L26" s="27"/>
      <c r="O26" s="40"/>
      <c r="Q26" s="27"/>
      <c r="S26" s="27"/>
      <c r="U26" s="27"/>
      <c r="V26" s="20"/>
      <c r="W26" s="40"/>
      <c r="Z26" s="27"/>
      <c r="AB26" s="27"/>
      <c r="AD26" s="27"/>
      <c r="AF26" s="27"/>
      <c r="AH26" s="27"/>
      <c r="AK26" s="27"/>
      <c r="AM26" s="27"/>
      <c r="AO26" s="27"/>
      <c r="AQ26" s="27"/>
      <c r="AS26" s="27"/>
      <c r="AT26" s="27"/>
      <c r="AU26" s="27"/>
      <c r="AV26" s="27"/>
      <c r="AW26" s="27"/>
    </row>
    <row r="27" spans="1:49" x14ac:dyDescent="0.2">
      <c r="C27" s="22"/>
      <c r="D27" s="22"/>
      <c r="E27" s="22"/>
      <c r="I27" s="20"/>
      <c r="J27" s="40"/>
      <c r="L27" s="27"/>
      <c r="O27" s="40"/>
      <c r="Q27" s="27"/>
      <c r="S27" s="27"/>
      <c r="U27" s="27"/>
      <c r="V27" s="20"/>
      <c r="W27" s="40"/>
      <c r="Z27" s="27"/>
      <c r="AB27" s="27"/>
      <c r="AD27" s="27"/>
      <c r="AF27" s="27"/>
      <c r="AH27" s="27"/>
      <c r="AK27" s="27"/>
      <c r="AM27" s="27"/>
      <c r="AO27" s="27"/>
      <c r="AQ27" s="27"/>
      <c r="AS27" s="27"/>
      <c r="AT27" s="27"/>
      <c r="AU27" s="27"/>
      <c r="AV27" s="27"/>
      <c r="AW27" s="27"/>
    </row>
    <row r="28" spans="1:49" x14ac:dyDescent="0.2">
      <c r="B28" s="20" t="s">
        <v>82</v>
      </c>
      <c r="C28" s="22"/>
      <c r="D28" s="22"/>
      <c r="E28" s="22"/>
      <c r="I28" s="20"/>
      <c r="J28" s="40"/>
      <c r="L28" s="27"/>
      <c r="O28" s="40"/>
      <c r="Q28" s="27"/>
      <c r="S28" s="27"/>
      <c r="U28" s="27"/>
      <c r="V28" s="20"/>
      <c r="W28" s="40"/>
      <c r="Z28" s="27"/>
      <c r="AB28" s="27"/>
      <c r="AD28" s="27"/>
      <c r="AF28" s="27"/>
      <c r="AH28" s="27"/>
      <c r="AK28" s="27"/>
      <c r="AM28" s="27"/>
      <c r="AO28" s="27"/>
      <c r="AQ28" s="27"/>
      <c r="AS28" s="27"/>
      <c r="AT28" s="27"/>
      <c r="AU28" s="27"/>
      <c r="AV28" s="27"/>
      <c r="AW28" s="27"/>
    </row>
    <row r="29" spans="1:49" x14ac:dyDescent="0.2">
      <c r="C29" s="22"/>
      <c r="D29" s="22"/>
      <c r="E29" s="22"/>
      <c r="I29" s="20"/>
      <c r="J29" s="40"/>
      <c r="L29" s="27"/>
      <c r="O29" s="40"/>
      <c r="Q29" s="27"/>
      <c r="S29" s="27"/>
      <c r="U29" s="27"/>
      <c r="V29" s="20"/>
      <c r="W29" s="40"/>
      <c r="Z29" s="27"/>
      <c r="AB29" s="27"/>
      <c r="AD29" s="27"/>
      <c r="AF29" s="27"/>
      <c r="AH29" s="27"/>
      <c r="AK29" s="27"/>
      <c r="AM29" s="27"/>
      <c r="AO29" s="27"/>
      <c r="AQ29" s="27"/>
      <c r="AS29" s="27"/>
      <c r="AT29" s="27"/>
      <c r="AU29" s="27"/>
      <c r="AV29" s="27"/>
      <c r="AW29" s="27"/>
    </row>
    <row r="30" spans="1:49" x14ac:dyDescent="0.2">
      <c r="C30" s="22"/>
      <c r="D30" s="22"/>
      <c r="E30" s="22"/>
      <c r="I30" s="20"/>
      <c r="O30" s="40"/>
      <c r="V30" s="20"/>
    </row>
    <row r="31" spans="1:49" x14ac:dyDescent="0.2">
      <c r="C31" s="22"/>
      <c r="D31" s="22"/>
      <c r="E31" s="22"/>
      <c r="I31" s="20"/>
      <c r="O31" s="40"/>
      <c r="V31" s="20"/>
    </row>
    <row r="32" spans="1:49" x14ac:dyDescent="0.2">
      <c r="C32" s="22"/>
      <c r="D32" s="22"/>
      <c r="E32" s="22"/>
      <c r="I32" s="20"/>
      <c r="O32" s="40"/>
      <c r="V32" s="20"/>
    </row>
    <row r="33" spans="3:22" x14ac:dyDescent="0.2">
      <c r="C33" s="22"/>
      <c r="D33" s="22"/>
      <c r="E33" s="22"/>
      <c r="I33" s="20"/>
      <c r="O33" s="40"/>
      <c r="V33" s="20"/>
    </row>
    <row r="34" spans="3:22" x14ac:dyDescent="0.2">
      <c r="I34" s="20"/>
      <c r="O34" s="40"/>
      <c r="V34" s="20"/>
    </row>
    <row r="35" spans="3:22" x14ac:dyDescent="0.2">
      <c r="I35" s="20"/>
      <c r="O35" s="40"/>
      <c r="V35" s="20"/>
    </row>
    <row r="36" spans="3:22" x14ac:dyDescent="0.2">
      <c r="I36" s="20"/>
      <c r="O36" s="40"/>
      <c r="V36" s="20"/>
    </row>
    <row r="37" spans="3:22" x14ac:dyDescent="0.2">
      <c r="I37" s="20"/>
      <c r="O37" s="40"/>
      <c r="V37" s="20"/>
    </row>
    <row r="38" spans="3:22" x14ac:dyDescent="0.2">
      <c r="I38" s="20"/>
      <c r="O38" s="40"/>
      <c r="V38" s="20"/>
    </row>
    <row r="39" spans="3:22" x14ac:dyDescent="0.2">
      <c r="I39" s="20"/>
      <c r="V39" s="20"/>
    </row>
    <row r="40" spans="3:22" x14ac:dyDescent="0.2">
      <c r="I40" s="20"/>
      <c r="V40" s="20"/>
    </row>
    <row r="41" spans="3:22" x14ac:dyDescent="0.2">
      <c r="I41" s="20"/>
      <c r="V41" s="20"/>
    </row>
    <row r="42" spans="3:22" x14ac:dyDescent="0.2">
      <c r="I42" s="20"/>
      <c r="V42" s="20"/>
    </row>
    <row r="43" spans="3:22" x14ac:dyDescent="0.2">
      <c r="I43" s="20"/>
    </row>
    <row r="44" spans="3:22" x14ac:dyDescent="0.2">
      <c r="I44" s="20"/>
    </row>
    <row r="45" spans="3:22" x14ac:dyDescent="0.2">
      <c r="I45" s="20"/>
    </row>
    <row r="46" spans="3:22" x14ac:dyDescent="0.2">
      <c r="I46" s="20"/>
    </row>
    <row r="47" spans="3:22" x14ac:dyDescent="0.2">
      <c r="I47" s="20"/>
    </row>
    <row r="48" spans="3:22" x14ac:dyDescent="0.2">
      <c r="I48" s="20"/>
    </row>
    <row r="49" spans="9:9" hidden="1" x14ac:dyDescent="0.2">
      <c r="I49" s="20"/>
    </row>
    <row r="50" spans="9:9" x14ac:dyDescent="0.2">
      <c r="I50" s="20"/>
    </row>
    <row r="51" spans="9:9" x14ac:dyDescent="0.2">
      <c r="I51" s="20"/>
    </row>
    <row r="52" spans="9:9" x14ac:dyDescent="0.2">
      <c r="I52" s="20"/>
    </row>
  </sheetData>
  <printOptions horizontalCentered="1" verticalCentered="1"/>
  <pageMargins left="0.75" right="0.75" top="1" bottom="1" header="0.51181102362204722" footer="0.51181102362204722"/>
  <pageSetup paperSize="9" orientation="landscape" horizontalDpi="300" verticalDpi="300" r:id="rId1"/>
  <headerFooter alignWithMargins="0">
    <oddHeader>&amp;L&amp;"Arial,Negrita"&amp;8&amp;P&amp;C&amp;"Arial,Negrita"&amp;8Textura USDA completa&amp;R&amp;"Arial,Negrita"       &amp;D</oddHeader>
    <oddFooter>Página &amp;P de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6:AF24"/>
  <sheetViews>
    <sheetView workbookViewId="0">
      <selection activeCell="AA2" sqref="AA2"/>
    </sheetView>
  </sheetViews>
  <sheetFormatPr baseColWidth="10" defaultColWidth="11.42578125" defaultRowHeight="12.75" x14ac:dyDescent="0.2"/>
  <cols>
    <col min="1" max="5" width="11.42578125" style="20"/>
    <col min="6" max="8" width="11.42578125" style="21"/>
    <col min="9" max="9" width="15.7109375" style="21" customWidth="1"/>
    <col min="10" max="10" width="11.42578125" style="20"/>
    <col min="11" max="11" width="10.7109375" style="21" customWidth="1"/>
    <col min="12" max="13" width="11.42578125" style="22"/>
    <col min="14" max="14" width="15.28515625" style="21" customWidth="1"/>
    <col min="15" max="15" width="13.42578125" style="20" customWidth="1"/>
    <col min="16" max="17" width="13.5703125" style="22" customWidth="1"/>
    <col min="18" max="18" width="11.42578125" style="20"/>
    <col min="19" max="19" width="13.5703125" style="21" customWidth="1"/>
    <col min="20" max="20" width="13.28515625" style="21" customWidth="1"/>
    <col min="21" max="22" width="11.42578125" style="21"/>
    <col min="23" max="23" width="17.42578125" style="21" customWidth="1"/>
    <col min="24" max="24" width="15.7109375" style="21" customWidth="1"/>
    <col min="25" max="25" width="11.42578125" style="20"/>
    <col min="26" max="26" width="11.42578125" style="21"/>
    <col min="27" max="27" width="13.85546875" style="21" customWidth="1"/>
    <col min="28" max="28" width="14" style="21" customWidth="1"/>
    <col min="29" max="29" width="12.140625" style="21" customWidth="1"/>
    <col min="30" max="31" width="11.42578125" style="21"/>
    <col min="32" max="32" width="13.5703125" style="21" customWidth="1"/>
    <col min="33" max="16384" width="11.42578125" style="21"/>
  </cols>
  <sheetData>
    <row r="6" spans="1:32" s="23" customFormat="1" x14ac:dyDescent="0.2">
      <c r="A6" s="41" t="s">
        <v>8</v>
      </c>
      <c r="B6" s="41" t="s">
        <v>62</v>
      </c>
      <c r="C6" s="41" t="s">
        <v>63</v>
      </c>
      <c r="D6" s="41" t="s">
        <v>64</v>
      </c>
      <c r="E6" s="41" t="s">
        <v>65</v>
      </c>
      <c r="F6" s="23" t="s">
        <v>33</v>
      </c>
      <c r="G6" s="23" t="s">
        <v>13</v>
      </c>
      <c r="H6" s="23" t="s">
        <v>83</v>
      </c>
      <c r="I6" s="23" t="s">
        <v>34</v>
      </c>
      <c r="J6" s="41" t="s">
        <v>8</v>
      </c>
      <c r="K6" s="23" t="s">
        <v>14</v>
      </c>
      <c r="L6" s="42" t="s">
        <v>15</v>
      </c>
      <c r="M6" s="42" t="s">
        <v>16</v>
      </c>
      <c r="N6" s="23" t="s">
        <v>84</v>
      </c>
      <c r="O6" s="41" t="s">
        <v>18</v>
      </c>
      <c r="P6" s="42" t="s">
        <v>19</v>
      </c>
      <c r="Q6" s="42" t="s">
        <v>20</v>
      </c>
      <c r="R6" s="41" t="s">
        <v>8</v>
      </c>
      <c r="S6" s="23" t="s">
        <v>85</v>
      </c>
      <c r="T6" s="23" t="s">
        <v>86</v>
      </c>
      <c r="U6" s="23" t="s">
        <v>23</v>
      </c>
      <c r="V6" s="23" t="s">
        <v>24</v>
      </c>
      <c r="W6" s="23" t="s">
        <v>87</v>
      </c>
      <c r="X6" s="23" t="s">
        <v>77</v>
      </c>
      <c r="Y6" s="41" t="s">
        <v>8</v>
      </c>
      <c r="Z6" s="23" t="s">
        <v>80</v>
      </c>
      <c r="AA6" s="23" t="s">
        <v>88</v>
      </c>
      <c r="AB6" s="23" t="s">
        <v>89</v>
      </c>
      <c r="AC6" s="23" t="s">
        <v>90</v>
      </c>
      <c r="AD6" s="23" t="s">
        <v>91</v>
      </c>
      <c r="AE6" s="23" t="s">
        <v>92</v>
      </c>
      <c r="AF6" s="23" t="s">
        <v>93</v>
      </c>
    </row>
    <row r="7" spans="1:32" x14ac:dyDescent="0.2">
      <c r="A7" s="30"/>
      <c r="B7" s="30"/>
      <c r="C7" s="3"/>
      <c r="D7" s="31"/>
      <c r="E7" s="31"/>
      <c r="F7" s="32" t="e">
        <f>(D7-E7)*100/(D7-C7)</f>
        <v>#DIV/0!</v>
      </c>
      <c r="G7" s="32"/>
      <c r="H7" s="32"/>
      <c r="I7" s="32" t="e">
        <f>20-(F7+G7+H7)/5</f>
        <v>#DIV/0!</v>
      </c>
      <c r="J7" s="30"/>
      <c r="K7" s="30"/>
      <c r="L7" s="33"/>
      <c r="M7" s="31"/>
      <c r="N7" s="32" t="e">
        <f>(M7-L7-0.0353)*(50000/20)/I7</f>
        <v>#DIV/0!</v>
      </c>
      <c r="O7" s="30"/>
      <c r="P7" s="37"/>
      <c r="Q7" s="31"/>
      <c r="R7" s="30"/>
      <c r="S7" s="32" t="e">
        <f>(Q7-P7-0.0353)*(50000/20)/I7</f>
        <v>#DIV/0!</v>
      </c>
      <c r="T7" s="30"/>
      <c r="U7" s="37"/>
      <c r="V7" s="32"/>
      <c r="W7" s="32" t="e">
        <f>(V7-U7)*100/I7</f>
        <v>#DIV/0!</v>
      </c>
      <c r="X7" s="32" t="e">
        <f>100-(N7+W7+AD7)</f>
        <v>#DIV/0!</v>
      </c>
      <c r="Y7" s="30"/>
      <c r="Z7" s="32" t="e">
        <f>W7+S7+AD7</f>
        <v>#DIV/0!</v>
      </c>
      <c r="AA7" s="30"/>
      <c r="AB7" s="33"/>
      <c r="AC7" s="31"/>
      <c r="AD7" s="32" t="e">
        <f>(AC7-AB7)*100/I7</f>
        <v>#DIV/0!</v>
      </c>
      <c r="AE7" s="32" t="e">
        <f>AD7+W7</f>
        <v>#DIV/0!</v>
      </c>
      <c r="AF7" s="32" t="e">
        <f>100-AD7</f>
        <v>#DIV/0!</v>
      </c>
    </row>
    <row r="8" spans="1:32" x14ac:dyDescent="0.2">
      <c r="A8" s="30"/>
      <c r="B8" s="30"/>
      <c r="C8" s="3"/>
      <c r="D8" s="31"/>
      <c r="E8" s="31"/>
      <c r="F8" s="32" t="e">
        <f>(D8-E8)*100/(D8-C8)</f>
        <v>#DIV/0!</v>
      </c>
      <c r="G8" s="32"/>
      <c r="H8" s="32"/>
      <c r="I8" s="32" t="e">
        <f t="shared" ref="I8:I15" si="0">20-(F8+G8+H8)/5</f>
        <v>#DIV/0!</v>
      </c>
      <c r="J8" s="30"/>
      <c r="K8" s="30"/>
      <c r="L8" s="33"/>
      <c r="M8" s="31"/>
      <c r="N8" s="32" t="e">
        <f t="shared" ref="N8:N15" si="1">(M8-L8-0.0353)*(50000/20)/I8</f>
        <v>#DIV/0!</v>
      </c>
      <c r="O8" s="30"/>
      <c r="P8" s="33"/>
      <c r="Q8" s="31"/>
      <c r="R8" s="30"/>
      <c r="S8" s="32" t="e">
        <f t="shared" ref="S8:S15" si="2">(Q8-P8-0.0353)*(50000/20)/I8</f>
        <v>#DIV/0!</v>
      </c>
      <c r="T8" s="30"/>
      <c r="U8" s="33"/>
      <c r="V8" s="32"/>
      <c r="W8" s="32" t="e">
        <f>(V8-U8)*100/I8</f>
        <v>#DIV/0!</v>
      </c>
      <c r="X8" s="32" t="e">
        <f t="shared" ref="X8:X15" si="3">100-(N8+W8+AD8)</f>
        <v>#DIV/0!</v>
      </c>
      <c r="Y8" s="30"/>
      <c r="Z8" s="32" t="e">
        <f t="shared" ref="Z8:Z15" si="4">W8+S8+AD8</f>
        <v>#DIV/0!</v>
      </c>
      <c r="AA8" s="30"/>
      <c r="AB8" s="33"/>
      <c r="AC8" s="31"/>
      <c r="AD8" s="32" t="e">
        <f t="shared" ref="AD8:AD15" si="5">(AC8-AB8)*100/I8</f>
        <v>#DIV/0!</v>
      </c>
      <c r="AE8" s="32" t="e">
        <f t="shared" ref="AE8:AE15" si="6">AD8+W8</f>
        <v>#DIV/0!</v>
      </c>
      <c r="AF8" s="32" t="e">
        <f>100-AD8</f>
        <v>#DIV/0!</v>
      </c>
    </row>
    <row r="9" spans="1:32" x14ac:dyDescent="0.2">
      <c r="A9" s="30"/>
      <c r="B9" s="30"/>
      <c r="C9" s="3"/>
      <c r="D9" s="31"/>
      <c r="E9" s="31"/>
      <c r="F9" s="32" t="e">
        <f t="shared" ref="F9:F15" si="7">(D9-E9)*100/(D9-C9)</f>
        <v>#DIV/0!</v>
      </c>
      <c r="G9" s="32"/>
      <c r="H9" s="32"/>
      <c r="I9" s="32" t="e">
        <f t="shared" si="0"/>
        <v>#DIV/0!</v>
      </c>
      <c r="J9" s="30"/>
      <c r="K9" s="30"/>
      <c r="L9" s="33"/>
      <c r="M9" s="31"/>
      <c r="N9" s="32" t="e">
        <f t="shared" si="1"/>
        <v>#DIV/0!</v>
      </c>
      <c r="O9" s="30"/>
      <c r="P9" s="33"/>
      <c r="Q9" s="31"/>
      <c r="R9" s="30"/>
      <c r="S9" s="32" t="e">
        <f t="shared" si="2"/>
        <v>#DIV/0!</v>
      </c>
      <c r="T9" s="30"/>
      <c r="U9" s="33"/>
      <c r="V9" s="32"/>
      <c r="W9" s="32" t="e">
        <f t="shared" ref="W9:W15" si="8">(V9-U9)*100/I9</f>
        <v>#DIV/0!</v>
      </c>
      <c r="X9" s="32" t="e">
        <f t="shared" si="3"/>
        <v>#DIV/0!</v>
      </c>
      <c r="Y9" s="30"/>
      <c r="Z9" s="32" t="e">
        <f t="shared" si="4"/>
        <v>#DIV/0!</v>
      </c>
      <c r="AA9" s="30"/>
      <c r="AB9" s="37"/>
      <c r="AC9" s="31"/>
      <c r="AD9" s="32" t="e">
        <f t="shared" si="5"/>
        <v>#DIV/0!</v>
      </c>
      <c r="AE9" s="32" t="e">
        <f t="shared" si="6"/>
        <v>#DIV/0!</v>
      </c>
      <c r="AF9" s="32" t="e">
        <f t="shared" ref="AF9:AF15" si="9">100-AD9</f>
        <v>#DIV/0!</v>
      </c>
    </row>
    <row r="10" spans="1:32" x14ac:dyDescent="0.2">
      <c r="A10" s="30"/>
      <c r="B10" s="30"/>
      <c r="C10" s="31"/>
      <c r="D10" s="31"/>
      <c r="E10" s="31"/>
      <c r="F10" s="32" t="e">
        <f t="shared" si="7"/>
        <v>#DIV/0!</v>
      </c>
      <c r="G10" s="32"/>
      <c r="H10" s="32"/>
      <c r="I10" s="32" t="e">
        <f t="shared" si="0"/>
        <v>#DIV/0!</v>
      </c>
      <c r="J10" s="30"/>
      <c r="K10" s="30"/>
      <c r="L10" s="33"/>
      <c r="M10" s="31"/>
      <c r="N10" s="32" t="e">
        <f t="shared" si="1"/>
        <v>#DIV/0!</v>
      </c>
      <c r="O10" s="30"/>
      <c r="P10" s="33"/>
      <c r="Q10" s="31"/>
      <c r="R10" s="30"/>
      <c r="S10" s="32" t="e">
        <f t="shared" si="2"/>
        <v>#DIV/0!</v>
      </c>
      <c r="T10" s="30"/>
      <c r="U10" s="33"/>
      <c r="V10" s="32"/>
      <c r="W10" s="32" t="e">
        <f t="shared" si="8"/>
        <v>#DIV/0!</v>
      </c>
      <c r="X10" s="32" t="e">
        <f t="shared" si="3"/>
        <v>#DIV/0!</v>
      </c>
      <c r="Y10" s="30"/>
      <c r="Z10" s="32" t="e">
        <f t="shared" si="4"/>
        <v>#DIV/0!</v>
      </c>
      <c r="AA10" s="30"/>
      <c r="AB10" s="33"/>
      <c r="AC10" s="32"/>
      <c r="AD10" s="32" t="e">
        <f t="shared" si="5"/>
        <v>#DIV/0!</v>
      </c>
      <c r="AE10" s="32" t="e">
        <f t="shared" si="6"/>
        <v>#DIV/0!</v>
      </c>
      <c r="AF10" s="32" t="e">
        <f t="shared" si="9"/>
        <v>#DIV/0!</v>
      </c>
    </row>
    <row r="11" spans="1:32" x14ac:dyDescent="0.2">
      <c r="A11" s="30"/>
      <c r="B11" s="30"/>
      <c r="C11" s="31"/>
      <c r="D11" s="31"/>
      <c r="E11" s="31"/>
      <c r="F11" s="32" t="e">
        <f t="shared" si="7"/>
        <v>#DIV/0!</v>
      </c>
      <c r="G11" s="32"/>
      <c r="H11" s="32"/>
      <c r="I11" s="32" t="e">
        <f t="shared" si="0"/>
        <v>#DIV/0!</v>
      </c>
      <c r="J11" s="30"/>
      <c r="K11" s="30"/>
      <c r="L11" s="33"/>
      <c r="M11" s="31"/>
      <c r="N11" s="32" t="e">
        <f t="shared" si="1"/>
        <v>#DIV/0!</v>
      </c>
      <c r="O11" s="30"/>
      <c r="P11" s="33"/>
      <c r="Q11" s="31"/>
      <c r="R11" s="30"/>
      <c r="S11" s="32" t="e">
        <f t="shared" si="2"/>
        <v>#DIV/0!</v>
      </c>
      <c r="T11" s="30"/>
      <c r="U11" s="33"/>
      <c r="V11" s="32"/>
      <c r="W11" s="32" t="e">
        <f t="shared" si="8"/>
        <v>#DIV/0!</v>
      </c>
      <c r="X11" s="32" t="e">
        <f t="shared" si="3"/>
        <v>#DIV/0!</v>
      </c>
      <c r="Y11" s="30"/>
      <c r="Z11" s="32" t="e">
        <f t="shared" si="4"/>
        <v>#DIV/0!</v>
      </c>
      <c r="AA11" s="32"/>
      <c r="AB11" s="33"/>
      <c r="AC11" s="32"/>
      <c r="AD11" s="32" t="e">
        <f t="shared" si="5"/>
        <v>#DIV/0!</v>
      </c>
      <c r="AE11" s="32" t="e">
        <f t="shared" si="6"/>
        <v>#DIV/0!</v>
      </c>
      <c r="AF11" s="32" t="e">
        <f t="shared" si="9"/>
        <v>#DIV/0!</v>
      </c>
    </row>
    <row r="12" spans="1:32" x14ac:dyDescent="0.2">
      <c r="A12" s="30"/>
      <c r="B12" s="30"/>
      <c r="C12" s="31"/>
      <c r="D12" s="31"/>
      <c r="E12" s="31"/>
      <c r="F12" s="32" t="e">
        <f t="shared" si="7"/>
        <v>#DIV/0!</v>
      </c>
      <c r="G12" s="32"/>
      <c r="H12" s="32"/>
      <c r="I12" s="32" t="e">
        <f t="shared" si="0"/>
        <v>#DIV/0!</v>
      </c>
      <c r="J12" s="30"/>
      <c r="K12" s="30"/>
      <c r="L12" s="33"/>
      <c r="M12" s="31"/>
      <c r="N12" s="32" t="e">
        <f t="shared" si="1"/>
        <v>#DIV/0!</v>
      </c>
      <c r="O12" s="30"/>
      <c r="P12" s="33"/>
      <c r="Q12" s="31"/>
      <c r="R12" s="30"/>
      <c r="S12" s="32" t="e">
        <f t="shared" si="2"/>
        <v>#DIV/0!</v>
      </c>
      <c r="T12" s="30"/>
      <c r="U12" s="37"/>
      <c r="V12" s="32"/>
      <c r="W12" s="32" t="e">
        <f t="shared" si="8"/>
        <v>#DIV/0!</v>
      </c>
      <c r="X12" s="32" t="e">
        <f t="shared" si="3"/>
        <v>#DIV/0!</v>
      </c>
      <c r="Y12" s="30"/>
      <c r="Z12" s="32" t="e">
        <f t="shared" si="4"/>
        <v>#DIV/0!</v>
      </c>
      <c r="AA12" s="32"/>
      <c r="AB12" s="33"/>
      <c r="AC12" s="32"/>
      <c r="AD12" s="32" t="e">
        <f t="shared" si="5"/>
        <v>#DIV/0!</v>
      </c>
      <c r="AE12" s="32" t="e">
        <f t="shared" si="6"/>
        <v>#DIV/0!</v>
      </c>
      <c r="AF12" s="32" t="e">
        <f t="shared" si="9"/>
        <v>#DIV/0!</v>
      </c>
    </row>
    <row r="13" spans="1:32" x14ac:dyDescent="0.2">
      <c r="A13" s="30"/>
      <c r="B13" s="30"/>
      <c r="C13" s="31"/>
      <c r="D13" s="31"/>
      <c r="E13" s="31"/>
      <c r="F13" s="32" t="e">
        <f t="shared" si="7"/>
        <v>#DIV/0!</v>
      </c>
      <c r="G13" s="32"/>
      <c r="H13" s="32"/>
      <c r="I13" s="32" t="e">
        <f t="shared" si="0"/>
        <v>#DIV/0!</v>
      </c>
      <c r="J13" s="30"/>
      <c r="K13" s="30"/>
      <c r="L13" s="33"/>
      <c r="M13" s="31"/>
      <c r="N13" s="32" t="e">
        <f t="shared" si="1"/>
        <v>#DIV/0!</v>
      </c>
      <c r="O13" s="30"/>
      <c r="P13" s="33"/>
      <c r="Q13" s="31"/>
      <c r="R13" s="30"/>
      <c r="S13" s="32" t="e">
        <f t="shared" si="2"/>
        <v>#DIV/0!</v>
      </c>
      <c r="T13" s="30"/>
      <c r="U13" s="33"/>
      <c r="V13" s="32"/>
      <c r="W13" s="32" t="e">
        <f t="shared" si="8"/>
        <v>#DIV/0!</v>
      </c>
      <c r="X13" s="32" t="e">
        <f t="shared" si="3"/>
        <v>#DIV/0!</v>
      </c>
      <c r="Y13" s="30"/>
      <c r="Z13" s="32" t="e">
        <f t="shared" si="4"/>
        <v>#DIV/0!</v>
      </c>
      <c r="AA13" s="32"/>
      <c r="AB13" s="32"/>
      <c r="AC13" s="32"/>
      <c r="AD13" s="32" t="e">
        <f t="shared" si="5"/>
        <v>#DIV/0!</v>
      </c>
      <c r="AE13" s="32" t="e">
        <f t="shared" si="6"/>
        <v>#DIV/0!</v>
      </c>
      <c r="AF13" s="32" t="e">
        <f t="shared" si="9"/>
        <v>#DIV/0!</v>
      </c>
    </row>
    <row r="14" spans="1:32" x14ac:dyDescent="0.2">
      <c r="A14" s="30"/>
      <c r="B14" s="30"/>
      <c r="C14" s="31"/>
      <c r="D14" s="31"/>
      <c r="E14" s="31"/>
      <c r="F14" s="32" t="e">
        <f t="shared" si="7"/>
        <v>#DIV/0!</v>
      </c>
      <c r="G14" s="32"/>
      <c r="H14" s="32"/>
      <c r="I14" s="32" t="e">
        <f t="shared" si="0"/>
        <v>#DIV/0!</v>
      </c>
      <c r="J14" s="30"/>
      <c r="K14" s="30"/>
      <c r="L14" s="33"/>
      <c r="M14" s="31"/>
      <c r="N14" s="32" t="e">
        <f t="shared" si="1"/>
        <v>#DIV/0!</v>
      </c>
      <c r="O14" s="30"/>
      <c r="P14" s="33"/>
      <c r="Q14" s="31"/>
      <c r="R14" s="30"/>
      <c r="S14" s="32" t="e">
        <f t="shared" si="2"/>
        <v>#DIV/0!</v>
      </c>
      <c r="T14" s="30"/>
      <c r="U14" s="33"/>
      <c r="V14" s="32"/>
      <c r="W14" s="32" t="e">
        <f t="shared" si="8"/>
        <v>#DIV/0!</v>
      </c>
      <c r="X14" s="32" t="e">
        <f t="shared" si="3"/>
        <v>#DIV/0!</v>
      </c>
      <c r="Y14" s="30"/>
      <c r="Z14" s="32" t="e">
        <f t="shared" si="4"/>
        <v>#DIV/0!</v>
      </c>
      <c r="AA14" s="32"/>
      <c r="AB14" s="32"/>
      <c r="AC14" s="32"/>
      <c r="AD14" s="32" t="e">
        <f t="shared" si="5"/>
        <v>#DIV/0!</v>
      </c>
      <c r="AE14" s="32" t="e">
        <f t="shared" si="6"/>
        <v>#DIV/0!</v>
      </c>
      <c r="AF14" s="32" t="e">
        <f t="shared" si="9"/>
        <v>#DIV/0!</v>
      </c>
    </row>
    <row r="15" spans="1:32" x14ac:dyDescent="0.2">
      <c r="A15" s="30"/>
      <c r="B15" s="30"/>
      <c r="C15" s="31"/>
      <c r="D15" s="31"/>
      <c r="E15" s="31"/>
      <c r="F15" s="32" t="e">
        <f t="shared" si="7"/>
        <v>#DIV/0!</v>
      </c>
      <c r="G15" s="32"/>
      <c r="H15" s="32"/>
      <c r="I15" s="32" t="e">
        <f t="shared" si="0"/>
        <v>#DIV/0!</v>
      </c>
      <c r="J15" s="30"/>
      <c r="K15" s="30"/>
      <c r="L15" s="3"/>
      <c r="M15" s="31"/>
      <c r="N15" s="32" t="e">
        <f t="shared" si="1"/>
        <v>#DIV/0!</v>
      </c>
      <c r="O15" s="30"/>
      <c r="P15" s="33"/>
      <c r="Q15" s="31"/>
      <c r="R15" s="30"/>
      <c r="S15" s="32" t="e">
        <f t="shared" si="2"/>
        <v>#DIV/0!</v>
      </c>
      <c r="T15" s="30"/>
      <c r="U15" s="3"/>
      <c r="V15" s="32"/>
      <c r="W15" s="32" t="e">
        <f t="shared" si="8"/>
        <v>#DIV/0!</v>
      </c>
      <c r="X15" s="32" t="e">
        <f t="shared" si="3"/>
        <v>#DIV/0!</v>
      </c>
      <c r="Y15" s="30"/>
      <c r="Z15" s="32" t="e">
        <f t="shared" si="4"/>
        <v>#DIV/0!</v>
      </c>
      <c r="AA15" s="32"/>
      <c r="AB15" s="32"/>
      <c r="AC15" s="32"/>
      <c r="AD15" s="32" t="e">
        <f t="shared" si="5"/>
        <v>#DIV/0!</v>
      </c>
      <c r="AE15" s="32" t="e">
        <f t="shared" si="6"/>
        <v>#DIV/0!</v>
      </c>
      <c r="AF15" s="32" t="e">
        <f t="shared" si="9"/>
        <v>#DIV/0!</v>
      </c>
    </row>
    <row r="16" spans="1:32" x14ac:dyDescent="0.2">
      <c r="K16" s="20"/>
    </row>
    <row r="17" spans="11:11" x14ac:dyDescent="0.2">
      <c r="K17" s="20"/>
    </row>
    <row r="18" spans="11:11" x14ac:dyDescent="0.2">
      <c r="K18" s="20"/>
    </row>
    <row r="19" spans="11:11" x14ac:dyDescent="0.2">
      <c r="K19" s="20"/>
    </row>
    <row r="20" spans="11:11" x14ac:dyDescent="0.2">
      <c r="K20" s="20"/>
    </row>
    <row r="21" spans="11:11" x14ac:dyDescent="0.2">
      <c r="K21" s="20"/>
    </row>
    <row r="22" spans="11:11" x14ac:dyDescent="0.2">
      <c r="K22" s="20"/>
    </row>
    <row r="23" spans="11:11" x14ac:dyDescent="0.2">
      <c r="K23" s="20"/>
    </row>
    <row r="24" spans="11:11" x14ac:dyDescent="0.2">
      <c r="K24" s="20"/>
    </row>
  </sheetData>
  <pageMargins left="0.75" right="0.75" top="1" bottom="1" header="0.511811024" footer="0.511811024"/>
  <pageSetup paperSize="9" orientation="portrait" horizontalDpi="300" verticalDpi="300" r:id="rId1"/>
  <headerFooter alignWithMargins="0">
    <oddHeader>&amp;L&amp;"Arial,Negrita"&amp;8&amp;P&amp;C&amp;"Arial,Negrita"&amp;8Textura WEPAL&amp;R&amp;"Arial,Negrita"&amp;8&amp;D</oddHeader>
    <oddFooter>Página 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3:AI53"/>
  <sheetViews>
    <sheetView workbookViewId="0">
      <selection activeCell="AA2" sqref="AA2"/>
    </sheetView>
  </sheetViews>
  <sheetFormatPr baseColWidth="10" defaultColWidth="11.42578125" defaultRowHeight="12.75" x14ac:dyDescent="0.2"/>
  <cols>
    <col min="1" max="1" width="11.42578125" style="19"/>
    <col min="2" max="5" width="11.42578125" style="20"/>
    <col min="6" max="7" width="11.42578125" style="21"/>
    <col min="8" max="8" width="15.7109375" style="21" customWidth="1"/>
    <col min="9" max="9" width="11.42578125" style="19"/>
    <col min="10" max="10" width="10.7109375" style="21" customWidth="1"/>
    <col min="11" max="11" width="11.42578125" style="22"/>
    <col min="12" max="12" width="12.85546875" style="22" customWidth="1"/>
    <col min="13" max="13" width="15" style="21" customWidth="1"/>
    <col min="14" max="14" width="13.42578125" style="20" customWidth="1"/>
    <col min="15" max="16" width="13.5703125" style="22" customWidth="1"/>
    <col min="17" max="17" width="11.42578125" style="19"/>
    <col min="18" max="18" width="13.5703125" style="21" customWidth="1"/>
    <col min="19" max="19" width="13.42578125" style="20" customWidth="1"/>
    <col min="20" max="21" width="13.5703125" style="22" customWidth="1"/>
    <col min="22" max="22" width="13.5703125" style="21" customWidth="1"/>
    <col min="23" max="23" width="10.7109375" style="21" customWidth="1"/>
    <col min="24" max="24" width="11.42578125" style="21"/>
    <col min="25" max="25" width="11.42578125" style="19"/>
    <col min="26" max="26" width="11.42578125" style="21"/>
    <col min="27" max="27" width="19.7109375" style="21" customWidth="1"/>
    <col min="28" max="28" width="12.28515625" style="21" customWidth="1"/>
    <col min="29" max="29" width="12.7109375" style="21" customWidth="1"/>
    <col min="30" max="30" width="11.42578125" style="21"/>
    <col min="31" max="31" width="19.7109375" style="21" customWidth="1"/>
    <col min="32" max="32" width="11.42578125" style="20"/>
    <col min="33" max="33" width="15.7109375" style="21" customWidth="1"/>
    <col min="34" max="34" width="10.5703125" style="21" customWidth="1"/>
    <col min="35" max="35" width="23.42578125" style="21" customWidth="1"/>
    <col min="36" max="16384" width="11.42578125" style="21"/>
  </cols>
  <sheetData>
    <row r="3" spans="1:35" x14ac:dyDescent="0.2">
      <c r="M3" s="23" t="s">
        <v>56</v>
      </c>
      <c r="R3" s="23" t="s">
        <v>59</v>
      </c>
      <c r="V3" s="23" t="s">
        <v>58</v>
      </c>
    </row>
    <row r="4" spans="1:35" s="23" customFormat="1" ht="12" customHeight="1" x14ac:dyDescent="0.2">
      <c r="A4" s="41" t="s">
        <v>8</v>
      </c>
      <c r="B4" s="41" t="s">
        <v>62</v>
      </c>
      <c r="C4" s="41" t="s">
        <v>63</v>
      </c>
      <c r="D4" s="41" t="s">
        <v>64</v>
      </c>
      <c r="E4" s="41" t="s">
        <v>65</v>
      </c>
      <c r="F4" s="23" t="s">
        <v>33</v>
      </c>
      <c r="G4" s="23" t="s">
        <v>13</v>
      </c>
      <c r="H4" s="23" t="s">
        <v>34</v>
      </c>
      <c r="I4" s="41" t="s">
        <v>8</v>
      </c>
      <c r="J4" s="23" t="s">
        <v>14</v>
      </c>
      <c r="K4" s="42" t="s">
        <v>15</v>
      </c>
      <c r="L4" s="42" t="s">
        <v>35</v>
      </c>
      <c r="M4" s="23" t="s">
        <v>84</v>
      </c>
      <c r="N4" s="41" t="s">
        <v>37</v>
      </c>
      <c r="O4" s="42" t="s">
        <v>38</v>
      </c>
      <c r="P4" s="42" t="s">
        <v>94</v>
      </c>
      <c r="Q4" s="41" t="s">
        <v>8</v>
      </c>
      <c r="R4" s="23" t="s">
        <v>95</v>
      </c>
      <c r="S4" s="41" t="s">
        <v>41</v>
      </c>
      <c r="T4" s="42" t="s">
        <v>42</v>
      </c>
      <c r="U4" s="42" t="s">
        <v>96</v>
      </c>
      <c r="V4" s="23" t="s">
        <v>97</v>
      </c>
      <c r="W4" s="23" t="s">
        <v>22</v>
      </c>
      <c r="X4" s="23" t="s">
        <v>23</v>
      </c>
      <c r="Y4" s="41" t="s">
        <v>8</v>
      </c>
      <c r="Z4" s="23" t="s">
        <v>24</v>
      </c>
      <c r="AA4" s="23" t="s">
        <v>98</v>
      </c>
      <c r="AB4" s="23" t="s">
        <v>49</v>
      </c>
      <c r="AC4" s="23" t="s">
        <v>50</v>
      </c>
      <c r="AD4" s="23" t="s">
        <v>51</v>
      </c>
      <c r="AE4" s="23" t="s">
        <v>99</v>
      </c>
      <c r="AF4" s="41" t="s">
        <v>8</v>
      </c>
      <c r="AG4" s="23" t="s">
        <v>100</v>
      </c>
      <c r="AH4" s="23" t="s">
        <v>101</v>
      </c>
      <c r="AI4" s="23" t="s">
        <v>102</v>
      </c>
    </row>
    <row r="5" spans="1:35" x14ac:dyDescent="0.2">
      <c r="A5" s="29"/>
      <c r="B5" s="30"/>
      <c r="C5" s="3"/>
      <c r="D5" s="31"/>
      <c r="E5" s="31"/>
      <c r="F5" s="32" t="e">
        <f t="shared" ref="F5:F23" si="0">(D5-E5)*100/(D5-C5)</f>
        <v>#DIV/0!</v>
      </c>
      <c r="G5" s="32"/>
      <c r="H5" s="32" t="e">
        <f t="shared" ref="H5:H23" si="1">20-(F5+G5)/5</f>
        <v>#DIV/0!</v>
      </c>
      <c r="I5" s="29"/>
      <c r="J5" s="30"/>
      <c r="K5" s="3"/>
      <c r="L5" s="31"/>
      <c r="M5" s="34" t="e">
        <f>(L5-K5-0.0187)*(50000/20)/H5</f>
        <v>#DIV/0!</v>
      </c>
      <c r="N5" s="30"/>
      <c r="O5" s="3"/>
      <c r="P5" s="31"/>
      <c r="Q5" s="29"/>
      <c r="R5" s="34" t="e">
        <f>(P5-O5-0.0187)*(50000/20)/H5</f>
        <v>#DIV/0!</v>
      </c>
      <c r="S5" s="30"/>
      <c r="T5" s="3"/>
      <c r="U5" s="31"/>
      <c r="V5" s="34" t="e">
        <f>(U5-T5-0.0187)*(50000/20)/H5</f>
        <v>#DIV/0!</v>
      </c>
      <c r="W5" s="30"/>
      <c r="X5" s="3"/>
      <c r="Y5" s="29"/>
      <c r="Z5" s="32"/>
      <c r="AA5" s="34" t="e">
        <f t="shared" ref="AA5:AA23" si="2">(Z5-X5)*100/H5</f>
        <v>#DIV/0!</v>
      </c>
      <c r="AB5" s="30"/>
      <c r="AC5" s="3"/>
      <c r="AD5" s="32"/>
      <c r="AE5" s="34" t="e">
        <f>(AD5-AC5)*100/H5</f>
        <v>#DIV/0!</v>
      </c>
      <c r="AF5" s="29"/>
      <c r="AG5" s="34" t="e">
        <f>R5-M5</f>
        <v>#DIV/0!</v>
      </c>
      <c r="AH5" s="34" t="e">
        <f>AA5+(V5-R5)</f>
        <v>#DIV/0!</v>
      </c>
      <c r="AI5" s="34" t="e">
        <f>V5+AA5+AE5</f>
        <v>#DIV/0!</v>
      </c>
    </row>
    <row r="6" spans="1:35" x14ac:dyDescent="0.2">
      <c r="A6" s="29"/>
      <c r="B6" s="30"/>
      <c r="C6" s="3"/>
      <c r="D6" s="31"/>
      <c r="E6" s="31"/>
      <c r="F6" s="32" t="e">
        <f t="shared" si="0"/>
        <v>#DIV/0!</v>
      </c>
      <c r="G6" s="32"/>
      <c r="H6" s="32" t="e">
        <f t="shared" si="1"/>
        <v>#DIV/0!</v>
      </c>
      <c r="I6" s="29"/>
      <c r="J6" s="30"/>
      <c r="K6" s="3"/>
      <c r="L6" s="31"/>
      <c r="M6" s="34" t="e">
        <f t="shared" ref="M6:M23" si="3">(L6-K6-0.0187)*(50000/20)/H6</f>
        <v>#DIV/0!</v>
      </c>
      <c r="N6" s="30"/>
      <c r="O6" s="3"/>
      <c r="P6" s="31"/>
      <c r="Q6" s="29"/>
      <c r="R6" s="34" t="e">
        <f t="shared" ref="R6:R23" si="4">(P6-O6-0.0187)*(50000/20)/H6</f>
        <v>#DIV/0!</v>
      </c>
      <c r="S6" s="30"/>
      <c r="T6" s="3"/>
      <c r="U6" s="31"/>
      <c r="V6" s="34" t="e">
        <f t="shared" ref="V6:V23" si="5">(U6-T6-0.0187)*(50000/20)/H6</f>
        <v>#DIV/0!</v>
      </c>
      <c r="W6" s="30"/>
      <c r="X6" s="3"/>
      <c r="Y6" s="29"/>
      <c r="Z6" s="32"/>
      <c r="AA6" s="34" t="e">
        <f t="shared" si="2"/>
        <v>#DIV/0!</v>
      </c>
      <c r="AB6" s="30"/>
      <c r="AC6" s="3"/>
      <c r="AD6" s="32"/>
      <c r="AE6" s="34" t="e">
        <f t="shared" ref="AE6:AE23" si="6">(AD6-AC6)*100/H6</f>
        <v>#DIV/0!</v>
      </c>
      <c r="AF6" s="29"/>
      <c r="AG6" s="34" t="e">
        <f t="shared" ref="AG6:AG23" si="7">R6-M6</f>
        <v>#DIV/0!</v>
      </c>
      <c r="AH6" s="34" t="e">
        <f t="shared" ref="AH6:AH23" si="8">AA6+(V6-R6)</f>
        <v>#DIV/0!</v>
      </c>
      <c r="AI6" s="34" t="e">
        <f t="shared" ref="AI6:AI23" si="9">V6+AA6+AE6</f>
        <v>#DIV/0!</v>
      </c>
    </row>
    <row r="7" spans="1:35" x14ac:dyDescent="0.2">
      <c r="A7" s="29"/>
      <c r="B7" s="30"/>
      <c r="C7" s="3"/>
      <c r="D7" s="31"/>
      <c r="E7" s="31"/>
      <c r="F7" s="32" t="e">
        <f t="shared" si="0"/>
        <v>#DIV/0!</v>
      </c>
      <c r="G7" s="32"/>
      <c r="H7" s="43" t="e">
        <f t="shared" si="1"/>
        <v>#DIV/0!</v>
      </c>
      <c r="I7" s="29"/>
      <c r="J7" s="30"/>
      <c r="K7" s="3"/>
      <c r="L7" s="31"/>
      <c r="M7" s="34" t="e">
        <f t="shared" si="3"/>
        <v>#DIV/0!</v>
      </c>
      <c r="N7" s="30"/>
      <c r="O7" s="3"/>
      <c r="P7" s="31"/>
      <c r="Q7" s="29"/>
      <c r="R7" s="34" t="e">
        <f t="shared" si="4"/>
        <v>#DIV/0!</v>
      </c>
      <c r="S7" s="30"/>
      <c r="T7" s="3"/>
      <c r="U7" s="31"/>
      <c r="V7" s="34" t="e">
        <f t="shared" si="5"/>
        <v>#DIV/0!</v>
      </c>
      <c r="W7" s="30"/>
      <c r="X7" s="3"/>
      <c r="Y7" s="29"/>
      <c r="Z7" s="32"/>
      <c r="AA7" s="34" t="e">
        <f t="shared" si="2"/>
        <v>#DIV/0!</v>
      </c>
      <c r="AB7" s="30"/>
      <c r="AC7" s="3"/>
      <c r="AD7" s="32"/>
      <c r="AE7" s="34" t="e">
        <f t="shared" si="6"/>
        <v>#DIV/0!</v>
      </c>
      <c r="AF7" s="29"/>
      <c r="AG7" s="34" t="e">
        <f t="shared" si="7"/>
        <v>#DIV/0!</v>
      </c>
      <c r="AH7" s="34" t="e">
        <f t="shared" si="8"/>
        <v>#DIV/0!</v>
      </c>
      <c r="AI7" s="34" t="e">
        <f t="shared" si="9"/>
        <v>#DIV/0!</v>
      </c>
    </row>
    <row r="8" spans="1:35" x14ac:dyDescent="0.2">
      <c r="A8" s="29"/>
      <c r="B8" s="30"/>
      <c r="C8" s="31"/>
      <c r="D8" s="31"/>
      <c r="E8" s="31"/>
      <c r="F8" s="32" t="e">
        <f t="shared" si="0"/>
        <v>#DIV/0!</v>
      </c>
      <c r="G8" s="32"/>
      <c r="H8" s="32" t="e">
        <f t="shared" si="1"/>
        <v>#DIV/0!</v>
      </c>
      <c r="I8" s="29"/>
      <c r="J8" s="30"/>
      <c r="K8" s="3"/>
      <c r="L8" s="31"/>
      <c r="M8" s="34" t="e">
        <f t="shared" si="3"/>
        <v>#DIV/0!</v>
      </c>
      <c r="N8" s="30"/>
      <c r="O8" s="3"/>
      <c r="P8" s="31"/>
      <c r="Q8" s="29"/>
      <c r="R8" s="34" t="e">
        <f t="shared" si="4"/>
        <v>#DIV/0!</v>
      </c>
      <c r="S8" s="30"/>
      <c r="T8" s="3"/>
      <c r="U8" s="31"/>
      <c r="V8" s="34" t="e">
        <f t="shared" si="5"/>
        <v>#DIV/0!</v>
      </c>
      <c r="W8" s="30"/>
      <c r="X8" s="3"/>
      <c r="Y8" s="29"/>
      <c r="Z8" s="32"/>
      <c r="AA8" s="34" t="e">
        <f t="shared" si="2"/>
        <v>#DIV/0!</v>
      </c>
      <c r="AB8" s="30"/>
      <c r="AC8" s="3"/>
      <c r="AD8" s="32"/>
      <c r="AE8" s="34" t="e">
        <f t="shared" si="6"/>
        <v>#DIV/0!</v>
      </c>
      <c r="AF8" s="29"/>
      <c r="AG8" s="34" t="e">
        <f t="shared" si="7"/>
        <v>#DIV/0!</v>
      </c>
      <c r="AH8" s="34" t="e">
        <f t="shared" si="8"/>
        <v>#DIV/0!</v>
      </c>
      <c r="AI8" s="34" t="e">
        <f t="shared" si="9"/>
        <v>#DIV/0!</v>
      </c>
    </row>
    <row r="9" spans="1:35" x14ac:dyDescent="0.2">
      <c r="A9" s="29"/>
      <c r="B9" s="30"/>
      <c r="C9" s="31"/>
      <c r="D9" s="31"/>
      <c r="E9" s="31"/>
      <c r="F9" s="32" t="e">
        <f t="shared" si="0"/>
        <v>#DIV/0!</v>
      </c>
      <c r="G9" s="32"/>
      <c r="H9" s="32" t="e">
        <f t="shared" si="1"/>
        <v>#DIV/0!</v>
      </c>
      <c r="I9" s="29"/>
      <c r="J9" s="30"/>
      <c r="K9" s="3"/>
      <c r="L9" s="31"/>
      <c r="M9" s="34" t="e">
        <f t="shared" si="3"/>
        <v>#DIV/0!</v>
      </c>
      <c r="N9" s="30"/>
      <c r="O9" s="3"/>
      <c r="P9" s="31"/>
      <c r="Q9" s="29"/>
      <c r="R9" s="34" t="e">
        <f t="shared" si="4"/>
        <v>#DIV/0!</v>
      </c>
      <c r="S9" s="30"/>
      <c r="T9" s="3"/>
      <c r="U9" s="31"/>
      <c r="V9" s="34" t="e">
        <f t="shared" si="5"/>
        <v>#DIV/0!</v>
      </c>
      <c r="W9" s="30"/>
      <c r="X9" s="3"/>
      <c r="Y9" s="29"/>
      <c r="Z9" s="32"/>
      <c r="AA9" s="34" t="e">
        <f t="shared" si="2"/>
        <v>#DIV/0!</v>
      </c>
      <c r="AB9" s="30"/>
      <c r="AC9" s="3"/>
      <c r="AD9" s="32"/>
      <c r="AE9" s="34" t="e">
        <f t="shared" si="6"/>
        <v>#DIV/0!</v>
      </c>
      <c r="AF9" s="29"/>
      <c r="AG9" s="34" t="e">
        <f t="shared" si="7"/>
        <v>#DIV/0!</v>
      </c>
      <c r="AH9" s="34" t="e">
        <f t="shared" si="8"/>
        <v>#DIV/0!</v>
      </c>
      <c r="AI9" s="34" t="e">
        <f t="shared" si="9"/>
        <v>#DIV/0!</v>
      </c>
    </row>
    <row r="10" spans="1:35" x14ac:dyDescent="0.2">
      <c r="A10" s="29"/>
      <c r="B10" s="30"/>
      <c r="C10" s="31"/>
      <c r="D10" s="31"/>
      <c r="E10" s="31"/>
      <c r="F10" s="32" t="e">
        <f t="shared" si="0"/>
        <v>#DIV/0!</v>
      </c>
      <c r="G10" s="32"/>
      <c r="H10" s="32" t="e">
        <f t="shared" si="1"/>
        <v>#DIV/0!</v>
      </c>
      <c r="I10" s="29"/>
      <c r="J10" s="30"/>
      <c r="K10" s="3"/>
      <c r="L10" s="31"/>
      <c r="M10" s="34" t="e">
        <f t="shared" si="3"/>
        <v>#DIV/0!</v>
      </c>
      <c r="N10" s="30"/>
      <c r="O10" s="3"/>
      <c r="P10" s="31"/>
      <c r="Q10" s="29"/>
      <c r="R10" s="34" t="e">
        <f t="shared" si="4"/>
        <v>#DIV/0!</v>
      </c>
      <c r="S10" s="30"/>
      <c r="T10" s="3"/>
      <c r="U10" s="31"/>
      <c r="V10" s="34" t="e">
        <f t="shared" si="5"/>
        <v>#DIV/0!</v>
      </c>
      <c r="W10" s="30"/>
      <c r="X10" s="3"/>
      <c r="Y10" s="29"/>
      <c r="Z10" s="32"/>
      <c r="AA10" s="34" t="e">
        <f t="shared" si="2"/>
        <v>#DIV/0!</v>
      </c>
      <c r="AB10" s="30"/>
      <c r="AC10" s="3"/>
      <c r="AD10" s="32"/>
      <c r="AE10" s="34" t="e">
        <f t="shared" si="6"/>
        <v>#DIV/0!</v>
      </c>
      <c r="AF10" s="29"/>
      <c r="AG10" s="34" t="e">
        <f t="shared" si="7"/>
        <v>#DIV/0!</v>
      </c>
      <c r="AH10" s="34" t="e">
        <f t="shared" si="8"/>
        <v>#DIV/0!</v>
      </c>
      <c r="AI10" s="34" t="e">
        <f t="shared" si="9"/>
        <v>#DIV/0!</v>
      </c>
    </row>
    <row r="11" spans="1:35" x14ac:dyDescent="0.2">
      <c r="A11" s="29"/>
      <c r="B11" s="30"/>
      <c r="C11" s="31"/>
      <c r="D11" s="31"/>
      <c r="E11" s="31"/>
      <c r="F11" s="32" t="e">
        <f t="shared" si="0"/>
        <v>#DIV/0!</v>
      </c>
      <c r="G11" s="32"/>
      <c r="H11" s="32" t="e">
        <f t="shared" si="1"/>
        <v>#DIV/0!</v>
      </c>
      <c r="I11" s="29"/>
      <c r="J11" s="30"/>
      <c r="K11" s="3"/>
      <c r="L11" s="31"/>
      <c r="M11" s="34" t="e">
        <f t="shared" si="3"/>
        <v>#DIV/0!</v>
      </c>
      <c r="N11" s="30"/>
      <c r="O11" s="3"/>
      <c r="P11" s="31"/>
      <c r="Q11" s="29"/>
      <c r="R11" s="34" t="e">
        <f t="shared" si="4"/>
        <v>#DIV/0!</v>
      </c>
      <c r="S11" s="30"/>
      <c r="T11" s="3"/>
      <c r="U11" s="31"/>
      <c r="V11" s="34" t="e">
        <f t="shared" si="5"/>
        <v>#DIV/0!</v>
      </c>
      <c r="W11" s="30"/>
      <c r="X11" s="3"/>
      <c r="Y11" s="29"/>
      <c r="Z11" s="32"/>
      <c r="AA11" s="34" t="e">
        <f t="shared" si="2"/>
        <v>#DIV/0!</v>
      </c>
      <c r="AB11" s="30"/>
      <c r="AC11" s="3"/>
      <c r="AD11" s="32"/>
      <c r="AE11" s="34" t="e">
        <f t="shared" si="6"/>
        <v>#DIV/0!</v>
      </c>
      <c r="AF11" s="29"/>
      <c r="AG11" s="34" t="e">
        <f t="shared" si="7"/>
        <v>#DIV/0!</v>
      </c>
      <c r="AH11" s="34" t="e">
        <f t="shared" si="8"/>
        <v>#DIV/0!</v>
      </c>
      <c r="AI11" s="34" t="e">
        <f t="shared" si="9"/>
        <v>#DIV/0!</v>
      </c>
    </row>
    <row r="12" spans="1:35" x14ac:dyDescent="0.2">
      <c r="A12" s="29"/>
      <c r="B12" s="30"/>
      <c r="C12" s="31"/>
      <c r="D12" s="31"/>
      <c r="E12" s="31"/>
      <c r="F12" s="32" t="e">
        <f t="shared" si="0"/>
        <v>#DIV/0!</v>
      </c>
      <c r="G12" s="32"/>
      <c r="H12" s="32" t="e">
        <f t="shared" si="1"/>
        <v>#DIV/0!</v>
      </c>
      <c r="I12" s="29"/>
      <c r="J12" s="30"/>
      <c r="K12" s="3"/>
      <c r="L12" s="31"/>
      <c r="M12" s="34" t="e">
        <f t="shared" si="3"/>
        <v>#DIV/0!</v>
      </c>
      <c r="N12" s="30"/>
      <c r="O12" s="3"/>
      <c r="P12" s="31"/>
      <c r="Q12" s="29"/>
      <c r="R12" s="34" t="e">
        <f t="shared" si="4"/>
        <v>#DIV/0!</v>
      </c>
      <c r="S12" s="30"/>
      <c r="T12" s="3"/>
      <c r="U12" s="31"/>
      <c r="V12" s="34" t="e">
        <f t="shared" si="5"/>
        <v>#DIV/0!</v>
      </c>
      <c r="W12" s="30"/>
      <c r="X12" s="3"/>
      <c r="Y12" s="29"/>
      <c r="Z12" s="32"/>
      <c r="AA12" s="34" t="e">
        <f t="shared" si="2"/>
        <v>#DIV/0!</v>
      </c>
      <c r="AB12" s="30"/>
      <c r="AC12" s="3"/>
      <c r="AD12" s="32"/>
      <c r="AE12" s="34" t="e">
        <f t="shared" si="6"/>
        <v>#DIV/0!</v>
      </c>
      <c r="AF12" s="29"/>
      <c r="AG12" s="34" t="e">
        <f t="shared" si="7"/>
        <v>#DIV/0!</v>
      </c>
      <c r="AH12" s="34" t="e">
        <f t="shared" si="8"/>
        <v>#DIV/0!</v>
      </c>
      <c r="AI12" s="34" t="e">
        <f t="shared" si="9"/>
        <v>#DIV/0!</v>
      </c>
    </row>
    <row r="13" spans="1:35" x14ac:dyDescent="0.2">
      <c r="A13" s="29"/>
      <c r="B13" s="30"/>
      <c r="C13" s="31"/>
      <c r="D13" s="31"/>
      <c r="E13" s="31"/>
      <c r="F13" s="32" t="e">
        <f t="shared" si="0"/>
        <v>#DIV/0!</v>
      </c>
      <c r="G13" s="32"/>
      <c r="H13" s="32" t="e">
        <f t="shared" si="1"/>
        <v>#DIV/0!</v>
      </c>
      <c r="I13" s="29"/>
      <c r="J13" s="30"/>
      <c r="K13" s="3"/>
      <c r="L13" s="31"/>
      <c r="M13" s="34" t="e">
        <f t="shared" si="3"/>
        <v>#DIV/0!</v>
      </c>
      <c r="N13" s="30"/>
      <c r="O13" s="3"/>
      <c r="P13" s="31"/>
      <c r="Q13" s="29"/>
      <c r="R13" s="34" t="e">
        <f t="shared" si="4"/>
        <v>#DIV/0!</v>
      </c>
      <c r="S13" s="30"/>
      <c r="T13" s="3"/>
      <c r="U13" s="31"/>
      <c r="V13" s="34" t="e">
        <f t="shared" si="5"/>
        <v>#DIV/0!</v>
      </c>
      <c r="W13" s="30"/>
      <c r="X13" s="3"/>
      <c r="Y13" s="29"/>
      <c r="Z13" s="32"/>
      <c r="AA13" s="34" t="e">
        <f t="shared" si="2"/>
        <v>#DIV/0!</v>
      </c>
      <c r="AB13" s="30"/>
      <c r="AC13" s="3"/>
      <c r="AD13" s="32"/>
      <c r="AE13" s="34" t="e">
        <f t="shared" si="6"/>
        <v>#DIV/0!</v>
      </c>
      <c r="AF13" s="29"/>
      <c r="AG13" s="34" t="e">
        <f t="shared" si="7"/>
        <v>#DIV/0!</v>
      </c>
      <c r="AH13" s="34" t="e">
        <f t="shared" si="8"/>
        <v>#DIV/0!</v>
      </c>
      <c r="AI13" s="34" t="e">
        <f t="shared" si="9"/>
        <v>#DIV/0!</v>
      </c>
    </row>
    <row r="14" spans="1:35" x14ac:dyDescent="0.2">
      <c r="A14" s="29"/>
      <c r="B14" s="30"/>
      <c r="C14" s="31"/>
      <c r="D14" s="31"/>
      <c r="E14" s="31"/>
      <c r="F14" s="32" t="e">
        <f t="shared" si="0"/>
        <v>#DIV/0!</v>
      </c>
      <c r="G14" s="32"/>
      <c r="H14" s="32" t="e">
        <f t="shared" si="1"/>
        <v>#DIV/0!</v>
      </c>
      <c r="I14" s="29"/>
      <c r="J14" s="30"/>
      <c r="K14" s="3"/>
      <c r="L14" s="31"/>
      <c r="M14" s="34" t="e">
        <f t="shared" si="3"/>
        <v>#DIV/0!</v>
      </c>
      <c r="N14" s="30"/>
      <c r="O14" s="3"/>
      <c r="P14" s="31"/>
      <c r="Q14" s="29"/>
      <c r="R14" s="34" t="e">
        <f t="shared" si="4"/>
        <v>#DIV/0!</v>
      </c>
      <c r="S14" s="30"/>
      <c r="T14" s="3"/>
      <c r="U14" s="31"/>
      <c r="V14" s="34" t="e">
        <f t="shared" si="5"/>
        <v>#DIV/0!</v>
      </c>
      <c r="W14" s="30"/>
      <c r="X14" s="3"/>
      <c r="Y14" s="29"/>
      <c r="Z14" s="32"/>
      <c r="AA14" s="34" t="e">
        <f t="shared" si="2"/>
        <v>#DIV/0!</v>
      </c>
      <c r="AB14" s="30"/>
      <c r="AC14" s="3"/>
      <c r="AD14" s="32"/>
      <c r="AE14" s="34" t="e">
        <f t="shared" si="6"/>
        <v>#DIV/0!</v>
      </c>
      <c r="AF14" s="29"/>
      <c r="AG14" s="34" t="e">
        <f t="shared" si="7"/>
        <v>#DIV/0!</v>
      </c>
      <c r="AH14" s="34" t="e">
        <f t="shared" si="8"/>
        <v>#DIV/0!</v>
      </c>
      <c r="AI14" s="34" t="e">
        <f t="shared" si="9"/>
        <v>#DIV/0!</v>
      </c>
    </row>
    <row r="15" spans="1:35" ht="12" customHeight="1" x14ac:dyDescent="0.2">
      <c r="A15" s="29"/>
      <c r="B15" s="30"/>
      <c r="C15" s="3"/>
      <c r="D15" s="31"/>
      <c r="E15" s="31"/>
      <c r="F15" s="32" t="e">
        <f t="shared" si="0"/>
        <v>#DIV/0!</v>
      </c>
      <c r="G15" s="32"/>
      <c r="H15" s="32" t="e">
        <f t="shared" si="1"/>
        <v>#DIV/0!</v>
      </c>
      <c r="I15" s="29"/>
      <c r="J15" s="30"/>
      <c r="K15" s="3"/>
      <c r="L15" s="31"/>
      <c r="M15" s="34" t="e">
        <f t="shared" si="3"/>
        <v>#DIV/0!</v>
      </c>
      <c r="N15" s="30"/>
      <c r="O15" s="3"/>
      <c r="P15" s="31"/>
      <c r="Q15" s="29"/>
      <c r="R15" s="34" t="e">
        <f t="shared" si="4"/>
        <v>#DIV/0!</v>
      </c>
      <c r="S15" s="30"/>
      <c r="T15" s="3"/>
      <c r="U15" s="31"/>
      <c r="V15" s="34" t="e">
        <f t="shared" si="5"/>
        <v>#DIV/0!</v>
      </c>
      <c r="W15" s="30"/>
      <c r="X15" s="3"/>
      <c r="Y15" s="29"/>
      <c r="Z15" s="32"/>
      <c r="AA15" s="34" t="e">
        <f t="shared" si="2"/>
        <v>#DIV/0!</v>
      </c>
      <c r="AB15" s="30"/>
      <c r="AC15" s="3"/>
      <c r="AD15" s="32"/>
      <c r="AE15" s="34" t="e">
        <f t="shared" si="6"/>
        <v>#DIV/0!</v>
      </c>
      <c r="AF15" s="29"/>
      <c r="AG15" s="34" t="e">
        <f t="shared" si="7"/>
        <v>#DIV/0!</v>
      </c>
      <c r="AH15" s="34" t="e">
        <f t="shared" si="8"/>
        <v>#DIV/0!</v>
      </c>
      <c r="AI15" s="34" t="e">
        <f t="shared" si="9"/>
        <v>#DIV/0!</v>
      </c>
    </row>
    <row r="16" spans="1:35" x14ac:dyDescent="0.2">
      <c r="A16" s="29"/>
      <c r="B16" s="30"/>
      <c r="C16" s="31"/>
      <c r="D16" s="31"/>
      <c r="E16" s="31"/>
      <c r="F16" s="32" t="e">
        <f t="shared" si="0"/>
        <v>#DIV/0!</v>
      </c>
      <c r="G16" s="32"/>
      <c r="H16" s="32" t="e">
        <f t="shared" si="1"/>
        <v>#DIV/0!</v>
      </c>
      <c r="I16" s="29"/>
      <c r="J16" s="30"/>
      <c r="K16" s="3"/>
      <c r="L16" s="31"/>
      <c r="M16" s="34" t="e">
        <f t="shared" si="3"/>
        <v>#DIV/0!</v>
      </c>
      <c r="N16" s="30"/>
      <c r="O16" s="3"/>
      <c r="P16" s="31"/>
      <c r="Q16" s="29"/>
      <c r="R16" s="34" t="e">
        <f t="shared" si="4"/>
        <v>#DIV/0!</v>
      </c>
      <c r="S16" s="30"/>
      <c r="T16" s="3"/>
      <c r="U16" s="31"/>
      <c r="V16" s="34" t="e">
        <f t="shared" si="5"/>
        <v>#DIV/0!</v>
      </c>
      <c r="W16" s="30"/>
      <c r="X16" s="3"/>
      <c r="Y16" s="29"/>
      <c r="Z16" s="32"/>
      <c r="AA16" s="34" t="e">
        <f t="shared" si="2"/>
        <v>#DIV/0!</v>
      </c>
      <c r="AB16" s="30"/>
      <c r="AC16" s="3"/>
      <c r="AD16" s="32"/>
      <c r="AE16" s="34" t="e">
        <f t="shared" si="6"/>
        <v>#DIV/0!</v>
      </c>
      <c r="AF16" s="29"/>
      <c r="AG16" s="34" t="e">
        <f t="shared" si="7"/>
        <v>#DIV/0!</v>
      </c>
      <c r="AH16" s="34" t="e">
        <f t="shared" si="8"/>
        <v>#DIV/0!</v>
      </c>
      <c r="AI16" s="34" t="e">
        <f t="shared" si="9"/>
        <v>#DIV/0!</v>
      </c>
    </row>
    <row r="17" spans="1:35" x14ac:dyDescent="0.2">
      <c r="A17" s="29"/>
      <c r="B17" s="30"/>
      <c r="C17" s="31"/>
      <c r="D17" s="31"/>
      <c r="E17" s="31"/>
      <c r="F17" s="32" t="e">
        <f t="shared" si="0"/>
        <v>#DIV/0!</v>
      </c>
      <c r="G17" s="32"/>
      <c r="H17" s="32" t="e">
        <f t="shared" si="1"/>
        <v>#DIV/0!</v>
      </c>
      <c r="I17" s="29"/>
      <c r="J17" s="30"/>
      <c r="K17" s="3"/>
      <c r="L17" s="31"/>
      <c r="M17" s="34" t="e">
        <f t="shared" si="3"/>
        <v>#DIV/0!</v>
      </c>
      <c r="N17" s="30"/>
      <c r="O17" s="3"/>
      <c r="P17" s="31"/>
      <c r="Q17" s="29"/>
      <c r="R17" s="34" t="e">
        <f t="shared" si="4"/>
        <v>#DIV/0!</v>
      </c>
      <c r="S17" s="30"/>
      <c r="T17" s="3"/>
      <c r="U17" s="31"/>
      <c r="V17" s="34" t="e">
        <f t="shared" si="5"/>
        <v>#DIV/0!</v>
      </c>
      <c r="W17" s="30"/>
      <c r="X17" s="3"/>
      <c r="Y17" s="29"/>
      <c r="Z17" s="32"/>
      <c r="AA17" s="34" t="e">
        <f t="shared" si="2"/>
        <v>#DIV/0!</v>
      </c>
      <c r="AB17" s="30"/>
      <c r="AC17" s="3"/>
      <c r="AD17" s="32"/>
      <c r="AE17" s="34" t="e">
        <f t="shared" si="6"/>
        <v>#DIV/0!</v>
      </c>
      <c r="AF17" s="29"/>
      <c r="AG17" s="34" t="e">
        <f t="shared" si="7"/>
        <v>#DIV/0!</v>
      </c>
      <c r="AH17" s="34" t="e">
        <f t="shared" si="8"/>
        <v>#DIV/0!</v>
      </c>
      <c r="AI17" s="34" t="e">
        <f t="shared" si="9"/>
        <v>#DIV/0!</v>
      </c>
    </row>
    <row r="18" spans="1:35" x14ac:dyDescent="0.2">
      <c r="A18" s="29"/>
      <c r="B18" s="30"/>
      <c r="C18" s="31"/>
      <c r="D18" s="31"/>
      <c r="E18" s="31"/>
      <c r="F18" s="32" t="e">
        <f t="shared" si="0"/>
        <v>#DIV/0!</v>
      </c>
      <c r="G18" s="32"/>
      <c r="H18" s="32" t="e">
        <f t="shared" si="1"/>
        <v>#DIV/0!</v>
      </c>
      <c r="I18" s="29"/>
      <c r="J18" s="30"/>
      <c r="K18" s="3"/>
      <c r="L18" s="31"/>
      <c r="M18" s="34" t="e">
        <f t="shared" si="3"/>
        <v>#DIV/0!</v>
      </c>
      <c r="N18" s="30"/>
      <c r="O18" s="3"/>
      <c r="P18" s="31"/>
      <c r="Q18" s="29"/>
      <c r="R18" s="34" t="e">
        <f t="shared" si="4"/>
        <v>#DIV/0!</v>
      </c>
      <c r="S18" s="30"/>
      <c r="T18" s="3"/>
      <c r="U18" s="31"/>
      <c r="V18" s="34" t="e">
        <f t="shared" si="5"/>
        <v>#DIV/0!</v>
      </c>
      <c r="W18" s="30"/>
      <c r="X18" s="3"/>
      <c r="Y18" s="29"/>
      <c r="Z18" s="32"/>
      <c r="AA18" s="34" t="e">
        <f t="shared" si="2"/>
        <v>#DIV/0!</v>
      </c>
      <c r="AB18" s="30"/>
      <c r="AC18" s="3"/>
      <c r="AD18" s="32"/>
      <c r="AE18" s="34" t="e">
        <f t="shared" si="6"/>
        <v>#DIV/0!</v>
      </c>
      <c r="AF18" s="29"/>
      <c r="AG18" s="34" t="e">
        <f t="shared" si="7"/>
        <v>#DIV/0!</v>
      </c>
      <c r="AH18" s="34" t="e">
        <f t="shared" si="8"/>
        <v>#DIV/0!</v>
      </c>
      <c r="AI18" s="34" t="e">
        <f t="shared" si="9"/>
        <v>#DIV/0!</v>
      </c>
    </row>
    <row r="19" spans="1:35" x14ac:dyDescent="0.2">
      <c r="A19" s="29"/>
      <c r="B19" s="30"/>
      <c r="C19" s="31"/>
      <c r="D19" s="31"/>
      <c r="E19" s="31"/>
      <c r="F19" s="32" t="e">
        <f t="shared" si="0"/>
        <v>#DIV/0!</v>
      </c>
      <c r="G19" s="32"/>
      <c r="H19" s="32" t="e">
        <f t="shared" si="1"/>
        <v>#DIV/0!</v>
      </c>
      <c r="I19" s="29"/>
      <c r="J19" s="30"/>
      <c r="K19" s="3"/>
      <c r="L19" s="31"/>
      <c r="M19" s="34" t="e">
        <f t="shared" si="3"/>
        <v>#DIV/0!</v>
      </c>
      <c r="N19" s="30"/>
      <c r="O19" s="33"/>
      <c r="P19" s="31"/>
      <c r="Q19" s="29"/>
      <c r="R19" s="34" t="e">
        <f t="shared" si="4"/>
        <v>#DIV/0!</v>
      </c>
      <c r="S19" s="30"/>
      <c r="T19" s="33"/>
      <c r="U19" s="31"/>
      <c r="V19" s="34" t="e">
        <f t="shared" si="5"/>
        <v>#DIV/0!</v>
      </c>
      <c r="W19" s="30"/>
      <c r="X19" s="33"/>
      <c r="Y19" s="29"/>
      <c r="Z19" s="32"/>
      <c r="AA19" s="34" t="e">
        <f t="shared" si="2"/>
        <v>#DIV/0!</v>
      </c>
      <c r="AB19" s="30"/>
      <c r="AC19" s="33"/>
      <c r="AD19" s="32"/>
      <c r="AE19" s="34" t="e">
        <f t="shared" si="6"/>
        <v>#DIV/0!</v>
      </c>
      <c r="AF19" s="29"/>
      <c r="AG19" s="34" t="e">
        <f t="shared" si="7"/>
        <v>#DIV/0!</v>
      </c>
      <c r="AH19" s="34" t="e">
        <f t="shared" si="8"/>
        <v>#DIV/0!</v>
      </c>
      <c r="AI19" s="34" t="e">
        <f t="shared" si="9"/>
        <v>#DIV/0!</v>
      </c>
    </row>
    <row r="20" spans="1:35" ht="11.25" customHeight="1" x14ac:dyDescent="0.2">
      <c r="A20" s="29"/>
      <c r="B20" s="30"/>
      <c r="C20" s="31"/>
      <c r="D20" s="31"/>
      <c r="E20" s="31"/>
      <c r="F20" s="32" t="e">
        <f t="shared" si="0"/>
        <v>#DIV/0!</v>
      </c>
      <c r="G20" s="32"/>
      <c r="H20" s="32" t="e">
        <f t="shared" si="1"/>
        <v>#DIV/0!</v>
      </c>
      <c r="I20" s="29"/>
      <c r="J20" s="30"/>
      <c r="K20" s="3"/>
      <c r="L20" s="31"/>
      <c r="M20" s="34" t="e">
        <f t="shared" si="3"/>
        <v>#DIV/0!</v>
      </c>
      <c r="N20" s="30"/>
      <c r="O20" s="33"/>
      <c r="P20" s="31"/>
      <c r="Q20" s="29"/>
      <c r="R20" s="34" t="e">
        <f t="shared" si="4"/>
        <v>#DIV/0!</v>
      </c>
      <c r="S20" s="30"/>
      <c r="T20" s="33"/>
      <c r="U20" s="31"/>
      <c r="V20" s="34" t="e">
        <f t="shared" si="5"/>
        <v>#DIV/0!</v>
      </c>
      <c r="W20" s="30"/>
      <c r="X20" s="33"/>
      <c r="Y20" s="29"/>
      <c r="Z20" s="32"/>
      <c r="AA20" s="34" t="e">
        <f t="shared" si="2"/>
        <v>#DIV/0!</v>
      </c>
      <c r="AB20" s="30"/>
      <c r="AC20" s="33"/>
      <c r="AD20" s="32"/>
      <c r="AE20" s="34" t="e">
        <f t="shared" si="6"/>
        <v>#DIV/0!</v>
      </c>
      <c r="AF20" s="29"/>
      <c r="AG20" s="34" t="e">
        <f t="shared" si="7"/>
        <v>#DIV/0!</v>
      </c>
      <c r="AH20" s="34" t="e">
        <f t="shared" si="8"/>
        <v>#DIV/0!</v>
      </c>
      <c r="AI20" s="34" t="e">
        <f t="shared" si="9"/>
        <v>#DIV/0!</v>
      </c>
    </row>
    <row r="21" spans="1:35" hidden="1" x14ac:dyDescent="0.2">
      <c r="A21" s="29"/>
      <c r="B21" s="30"/>
      <c r="C21" s="31"/>
      <c r="D21" s="31"/>
      <c r="E21" s="31"/>
      <c r="F21" s="32" t="e">
        <f t="shared" si="0"/>
        <v>#DIV/0!</v>
      </c>
      <c r="G21" s="32"/>
      <c r="H21" s="32" t="e">
        <f t="shared" si="1"/>
        <v>#DIV/0!</v>
      </c>
      <c r="I21" s="29"/>
      <c r="J21" s="30"/>
      <c r="K21" s="33"/>
      <c r="L21" s="31"/>
      <c r="M21" s="34" t="e">
        <f t="shared" si="3"/>
        <v>#DIV/0!</v>
      </c>
      <c r="N21" s="30"/>
      <c r="O21" s="33"/>
      <c r="P21" s="31"/>
      <c r="Q21" s="29"/>
      <c r="R21" s="34" t="e">
        <f t="shared" si="4"/>
        <v>#DIV/0!</v>
      </c>
      <c r="S21" s="30"/>
      <c r="T21" s="33"/>
      <c r="U21" s="31"/>
      <c r="V21" s="34" t="e">
        <f t="shared" si="5"/>
        <v>#DIV/0!</v>
      </c>
      <c r="W21" s="30"/>
      <c r="X21" s="33"/>
      <c r="Y21" s="29"/>
      <c r="Z21" s="32"/>
      <c r="AA21" s="34" t="e">
        <f t="shared" si="2"/>
        <v>#DIV/0!</v>
      </c>
      <c r="AB21" s="30"/>
      <c r="AC21" s="33"/>
      <c r="AD21" s="32"/>
      <c r="AE21" s="34" t="e">
        <f t="shared" si="6"/>
        <v>#DIV/0!</v>
      </c>
      <c r="AF21" s="29"/>
      <c r="AG21" s="34" t="e">
        <f t="shared" si="7"/>
        <v>#DIV/0!</v>
      </c>
      <c r="AH21" s="34" t="e">
        <f t="shared" si="8"/>
        <v>#DIV/0!</v>
      </c>
      <c r="AI21" s="34" t="e">
        <f t="shared" si="9"/>
        <v>#DIV/0!</v>
      </c>
    </row>
    <row r="22" spans="1:35" x14ac:dyDescent="0.2">
      <c r="A22" s="29"/>
      <c r="B22" s="30"/>
      <c r="C22" s="31"/>
      <c r="D22" s="31"/>
      <c r="E22" s="31"/>
      <c r="F22" s="32" t="e">
        <f t="shared" si="0"/>
        <v>#DIV/0!</v>
      </c>
      <c r="G22" s="32"/>
      <c r="H22" s="32" t="e">
        <f t="shared" si="1"/>
        <v>#DIV/0!</v>
      </c>
      <c r="I22" s="29"/>
      <c r="J22" s="30"/>
      <c r="K22" s="33"/>
      <c r="L22" s="31"/>
      <c r="M22" s="34" t="e">
        <f t="shared" si="3"/>
        <v>#DIV/0!</v>
      </c>
      <c r="N22" s="30"/>
      <c r="O22" s="33"/>
      <c r="P22" s="31"/>
      <c r="Q22" s="29"/>
      <c r="R22" s="34" t="e">
        <f t="shared" si="4"/>
        <v>#DIV/0!</v>
      </c>
      <c r="S22" s="30"/>
      <c r="T22" s="33"/>
      <c r="U22" s="31"/>
      <c r="V22" s="34" t="e">
        <f t="shared" si="5"/>
        <v>#DIV/0!</v>
      </c>
      <c r="W22" s="30"/>
      <c r="X22" s="33"/>
      <c r="Y22" s="29"/>
      <c r="Z22" s="32"/>
      <c r="AA22" s="34" t="e">
        <f t="shared" si="2"/>
        <v>#DIV/0!</v>
      </c>
      <c r="AB22" s="30"/>
      <c r="AC22" s="33"/>
      <c r="AD22" s="32"/>
      <c r="AE22" s="34" t="e">
        <f t="shared" si="6"/>
        <v>#DIV/0!</v>
      </c>
      <c r="AF22" s="29"/>
      <c r="AG22" s="34" t="e">
        <f t="shared" si="7"/>
        <v>#DIV/0!</v>
      </c>
      <c r="AH22" s="34" t="e">
        <f t="shared" si="8"/>
        <v>#DIV/0!</v>
      </c>
      <c r="AI22" s="34" t="e">
        <f t="shared" si="9"/>
        <v>#DIV/0!</v>
      </c>
    </row>
    <row r="23" spans="1:35" x14ac:dyDescent="0.2">
      <c r="A23" s="29"/>
      <c r="B23" s="30"/>
      <c r="C23" s="31"/>
      <c r="D23" s="31"/>
      <c r="E23" s="31"/>
      <c r="F23" s="32" t="e">
        <f t="shared" si="0"/>
        <v>#DIV/0!</v>
      </c>
      <c r="G23" s="32"/>
      <c r="H23" s="32" t="e">
        <f t="shared" si="1"/>
        <v>#DIV/0!</v>
      </c>
      <c r="I23" s="29"/>
      <c r="J23" s="30"/>
      <c r="K23" s="33"/>
      <c r="L23" s="31"/>
      <c r="M23" s="34" t="e">
        <f t="shared" si="3"/>
        <v>#DIV/0!</v>
      </c>
      <c r="N23" s="30"/>
      <c r="O23" s="33"/>
      <c r="P23" s="31"/>
      <c r="Q23" s="29"/>
      <c r="R23" s="34" t="e">
        <f t="shared" si="4"/>
        <v>#DIV/0!</v>
      </c>
      <c r="S23" s="30"/>
      <c r="T23" s="33"/>
      <c r="U23" s="31"/>
      <c r="V23" s="34" t="e">
        <f t="shared" si="5"/>
        <v>#DIV/0!</v>
      </c>
      <c r="W23" s="30"/>
      <c r="X23" s="33"/>
      <c r="Y23" s="29"/>
      <c r="Z23" s="32"/>
      <c r="AA23" s="34" t="e">
        <f t="shared" si="2"/>
        <v>#DIV/0!</v>
      </c>
      <c r="AB23" s="30"/>
      <c r="AC23" s="33"/>
      <c r="AD23" s="32"/>
      <c r="AE23" s="34" t="e">
        <f t="shared" si="6"/>
        <v>#DIV/0!</v>
      </c>
      <c r="AF23" s="29"/>
      <c r="AG23" s="34" t="e">
        <f t="shared" si="7"/>
        <v>#DIV/0!</v>
      </c>
      <c r="AH23" s="34" t="e">
        <f t="shared" si="8"/>
        <v>#DIV/0!</v>
      </c>
      <c r="AI23" s="34" t="e">
        <f t="shared" si="9"/>
        <v>#DIV/0!</v>
      </c>
    </row>
    <row r="24" spans="1:35" x14ac:dyDescent="0.2">
      <c r="C24" s="22"/>
      <c r="D24" s="22"/>
      <c r="E24" s="22"/>
      <c r="J24" s="20"/>
      <c r="K24" s="40"/>
      <c r="M24" s="27"/>
      <c r="O24" s="40"/>
      <c r="R24" s="27"/>
      <c r="T24" s="40"/>
      <c r="V24" s="27"/>
      <c r="W24" s="20"/>
      <c r="X24" s="40"/>
      <c r="AA24" s="27"/>
      <c r="AB24" s="20"/>
      <c r="AC24" s="40"/>
      <c r="AE24" s="27"/>
      <c r="AF24" s="19"/>
      <c r="AG24" s="27"/>
      <c r="AH24" s="27"/>
      <c r="AI24" s="27"/>
    </row>
    <row r="25" spans="1:35" x14ac:dyDescent="0.2">
      <c r="C25" s="22"/>
      <c r="D25" s="22"/>
      <c r="E25" s="22"/>
      <c r="J25" s="20"/>
      <c r="K25" s="40"/>
      <c r="M25" s="27"/>
      <c r="O25" s="40"/>
      <c r="R25" s="27"/>
      <c r="T25" s="40"/>
      <c r="V25" s="27"/>
      <c r="W25" s="20"/>
      <c r="X25" s="40"/>
      <c r="AA25" s="27"/>
      <c r="AB25" s="20"/>
      <c r="AC25" s="40"/>
      <c r="AE25" s="27"/>
      <c r="AF25" s="19"/>
      <c r="AG25" s="27"/>
      <c r="AH25" s="27"/>
      <c r="AI25" s="27"/>
    </row>
    <row r="26" spans="1:35" x14ac:dyDescent="0.2">
      <c r="B26" s="20" t="s">
        <v>81</v>
      </c>
      <c r="C26" s="22"/>
      <c r="D26" s="22"/>
      <c r="E26" s="22"/>
      <c r="J26" s="20"/>
      <c r="K26" s="40"/>
      <c r="M26" s="27"/>
      <c r="O26" s="40"/>
      <c r="R26" s="27"/>
      <c r="T26" s="40"/>
      <c r="V26" s="27"/>
      <c r="W26" s="20"/>
      <c r="X26" s="40"/>
      <c r="AA26" s="27"/>
      <c r="AB26" s="20"/>
      <c r="AC26" s="40"/>
      <c r="AE26" s="27"/>
      <c r="AF26" s="19"/>
      <c r="AG26" s="27"/>
      <c r="AH26" s="27"/>
      <c r="AI26" s="27"/>
    </row>
    <row r="27" spans="1:35" x14ac:dyDescent="0.2">
      <c r="C27" s="22"/>
      <c r="D27" s="22"/>
      <c r="E27" s="22"/>
      <c r="J27" s="20"/>
      <c r="K27" s="40"/>
      <c r="M27" s="27"/>
      <c r="O27" s="40"/>
      <c r="R27" s="27"/>
      <c r="T27" s="40"/>
      <c r="V27" s="27"/>
      <c r="W27" s="20"/>
      <c r="X27" s="40"/>
      <c r="AA27" s="27"/>
      <c r="AB27" s="20"/>
      <c r="AC27" s="40"/>
      <c r="AE27" s="27"/>
      <c r="AF27" s="19"/>
      <c r="AG27" s="27"/>
      <c r="AH27" s="27"/>
      <c r="AI27" s="27"/>
    </row>
    <row r="28" spans="1:35" x14ac:dyDescent="0.2">
      <c r="B28" s="20" t="s">
        <v>82</v>
      </c>
      <c r="C28" s="22"/>
      <c r="D28" s="22"/>
      <c r="E28" s="22"/>
      <c r="J28" s="20"/>
      <c r="K28" s="40"/>
      <c r="M28" s="27"/>
      <c r="O28" s="40"/>
      <c r="R28" s="27"/>
      <c r="T28" s="40"/>
      <c r="V28" s="27"/>
      <c r="W28" s="20"/>
      <c r="X28" s="40"/>
      <c r="AA28" s="27"/>
      <c r="AB28" s="20"/>
      <c r="AC28" s="40"/>
      <c r="AE28" s="27"/>
      <c r="AF28" s="19"/>
      <c r="AG28" s="27"/>
      <c r="AH28" s="27"/>
      <c r="AI28" s="27"/>
    </row>
    <row r="29" spans="1:35" x14ac:dyDescent="0.2">
      <c r="C29" s="22"/>
      <c r="D29" s="22"/>
      <c r="E29" s="22"/>
      <c r="J29" s="20"/>
      <c r="K29" s="40"/>
      <c r="M29" s="27"/>
      <c r="O29" s="40"/>
      <c r="R29" s="27"/>
      <c r="T29" s="40"/>
      <c r="V29" s="27"/>
      <c r="W29" s="20"/>
      <c r="X29" s="40"/>
      <c r="AA29" s="27"/>
      <c r="AB29" s="20"/>
      <c r="AC29" s="40"/>
      <c r="AE29" s="27"/>
      <c r="AF29" s="19"/>
      <c r="AG29" s="27"/>
      <c r="AH29" s="27"/>
      <c r="AI29" s="27"/>
    </row>
    <row r="30" spans="1:35" x14ac:dyDescent="0.2">
      <c r="C30" s="22"/>
      <c r="D30" s="22"/>
      <c r="E30" s="22"/>
      <c r="J30" s="20"/>
      <c r="K30" s="40"/>
      <c r="M30" s="27"/>
      <c r="O30" s="40"/>
      <c r="R30" s="27"/>
      <c r="T30" s="40"/>
      <c r="V30" s="27"/>
      <c r="W30" s="20"/>
      <c r="X30" s="40"/>
      <c r="AA30" s="27"/>
      <c r="AB30" s="20"/>
      <c r="AC30" s="40"/>
      <c r="AE30" s="27"/>
      <c r="AF30" s="19"/>
      <c r="AG30" s="27"/>
      <c r="AH30" s="27"/>
      <c r="AI30" s="27"/>
    </row>
    <row r="31" spans="1:35" x14ac:dyDescent="0.2">
      <c r="C31" s="22"/>
      <c r="D31" s="22"/>
      <c r="E31" s="22"/>
      <c r="J31" s="20"/>
      <c r="O31" s="40"/>
      <c r="T31" s="40"/>
      <c r="W31" s="20"/>
      <c r="AB31" s="20"/>
    </row>
    <row r="32" spans="1:35" x14ac:dyDescent="0.2">
      <c r="C32" s="22"/>
      <c r="D32" s="22"/>
      <c r="E32" s="22"/>
      <c r="J32" s="20"/>
      <c r="O32" s="40"/>
      <c r="T32" s="40"/>
      <c r="W32" s="20"/>
      <c r="AB32" s="20"/>
    </row>
    <row r="33" spans="3:28" x14ac:dyDescent="0.2">
      <c r="C33" s="22"/>
      <c r="D33" s="22"/>
      <c r="E33" s="22"/>
      <c r="J33" s="20"/>
      <c r="O33" s="40"/>
      <c r="T33" s="40"/>
      <c r="W33" s="20"/>
      <c r="AB33" s="20"/>
    </row>
    <row r="34" spans="3:28" x14ac:dyDescent="0.2">
      <c r="C34" s="22"/>
      <c r="D34" s="22"/>
      <c r="E34" s="22"/>
      <c r="J34" s="20"/>
      <c r="O34" s="40"/>
      <c r="T34" s="40"/>
      <c r="W34" s="20"/>
      <c r="AB34" s="20"/>
    </row>
    <row r="35" spans="3:28" x14ac:dyDescent="0.2">
      <c r="J35" s="20"/>
      <c r="O35" s="40"/>
      <c r="T35" s="40"/>
      <c r="W35" s="20"/>
      <c r="AB35" s="20"/>
    </row>
    <row r="36" spans="3:28" x14ac:dyDescent="0.2">
      <c r="J36" s="20"/>
      <c r="O36" s="40"/>
      <c r="T36" s="40"/>
      <c r="W36" s="20"/>
      <c r="AB36" s="20"/>
    </row>
    <row r="37" spans="3:28" x14ac:dyDescent="0.2">
      <c r="J37" s="20"/>
      <c r="O37" s="40"/>
      <c r="T37" s="40"/>
      <c r="W37" s="20"/>
      <c r="AB37" s="20"/>
    </row>
    <row r="38" spans="3:28" x14ac:dyDescent="0.2">
      <c r="J38" s="20"/>
      <c r="O38" s="40"/>
      <c r="T38" s="40"/>
      <c r="W38" s="20"/>
      <c r="AB38" s="20"/>
    </row>
    <row r="39" spans="3:28" x14ac:dyDescent="0.2">
      <c r="J39" s="20"/>
      <c r="O39" s="40"/>
      <c r="T39" s="40"/>
      <c r="W39" s="20"/>
      <c r="AB39" s="20"/>
    </row>
    <row r="40" spans="3:28" x14ac:dyDescent="0.2">
      <c r="J40" s="20"/>
      <c r="W40" s="20"/>
      <c r="AB40" s="20"/>
    </row>
    <row r="41" spans="3:28" x14ac:dyDescent="0.2">
      <c r="J41" s="20"/>
      <c r="W41" s="20"/>
      <c r="AB41" s="20"/>
    </row>
    <row r="42" spans="3:28" x14ac:dyDescent="0.2">
      <c r="J42" s="20"/>
      <c r="W42" s="20"/>
      <c r="AB42" s="20"/>
    </row>
    <row r="43" spans="3:28" x14ac:dyDescent="0.2">
      <c r="J43" s="20"/>
      <c r="W43" s="20"/>
      <c r="AB43" s="20"/>
    </row>
    <row r="44" spans="3:28" x14ac:dyDescent="0.2">
      <c r="J44" s="20"/>
    </row>
    <row r="45" spans="3:28" x14ac:dyDescent="0.2">
      <c r="J45" s="20"/>
    </row>
    <row r="46" spans="3:28" x14ac:dyDescent="0.2">
      <c r="J46" s="20"/>
    </row>
    <row r="47" spans="3:28" x14ac:dyDescent="0.2">
      <c r="J47" s="20"/>
    </row>
    <row r="48" spans="3:28" x14ac:dyDescent="0.2">
      <c r="J48" s="20"/>
    </row>
    <row r="49" spans="10:10" x14ac:dyDescent="0.2">
      <c r="J49" s="20"/>
    </row>
    <row r="50" spans="10:10" hidden="1" x14ac:dyDescent="0.2">
      <c r="J50" s="20"/>
    </row>
    <row r="51" spans="10:10" x14ac:dyDescent="0.2">
      <c r="J51" s="20"/>
    </row>
    <row r="52" spans="10:10" x14ac:dyDescent="0.2">
      <c r="J52" s="20"/>
    </row>
    <row r="53" spans="10:10" x14ac:dyDescent="0.2">
      <c r="J53" s="20"/>
    </row>
  </sheetData>
  <pageMargins left="0.75" right="0.75" top="1" bottom="1" header="0" footer="0"/>
  <pageSetup paperSize="9" orientation="portrait" horizontalDpi="300" verticalDpi="300" r:id="rId1"/>
  <headerFooter alignWithMargins="0">
    <oddHeader>&amp;L&amp;"Arial,Negrita"&amp;8&amp;P&amp;C&amp;"Arial,Negrita"&amp;8Textura ISSS&amp;R&amp;"Arial,Negrita"&amp;8&amp;D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1:C336"/>
  <sheetViews>
    <sheetView workbookViewId="0">
      <selection activeCell="C14" sqref="C14"/>
    </sheetView>
  </sheetViews>
  <sheetFormatPr baseColWidth="10" defaultColWidth="9.28515625" defaultRowHeight="12.75" x14ac:dyDescent="0.2"/>
  <cols>
    <col min="1" max="1" width="7.7109375" style="44" bestFit="1" customWidth="1"/>
    <col min="2" max="2" width="96.7109375" style="44" customWidth="1"/>
    <col min="3" max="3" width="24.7109375" style="44" customWidth="1"/>
    <col min="4" max="16384" width="9.28515625" style="4"/>
  </cols>
  <sheetData>
    <row r="1" spans="1:3" x14ac:dyDescent="0.2">
      <c r="A1" s="90" t="s">
        <v>103</v>
      </c>
      <c r="B1" s="90"/>
    </row>
    <row r="2" spans="1:3" x14ac:dyDescent="0.2">
      <c r="A2" s="44" t="e">
        <f>IF(USDA!$U$2+1.5*USDA!$K$2&lt;15,1,0)</f>
        <v>#VALUE!</v>
      </c>
      <c r="B2" s="44" t="s">
        <v>104</v>
      </c>
      <c r="C2" s="45" t="s">
        <v>140</v>
      </c>
    </row>
    <row r="3" spans="1:3" x14ac:dyDescent="0.2">
      <c r="A3" s="44" t="e">
        <f>IF(AND(USDA!$U$2+1.5*USDA!$K$2&gt;=15, USDA!$U$2+2*USDA!$K$2&lt;30), 2, 0)</f>
        <v>#VALUE!</v>
      </c>
      <c r="B3" s="44" t="s">
        <v>105</v>
      </c>
      <c r="C3" s="45" t="s">
        <v>141</v>
      </c>
    </row>
    <row r="4" spans="1:3" x14ac:dyDescent="0.2">
      <c r="A4" s="44" t="e">
        <f>IF(OR(AND(USDA!$K$2&gt;=7, USDA!$K$2&lt;20,USDA!$T$2&gt;52,USDA!$U$2+2*USDA!$K$2&gt;=30), AND(USDA!$K$2&lt;7, USDA!$U$2&lt;50, USDA!$U$2+2*USDA!$K$2&gt;=30)), 3,0)</f>
        <v>#VALUE!</v>
      </c>
      <c r="B4" s="44" t="s">
        <v>106</v>
      </c>
      <c r="C4" s="45" t="s">
        <v>142</v>
      </c>
    </row>
    <row r="5" spans="1:3" x14ac:dyDescent="0.2">
      <c r="A5" s="44" t="e">
        <f>IF(AND(USDA!$K$2&gt;=7, USDA!$K$2&lt;27, USDA!$U$2&gt;=28, USDA!$U$2&lt;50, USDA!$T$2&lt;=52), 4, 0)</f>
        <v>#VALUE!</v>
      </c>
      <c r="B5" s="44" t="s">
        <v>107</v>
      </c>
      <c r="C5" s="45" t="s">
        <v>143</v>
      </c>
    </row>
    <row r="6" spans="1:3" x14ac:dyDescent="0.2">
      <c r="A6" s="44" t="e">
        <f>IF(OR(AND(USDA!$U$2&gt;=50, USDA!$K$2&gt;=12,USDA!$K$2&lt;27), AND(USDA!$U$2&gt;=50,USDA!$U$2&lt;80,USDA!$K$2&lt;12)), 5,0)</f>
        <v>#VALUE!</v>
      </c>
      <c r="B6" s="44" t="s">
        <v>108</v>
      </c>
      <c r="C6" s="45" t="s">
        <v>144</v>
      </c>
    </row>
    <row r="7" spans="1:3" x14ac:dyDescent="0.2">
      <c r="A7" s="44" t="e">
        <f>IF(AND(USDA!$U$2&gt;=80, USDA!$K$2&lt;12), 6, 0)</f>
        <v>#VALUE!</v>
      </c>
      <c r="B7" s="44" t="s">
        <v>109</v>
      </c>
      <c r="C7" s="45" t="s">
        <v>145</v>
      </c>
    </row>
    <row r="8" spans="1:3" x14ac:dyDescent="0.2">
      <c r="A8" s="44" t="e">
        <f>IF(AND(USDA!$K$2&gt;=20, USDA!$K$2&lt;35, USDA!$U$2&lt;28, USDA!$T$2&gt;45), 7, 0)</f>
        <v>#VALUE!</v>
      </c>
      <c r="B8" s="44" t="s">
        <v>110</v>
      </c>
      <c r="C8" s="45" t="s">
        <v>146</v>
      </c>
    </row>
    <row r="9" spans="1:3" x14ac:dyDescent="0.2">
      <c r="A9" s="44" t="e">
        <f>IF(AND(USDA!$K$2&gt;=27, USDA!$K$2&lt;40, USDA!$T$2&gt;20, USDA!$T$2&lt;=45), 8, 0)</f>
        <v>#VALUE!</v>
      </c>
      <c r="B9" s="44" t="s">
        <v>111</v>
      </c>
      <c r="C9" s="45" t="s">
        <v>147</v>
      </c>
    </row>
    <row r="10" spans="1:3" x14ac:dyDescent="0.2">
      <c r="A10" s="44" t="e">
        <f>IF(AND(USDA!$K$2&gt;=27, USDA!$K$2&lt;40, USDA!$T$2&lt;=20), 9, 0)</f>
        <v>#VALUE!</v>
      </c>
      <c r="B10" s="44" t="s">
        <v>112</v>
      </c>
      <c r="C10" s="45" t="s">
        <v>148</v>
      </c>
    </row>
    <row r="11" spans="1:3" x14ac:dyDescent="0.2">
      <c r="A11" s="44" t="e">
        <f>IF(AND(USDA!$K$2&gt;=35, USDA!$T$2&gt;45), 10, 0)</f>
        <v>#VALUE!</v>
      </c>
      <c r="B11" s="44" t="s">
        <v>113</v>
      </c>
      <c r="C11" s="45" t="s">
        <v>149</v>
      </c>
    </row>
    <row r="12" spans="1:3" x14ac:dyDescent="0.2">
      <c r="A12" s="44" t="e">
        <f>IF(AND(USDA!$K$2&gt;=40, USDA!$U$2&gt;=40), 11, 0)</f>
        <v>#VALUE!</v>
      </c>
      <c r="B12" s="44" t="s">
        <v>114</v>
      </c>
      <c r="C12" s="45" t="s">
        <v>150</v>
      </c>
    </row>
    <row r="13" spans="1:3" x14ac:dyDescent="0.2">
      <c r="A13" s="44" t="e">
        <f>IF(AND(USDA!$K$2&gt;=40, USDA!$T$2&lt;=45,USDA!$U$2&lt;40), 12, 0)</f>
        <v>#VALUE!</v>
      </c>
      <c r="B13" s="44" t="s">
        <v>115</v>
      </c>
      <c r="C13" s="45" t="s">
        <v>151</v>
      </c>
    </row>
    <row r="14" spans="1:3" x14ac:dyDescent="0.2">
      <c r="A14" s="44" t="e">
        <f>SUM(A2:A13)</f>
        <v>#VALUE!</v>
      </c>
    </row>
    <row r="15" spans="1:3" x14ac:dyDescent="0.2">
      <c r="A15" s="90" t="s">
        <v>103</v>
      </c>
      <c r="B15" s="90"/>
    </row>
    <row r="16" spans="1:3" x14ac:dyDescent="0.2">
      <c r="A16" s="44" t="e">
        <f>IF(USDA!$U$3+1.5*USDA!$K$3&lt;15,1,0)</f>
        <v>#VALUE!</v>
      </c>
      <c r="B16" s="44" t="s">
        <v>104</v>
      </c>
    </row>
    <row r="17" spans="1:2" x14ac:dyDescent="0.2">
      <c r="A17" s="44" t="e">
        <f>IF(AND(USDA!$U$3+1.5*USDA!$K$3&gt;=15, USDA!$U$3+2*USDA!$K$3&lt;30), 2, 0)</f>
        <v>#VALUE!</v>
      </c>
      <c r="B17" s="44" t="s">
        <v>105</v>
      </c>
    </row>
    <row r="18" spans="1:2" x14ac:dyDescent="0.2">
      <c r="A18" s="44" t="e">
        <f>IF(OR(AND(USDA!$K$3&gt;=7, USDA!$K$3&lt;20,USDA!$T$3&gt;52,USDA!$U$3+2*USDA!$K$3&gt;=30), AND(USDA!$K$3&lt;7, USDA!$U$3&lt;50, USDA!$U$3+2*USDA!$K$3&gt;=30)), 3,0)</f>
        <v>#VALUE!</v>
      </c>
      <c r="B18" s="44" t="s">
        <v>106</v>
      </c>
    </row>
    <row r="19" spans="1:2" x14ac:dyDescent="0.2">
      <c r="A19" s="44" t="e">
        <f>IF(AND(USDA!$K$3&gt;=7, USDA!$K$3&lt;27, USDA!$U$3&gt;=28, USDA!$U$3&lt;50, USDA!$T$3&lt;=52), 4, 0)</f>
        <v>#VALUE!</v>
      </c>
      <c r="B19" s="44" t="s">
        <v>107</v>
      </c>
    </row>
    <row r="20" spans="1:2" x14ac:dyDescent="0.2">
      <c r="A20" s="44" t="e">
        <f>IF(OR(AND(USDA!$U$3&gt;=50, USDA!$K$3&gt;=12,USDA!$K$3&lt;27), AND(USDA!$U$3&gt;=50,USDA!$U$3&lt;80,USDA!$K$3&lt;12)), 5,0)</f>
        <v>#VALUE!</v>
      </c>
      <c r="B20" s="44" t="s">
        <v>108</v>
      </c>
    </row>
    <row r="21" spans="1:2" x14ac:dyDescent="0.2">
      <c r="A21" s="44" t="e">
        <f>IF(AND(USDA!$U$3&gt;=80, USDA!$K$3&lt;12), 6, 0)</f>
        <v>#VALUE!</v>
      </c>
      <c r="B21" s="44" t="s">
        <v>109</v>
      </c>
    </row>
    <row r="22" spans="1:2" x14ac:dyDescent="0.2">
      <c r="A22" s="44" t="e">
        <f>IF(AND(USDA!$K$3&gt;=20, USDA!$K$3&lt;35, USDA!$U$3&lt;28, USDA!$T$3&gt;45), 7, 0)</f>
        <v>#VALUE!</v>
      </c>
      <c r="B22" s="44" t="s">
        <v>110</v>
      </c>
    </row>
    <row r="23" spans="1:2" x14ac:dyDescent="0.2">
      <c r="A23" s="44" t="e">
        <f>IF(AND(USDA!$K$3&gt;=27, USDA!$K$3&lt;40, USDA!$T$3&gt;20, USDA!$T$3&lt;=45), 8, 0)</f>
        <v>#VALUE!</v>
      </c>
      <c r="B23" s="44" t="s">
        <v>111</v>
      </c>
    </row>
    <row r="24" spans="1:2" x14ac:dyDescent="0.2">
      <c r="A24" s="44" t="e">
        <f>IF(AND(USDA!$K$3&gt;=27, USDA!$K$3&lt;40, USDA!$T$3&lt;=20), 9, 0)</f>
        <v>#VALUE!</v>
      </c>
      <c r="B24" s="44" t="s">
        <v>112</v>
      </c>
    </row>
    <row r="25" spans="1:2" x14ac:dyDescent="0.2">
      <c r="A25" s="44" t="e">
        <f>IF(AND(USDA!$K$3&gt;=35, USDA!$T$3&gt;45), 10, 0)</f>
        <v>#VALUE!</v>
      </c>
      <c r="B25" s="44" t="s">
        <v>113</v>
      </c>
    </row>
    <row r="26" spans="1:2" x14ac:dyDescent="0.2">
      <c r="A26" s="44" t="e">
        <f>IF(AND(USDA!$K$3&gt;=40, USDA!$U$3&gt;=40), 11, 0)</f>
        <v>#VALUE!</v>
      </c>
      <c r="B26" s="44" t="s">
        <v>114</v>
      </c>
    </row>
    <row r="27" spans="1:2" x14ac:dyDescent="0.2">
      <c r="A27" s="44" t="e">
        <f>IF(AND(USDA!$K$3&gt;=40, USDA!$T$3&lt;=45,USDA!$U$3&lt;40), 12, 0)</f>
        <v>#VALUE!</v>
      </c>
      <c r="B27" s="44" t="s">
        <v>115</v>
      </c>
    </row>
    <row r="28" spans="1:2" x14ac:dyDescent="0.2">
      <c r="A28" s="44" t="e">
        <f>SUM(A16:A27)</f>
        <v>#VALUE!</v>
      </c>
    </row>
    <row r="29" spans="1:2" x14ac:dyDescent="0.2">
      <c r="A29" s="90" t="s">
        <v>103</v>
      </c>
      <c r="B29" s="90"/>
    </row>
    <row r="30" spans="1:2" x14ac:dyDescent="0.2">
      <c r="A30" s="44" t="e">
        <f>IF(USDA!$U$4+1.5*USDA!$K$4&lt;15,1,0)</f>
        <v>#VALUE!</v>
      </c>
      <c r="B30" s="44" t="s">
        <v>104</v>
      </c>
    </row>
    <row r="31" spans="1:2" x14ac:dyDescent="0.2">
      <c r="A31" s="44" t="e">
        <f>IF(AND(USDA!$U$4+1.5*USDA!$K$4&gt;=15, USDA!$U$4+2*USDA!$K$4&lt;30), 2, 0)</f>
        <v>#VALUE!</v>
      </c>
      <c r="B31" s="44" t="s">
        <v>105</v>
      </c>
    </row>
    <row r="32" spans="1:2" x14ac:dyDescent="0.2">
      <c r="A32" s="44" t="e">
        <f>IF(OR(AND(USDA!$K$4&gt;=7, USDA!$K$4&lt;20,USDA!$T$4&gt;52,USDA!$U$4+2*USDA!$K$4&gt;=30), AND(USDA!$K$4&lt;7, USDA!$U$4&lt;50, USDA!$U$4+2*USDA!$K$4&gt;=30)), 3,0)</f>
        <v>#VALUE!</v>
      </c>
      <c r="B32" s="44" t="s">
        <v>106</v>
      </c>
    </row>
    <row r="33" spans="1:2" x14ac:dyDescent="0.2">
      <c r="A33" s="44" t="e">
        <f>IF(AND(USDA!$K$4&gt;=7, USDA!$K$4&lt;27, USDA!$U$4&gt;=28, USDA!$U$4&lt;50, USDA!$T$4&lt;=52), 4, 0)</f>
        <v>#VALUE!</v>
      </c>
      <c r="B33" s="44" t="s">
        <v>107</v>
      </c>
    </row>
    <row r="34" spans="1:2" x14ac:dyDescent="0.2">
      <c r="A34" s="44" t="e">
        <f>IF(OR(AND(USDA!$U$4&gt;=50, USDA!$K$4&gt;=12,USDA!$K$4&lt;27), AND(USDA!$U$4&gt;=50,USDA!$U$4&lt;80,USDA!$K$4&lt;12)), 5,0)</f>
        <v>#VALUE!</v>
      </c>
      <c r="B34" s="44" t="s">
        <v>108</v>
      </c>
    </row>
    <row r="35" spans="1:2" x14ac:dyDescent="0.2">
      <c r="A35" s="44" t="e">
        <f>IF(AND(USDA!$U$4&gt;=80, USDA!$K$4&lt;12), 6, 0)</f>
        <v>#VALUE!</v>
      </c>
      <c r="B35" s="44" t="s">
        <v>109</v>
      </c>
    </row>
    <row r="36" spans="1:2" x14ac:dyDescent="0.2">
      <c r="A36" s="44" t="e">
        <f>IF(AND(USDA!$K$4&gt;=20, USDA!$K$4&lt;35, USDA!$U$4&lt;28, USDA!$T$4&gt;45), 7, 0)</f>
        <v>#VALUE!</v>
      </c>
      <c r="B36" s="44" t="s">
        <v>110</v>
      </c>
    </row>
    <row r="37" spans="1:2" x14ac:dyDescent="0.2">
      <c r="A37" s="44" t="e">
        <f>IF(AND(USDA!$K$4&gt;=27, USDA!$K$4&lt;40, USDA!$T$4&gt;20, USDA!$T$4&lt;=45), 8, 0)</f>
        <v>#VALUE!</v>
      </c>
      <c r="B37" s="44" t="s">
        <v>111</v>
      </c>
    </row>
    <row r="38" spans="1:2" x14ac:dyDescent="0.2">
      <c r="A38" s="44" t="e">
        <f>IF(AND(USDA!$K$4&gt;=27, USDA!$K$4&lt;40, USDA!$T$4&lt;=20), 9, 0)</f>
        <v>#VALUE!</v>
      </c>
      <c r="B38" s="44" t="s">
        <v>112</v>
      </c>
    </row>
    <row r="39" spans="1:2" x14ac:dyDescent="0.2">
      <c r="A39" s="44" t="e">
        <f>IF(AND(USDA!$K$4&gt;=35, USDA!$T$4&gt;45), 10, 0)</f>
        <v>#VALUE!</v>
      </c>
      <c r="B39" s="44" t="s">
        <v>113</v>
      </c>
    </row>
    <row r="40" spans="1:2" x14ac:dyDescent="0.2">
      <c r="A40" s="44" t="e">
        <f>IF(AND(USDA!$K$4&gt;=40, USDA!$U$4&gt;=40), 11, 0)</f>
        <v>#VALUE!</v>
      </c>
      <c r="B40" s="44" t="s">
        <v>114</v>
      </c>
    </row>
    <row r="41" spans="1:2" x14ac:dyDescent="0.2">
      <c r="A41" s="44" t="e">
        <f>IF(AND(USDA!$K$4&gt;=40, USDA!$T$4&lt;=45,USDA!$U$4&lt;40), 12, 0)</f>
        <v>#VALUE!</v>
      </c>
      <c r="B41" s="44" t="s">
        <v>115</v>
      </c>
    </row>
    <row r="42" spans="1:2" x14ac:dyDescent="0.2">
      <c r="A42" s="44" t="e">
        <f>SUM(A30:A41)</f>
        <v>#VALUE!</v>
      </c>
    </row>
    <row r="43" spans="1:2" x14ac:dyDescent="0.2">
      <c r="A43" s="90" t="s">
        <v>103</v>
      </c>
      <c r="B43" s="90"/>
    </row>
    <row r="44" spans="1:2" x14ac:dyDescent="0.2">
      <c r="A44" s="44" t="e">
        <f>IF(USDA!$U$5+1.5*USDA!$K$5&lt;15,1,0)</f>
        <v>#VALUE!</v>
      </c>
      <c r="B44" s="44" t="s">
        <v>104</v>
      </c>
    </row>
    <row r="45" spans="1:2" x14ac:dyDescent="0.2">
      <c r="A45" s="44" t="e">
        <f>IF(AND(USDA!$U$5+1.5*USDA!$K$5&gt;=15, USDA!$U$5+2*USDA!$K$5&lt;30), 2, 0)</f>
        <v>#VALUE!</v>
      </c>
      <c r="B45" s="44" t="s">
        <v>105</v>
      </c>
    </row>
    <row r="46" spans="1:2" x14ac:dyDescent="0.2">
      <c r="A46" s="44" t="e">
        <f>IF(OR(AND(USDA!$K$5&gt;=7, USDA!$K$5&lt;20,USDA!$T$5&gt;52,USDA!$U$5+2*USDA!$K$5&gt;=30), AND(USDA!$K$5&lt;7, USDA!$U$5&lt;50, USDA!$U$5+2*USDA!$K$5&gt;=30)), 3,0)</f>
        <v>#VALUE!</v>
      </c>
      <c r="B46" s="44" t="s">
        <v>106</v>
      </c>
    </row>
    <row r="47" spans="1:2" x14ac:dyDescent="0.2">
      <c r="A47" s="44" t="e">
        <f>IF(AND(USDA!$K$5&gt;=7, USDA!$K$5&lt;27, USDA!$U$5&gt;=28, USDA!$U$5&lt;50, USDA!$T$5&lt;=52), 4, 0)</f>
        <v>#VALUE!</v>
      </c>
      <c r="B47" s="44" t="s">
        <v>107</v>
      </c>
    </row>
    <row r="48" spans="1:2" x14ac:dyDescent="0.2">
      <c r="A48" s="44" t="e">
        <f>IF(OR(AND(USDA!$U$5&gt;=50, USDA!$K$5&gt;=12,USDA!$K$5&lt;27), AND(USDA!$U$5&gt;=50,USDA!$U$5&lt;80,USDA!$K$5&lt;12)), 5,0)</f>
        <v>#VALUE!</v>
      </c>
      <c r="B48" s="44" t="s">
        <v>108</v>
      </c>
    </row>
    <row r="49" spans="1:2" x14ac:dyDescent="0.2">
      <c r="A49" s="44" t="e">
        <f>IF(AND(USDA!$U$5&gt;=80, USDA!$K$5&lt;12), 6, 0)</f>
        <v>#VALUE!</v>
      </c>
      <c r="B49" s="44" t="s">
        <v>109</v>
      </c>
    </row>
    <row r="50" spans="1:2" x14ac:dyDescent="0.2">
      <c r="A50" s="44" t="e">
        <f>IF(AND(USDA!$K$5&gt;=20, USDA!$K$5&lt;35, USDA!$U$5&lt;28, USDA!$T$5&gt;45), 7, 0)</f>
        <v>#VALUE!</v>
      </c>
      <c r="B50" s="44" t="s">
        <v>110</v>
      </c>
    </row>
    <row r="51" spans="1:2" x14ac:dyDescent="0.2">
      <c r="A51" s="44" t="e">
        <f>IF(AND(USDA!$K$5&gt;=27, USDA!$K$5&lt;40, USDA!$T$5&gt;20, USDA!$T$5&lt;=45), 8, 0)</f>
        <v>#VALUE!</v>
      </c>
      <c r="B51" s="44" t="s">
        <v>111</v>
      </c>
    </row>
    <row r="52" spans="1:2" x14ac:dyDescent="0.2">
      <c r="A52" s="44" t="e">
        <f>IF(AND(USDA!$K$5&gt;=27, USDA!$K$5&lt;40, USDA!$T$5&lt;=20), 9, 0)</f>
        <v>#VALUE!</v>
      </c>
      <c r="B52" s="44" t="s">
        <v>112</v>
      </c>
    </row>
    <row r="53" spans="1:2" x14ac:dyDescent="0.2">
      <c r="A53" s="44" t="e">
        <f>IF(AND(USDA!$K$5&gt;=35, USDA!$T$5&gt;45), 10, 0)</f>
        <v>#VALUE!</v>
      </c>
      <c r="B53" s="44" t="s">
        <v>113</v>
      </c>
    </row>
    <row r="54" spans="1:2" x14ac:dyDescent="0.2">
      <c r="A54" s="44" t="e">
        <f>IF(AND(USDA!$K$5&gt;=40, USDA!$U$5&gt;=40), 11, 0)</f>
        <v>#VALUE!</v>
      </c>
      <c r="B54" s="44" t="s">
        <v>114</v>
      </c>
    </row>
    <row r="55" spans="1:2" x14ac:dyDescent="0.2">
      <c r="A55" s="44" t="e">
        <f>IF(AND(USDA!$K$5&gt;=40, USDA!$T$5&lt;=45,USDA!$U$5&lt;40), 12, 0)</f>
        <v>#VALUE!</v>
      </c>
      <c r="B55" s="44" t="s">
        <v>115</v>
      </c>
    </row>
    <row r="56" spans="1:2" x14ac:dyDescent="0.2">
      <c r="A56" s="44" t="e">
        <f>SUM(A44:A55)</f>
        <v>#VALUE!</v>
      </c>
    </row>
    <row r="57" spans="1:2" x14ac:dyDescent="0.2">
      <c r="A57" s="90" t="s">
        <v>103</v>
      </c>
      <c r="B57" s="90"/>
    </row>
    <row r="58" spans="1:2" x14ac:dyDescent="0.2">
      <c r="A58" s="44" t="e">
        <f>IF(USDA!$U$6+1.5*USDA!$K$6&lt;15,1,0)</f>
        <v>#VALUE!</v>
      </c>
      <c r="B58" s="44" t="s">
        <v>104</v>
      </c>
    </row>
    <row r="59" spans="1:2" x14ac:dyDescent="0.2">
      <c r="A59" s="44" t="e">
        <f>IF(AND(USDA!$U$6+1.5*USDA!$K$6&gt;=15, USDA!$U$6+2*USDA!$K$6&lt;30), 2, 0)</f>
        <v>#VALUE!</v>
      </c>
      <c r="B59" s="44" t="s">
        <v>105</v>
      </c>
    </row>
    <row r="60" spans="1:2" x14ac:dyDescent="0.2">
      <c r="A60" s="44" t="e">
        <f>IF(OR(AND(USDA!$K$6&gt;=7, USDA!$K$6&lt;20,USDA!$T$6&gt;52,USDA!$U$6+2*USDA!$K$6&gt;=30), AND(USDA!$K$6&lt;7, USDA!$U$6&lt;50, USDA!$U$6+2*USDA!$K$6&gt;=30)), 3,0)</f>
        <v>#VALUE!</v>
      </c>
      <c r="B60" s="44" t="s">
        <v>106</v>
      </c>
    </row>
    <row r="61" spans="1:2" x14ac:dyDescent="0.2">
      <c r="A61" s="44" t="e">
        <f>IF(AND(USDA!$K$6&gt;=7, USDA!$K$6&lt;27, USDA!$U$6&gt;=28, USDA!$U$6&lt;50, USDA!$T$6&lt;=52), 4, 0)</f>
        <v>#VALUE!</v>
      </c>
      <c r="B61" s="44" t="s">
        <v>107</v>
      </c>
    </row>
    <row r="62" spans="1:2" x14ac:dyDescent="0.2">
      <c r="A62" s="44" t="e">
        <f>IF(OR(AND(USDA!$U$6&gt;=50, USDA!$K$6&gt;=12,USDA!$K$6&lt;27), AND(USDA!$U$6&gt;=50,USDA!$U$6&lt;80,USDA!$K$6&lt;12)), 5,0)</f>
        <v>#VALUE!</v>
      </c>
      <c r="B62" s="44" t="s">
        <v>108</v>
      </c>
    </row>
    <row r="63" spans="1:2" x14ac:dyDescent="0.2">
      <c r="A63" s="44" t="e">
        <f>IF(AND(USDA!$U$6&gt;=80, USDA!$K$6&lt;12), 6, 0)</f>
        <v>#VALUE!</v>
      </c>
      <c r="B63" s="44" t="s">
        <v>109</v>
      </c>
    </row>
    <row r="64" spans="1:2" x14ac:dyDescent="0.2">
      <c r="A64" s="44" t="e">
        <f>IF(AND(USDA!$K$6&gt;=20, USDA!$K$6&lt;35, USDA!$U$6&lt;28, USDA!$T$6&gt;45), 7, 0)</f>
        <v>#VALUE!</v>
      </c>
      <c r="B64" s="44" t="s">
        <v>110</v>
      </c>
    </row>
    <row r="65" spans="1:2" x14ac:dyDescent="0.2">
      <c r="A65" s="44" t="e">
        <f>IF(AND(USDA!$K$6&gt;=27, USDA!$K$6&lt;40, USDA!$T$6&gt;20, USDA!$T$6&lt;=45), 8, 0)</f>
        <v>#VALUE!</v>
      </c>
      <c r="B65" s="44" t="s">
        <v>111</v>
      </c>
    </row>
    <row r="66" spans="1:2" x14ac:dyDescent="0.2">
      <c r="A66" s="44" t="e">
        <f>IF(AND(USDA!$K$6&gt;=27, USDA!$K$6&lt;40, USDA!$T$6&lt;=20), 9, 0)</f>
        <v>#VALUE!</v>
      </c>
      <c r="B66" s="44" t="s">
        <v>112</v>
      </c>
    </row>
    <row r="67" spans="1:2" x14ac:dyDescent="0.2">
      <c r="A67" s="44" t="e">
        <f>IF(AND(USDA!$K$6&gt;=35, USDA!$T$6&gt;45), 10, 0)</f>
        <v>#VALUE!</v>
      </c>
      <c r="B67" s="44" t="s">
        <v>113</v>
      </c>
    </row>
    <row r="68" spans="1:2" x14ac:dyDescent="0.2">
      <c r="A68" s="44" t="e">
        <f>IF(AND(USDA!$K$6&gt;=40, USDA!$U$6&gt;=40), 11, 0)</f>
        <v>#VALUE!</v>
      </c>
      <c r="B68" s="44" t="s">
        <v>114</v>
      </c>
    </row>
    <row r="69" spans="1:2" x14ac:dyDescent="0.2">
      <c r="A69" s="44" t="e">
        <f>IF(AND(USDA!$K$6&gt;=40, USDA!$T$6&lt;=45,USDA!$U$6&lt;40), 12, 0)</f>
        <v>#VALUE!</v>
      </c>
      <c r="B69" s="44" t="s">
        <v>115</v>
      </c>
    </row>
    <row r="70" spans="1:2" x14ac:dyDescent="0.2">
      <c r="A70" s="44" t="e">
        <f>SUM(A58:A69)</f>
        <v>#VALUE!</v>
      </c>
    </row>
    <row r="71" spans="1:2" x14ac:dyDescent="0.2">
      <c r="A71" s="90" t="s">
        <v>103</v>
      </c>
      <c r="B71" s="90"/>
    </row>
    <row r="72" spans="1:2" x14ac:dyDescent="0.2">
      <c r="A72" s="44" t="e">
        <f>IF(USDA!$U$7+1.5*USDA!$K$7&lt;15,1,0)</f>
        <v>#VALUE!</v>
      </c>
      <c r="B72" s="44" t="s">
        <v>104</v>
      </c>
    </row>
    <row r="73" spans="1:2" x14ac:dyDescent="0.2">
      <c r="A73" s="44" t="e">
        <f>IF(AND(USDA!$U$7+1.5*USDA!$K$7&gt;=15, USDA!$U$7+2*USDA!$K$7&lt;30), 2, 0)</f>
        <v>#VALUE!</v>
      </c>
      <c r="B73" s="44" t="s">
        <v>105</v>
      </c>
    </row>
    <row r="74" spans="1:2" x14ac:dyDescent="0.2">
      <c r="A74" s="44" t="e">
        <f>IF(OR(AND(USDA!$K$7&gt;=7, USDA!$K$7&lt;20,USDA!$T$7&gt;52,USDA!$U$7+2*USDA!$K$7&gt;=30), AND(USDA!$K$7&lt;7, USDA!$U$7&lt;50, USDA!$U$7+2*USDA!$K$7&gt;=30)), 3,0)</f>
        <v>#VALUE!</v>
      </c>
      <c r="B74" s="44" t="s">
        <v>106</v>
      </c>
    </row>
    <row r="75" spans="1:2" x14ac:dyDescent="0.2">
      <c r="A75" s="44" t="e">
        <f>IF(AND(USDA!$K$7&gt;=7, USDA!$K$7&lt;27, USDA!$U$7&gt;=28, USDA!$U$7&lt;50, USDA!$T$7&lt;=52), 4, 0)</f>
        <v>#VALUE!</v>
      </c>
      <c r="B75" s="44" t="s">
        <v>107</v>
      </c>
    </row>
    <row r="76" spans="1:2" x14ac:dyDescent="0.2">
      <c r="A76" s="44" t="e">
        <f>IF(OR(AND(USDA!$U$7&gt;=50, USDA!$K$7&gt;=12,USDA!$K$7&lt;27), AND(USDA!$U$7&gt;=50,USDA!$U$7&lt;80,USDA!$K$7&lt;12)), 5,0)</f>
        <v>#VALUE!</v>
      </c>
      <c r="B76" s="44" t="s">
        <v>108</v>
      </c>
    </row>
    <row r="77" spans="1:2" x14ac:dyDescent="0.2">
      <c r="A77" s="44" t="e">
        <f>IF(AND(USDA!$U$7&gt;=80, USDA!$K$7&lt;12), 6, 0)</f>
        <v>#VALUE!</v>
      </c>
      <c r="B77" s="44" t="s">
        <v>109</v>
      </c>
    </row>
    <row r="78" spans="1:2" x14ac:dyDescent="0.2">
      <c r="A78" s="44" t="e">
        <f>IF(AND(USDA!$K$7&gt;=20, USDA!$K$7&lt;35, USDA!$U$7&lt;28, USDA!$T$7&gt;45), 7, 0)</f>
        <v>#VALUE!</v>
      </c>
      <c r="B78" s="44" t="s">
        <v>110</v>
      </c>
    </row>
    <row r="79" spans="1:2" x14ac:dyDescent="0.2">
      <c r="A79" s="44" t="e">
        <f>IF(AND(USDA!$K$7&gt;=27, USDA!$K$7&lt;40, USDA!$T$7&gt;20, USDA!$T$7&lt;=45), 8, 0)</f>
        <v>#VALUE!</v>
      </c>
      <c r="B79" s="44" t="s">
        <v>111</v>
      </c>
    </row>
    <row r="80" spans="1:2" x14ac:dyDescent="0.2">
      <c r="A80" s="44" t="e">
        <f>IF(AND(USDA!$K$7&gt;=27, USDA!$K$7&lt;40, USDA!$T$7&lt;=20), 9, 0)</f>
        <v>#VALUE!</v>
      </c>
      <c r="B80" s="44" t="s">
        <v>112</v>
      </c>
    </row>
    <row r="81" spans="1:2" x14ac:dyDescent="0.2">
      <c r="A81" s="44" t="e">
        <f>IF(AND(USDA!$K$7&gt;=35, USDA!$T$7&gt;45), 10, 0)</f>
        <v>#VALUE!</v>
      </c>
      <c r="B81" s="44" t="s">
        <v>113</v>
      </c>
    </row>
    <row r="82" spans="1:2" x14ac:dyDescent="0.2">
      <c r="A82" s="44" t="e">
        <f>IF(AND(USDA!$K$7&gt;=40, USDA!$U$7&gt;=40), 11, 0)</f>
        <v>#VALUE!</v>
      </c>
      <c r="B82" s="44" t="s">
        <v>114</v>
      </c>
    </row>
    <row r="83" spans="1:2" x14ac:dyDescent="0.2">
      <c r="A83" s="44" t="e">
        <f>IF(AND(USDA!$K$7&gt;=40, USDA!$T$7&lt;=45,USDA!$U$7&lt;40), 12, 0)</f>
        <v>#VALUE!</v>
      </c>
      <c r="B83" s="44" t="s">
        <v>115</v>
      </c>
    </row>
    <row r="84" spans="1:2" x14ac:dyDescent="0.2">
      <c r="A84" s="44" t="e">
        <f>SUM(A72:A83)</f>
        <v>#VALUE!</v>
      </c>
    </row>
    <row r="85" spans="1:2" x14ac:dyDescent="0.2">
      <c r="A85" s="90" t="s">
        <v>103</v>
      </c>
      <c r="B85" s="90"/>
    </row>
    <row r="86" spans="1:2" x14ac:dyDescent="0.2">
      <c r="A86" s="44" t="e">
        <f>IF(USDA!$U$8+1.5*USDA!$K$8&lt;15,1,0)</f>
        <v>#VALUE!</v>
      </c>
      <c r="B86" s="44" t="s">
        <v>104</v>
      </c>
    </row>
    <row r="87" spans="1:2" x14ac:dyDescent="0.2">
      <c r="A87" s="44" t="e">
        <f>IF(AND(USDA!$U$8+1.5*USDA!$K$8&gt;=15, USDA!$U$8+2*USDA!$K$8&lt;30), 2, 0)</f>
        <v>#VALUE!</v>
      </c>
      <c r="B87" s="44" t="s">
        <v>105</v>
      </c>
    </row>
    <row r="88" spans="1:2" x14ac:dyDescent="0.2">
      <c r="A88" s="44" t="e">
        <f>IF(OR(AND(USDA!$K$8&gt;=7, USDA!$K$8&lt;20,USDA!$T$8&gt;52,USDA!$U$8+2*USDA!$K$8&gt;=30), AND(USDA!$K$8&lt;7, USDA!$U$8&lt;50, USDA!$U$8+2*USDA!$K$8&gt;=30)), 3,0)</f>
        <v>#VALUE!</v>
      </c>
      <c r="B88" s="44" t="s">
        <v>106</v>
      </c>
    </row>
    <row r="89" spans="1:2" x14ac:dyDescent="0.2">
      <c r="A89" s="44" t="e">
        <f>IF(AND(USDA!$K$8&gt;=7, USDA!$K$8&lt;27, USDA!$U$8&gt;=28, USDA!$U$8&lt;50, USDA!$T$8&lt;=52), 4, 0)</f>
        <v>#VALUE!</v>
      </c>
      <c r="B89" s="44" t="s">
        <v>107</v>
      </c>
    </row>
    <row r="90" spans="1:2" x14ac:dyDescent="0.2">
      <c r="A90" s="44" t="e">
        <f>IF(OR(AND(USDA!$U$8&gt;=50, USDA!$K$8&gt;=12,USDA!$K$8&lt;27), AND(USDA!$U$8&gt;=50,USDA!$U$8&lt;80,USDA!$K$8&lt;12)), 5,0)</f>
        <v>#VALUE!</v>
      </c>
      <c r="B90" s="44" t="s">
        <v>108</v>
      </c>
    </row>
    <row r="91" spans="1:2" x14ac:dyDescent="0.2">
      <c r="A91" s="44" t="e">
        <f>IF(AND(USDA!$U$8&gt;=80, USDA!$K$8&lt;12), 6, 0)</f>
        <v>#VALUE!</v>
      </c>
      <c r="B91" s="44" t="s">
        <v>109</v>
      </c>
    </row>
    <row r="92" spans="1:2" x14ac:dyDescent="0.2">
      <c r="A92" s="44" t="e">
        <f>IF(AND(USDA!$K$8&gt;=20, USDA!$K$8&lt;35, USDA!$U$8&lt;28, USDA!$T$8&gt;45), 7, 0)</f>
        <v>#VALUE!</v>
      </c>
      <c r="B92" s="44" t="s">
        <v>110</v>
      </c>
    </row>
    <row r="93" spans="1:2" x14ac:dyDescent="0.2">
      <c r="A93" s="44" t="e">
        <f>IF(AND(USDA!$K$8&gt;=27, USDA!$K$8&lt;40, USDA!$T$8&gt;20, USDA!$T$8&lt;=45), 8, 0)</f>
        <v>#VALUE!</v>
      </c>
      <c r="B93" s="44" t="s">
        <v>111</v>
      </c>
    </row>
    <row r="94" spans="1:2" x14ac:dyDescent="0.2">
      <c r="A94" s="44" t="e">
        <f>IF(AND(USDA!$K$8&gt;=27, USDA!$K$8&lt;40, USDA!$T$8&lt;=20), 9, 0)</f>
        <v>#VALUE!</v>
      </c>
      <c r="B94" s="44" t="s">
        <v>112</v>
      </c>
    </row>
    <row r="95" spans="1:2" x14ac:dyDescent="0.2">
      <c r="A95" s="44" t="e">
        <f>IF(AND(USDA!$K$8&gt;=35, USDA!$T$8&gt;45), 10, 0)</f>
        <v>#VALUE!</v>
      </c>
      <c r="B95" s="44" t="s">
        <v>113</v>
      </c>
    </row>
    <row r="96" spans="1:2" x14ac:dyDescent="0.2">
      <c r="A96" s="44" t="e">
        <f>IF(AND(USDA!$K$8&gt;=40, USDA!$U$8&gt;=40), 11, 0)</f>
        <v>#VALUE!</v>
      </c>
      <c r="B96" s="44" t="s">
        <v>114</v>
      </c>
    </row>
    <row r="97" spans="1:2" x14ac:dyDescent="0.2">
      <c r="A97" s="44" t="e">
        <f>IF(AND(USDA!$K$8&gt;=40, USDA!$T$8&lt;=45,USDA!$U$8&lt;40), 12, 0)</f>
        <v>#VALUE!</v>
      </c>
      <c r="B97" s="44" t="s">
        <v>115</v>
      </c>
    </row>
    <row r="98" spans="1:2" x14ac:dyDescent="0.2">
      <c r="A98" s="44" t="e">
        <f>SUM(A86:A97)</f>
        <v>#VALUE!</v>
      </c>
    </row>
    <row r="99" spans="1:2" x14ac:dyDescent="0.2">
      <c r="A99" s="90" t="s">
        <v>103</v>
      </c>
      <c r="B99" s="90"/>
    </row>
    <row r="100" spans="1:2" x14ac:dyDescent="0.2">
      <c r="A100" s="44" t="e">
        <f>IF(USDA!$U$9+1.5*USDA!$K$9&lt;15,1,0)</f>
        <v>#VALUE!</v>
      </c>
      <c r="B100" s="44" t="s">
        <v>104</v>
      </c>
    </row>
    <row r="101" spans="1:2" x14ac:dyDescent="0.2">
      <c r="A101" s="44" t="e">
        <f>IF(AND(USDA!$U$9+1.5*USDA!$K$9&gt;=15, USDA!$U$9+2*USDA!$K$9&lt;30), 2, 0)</f>
        <v>#VALUE!</v>
      </c>
      <c r="B101" s="44" t="s">
        <v>105</v>
      </c>
    </row>
    <row r="102" spans="1:2" x14ac:dyDescent="0.2">
      <c r="A102" s="44" t="e">
        <f>IF(OR(AND(USDA!$K$9&gt;=7, USDA!$K$9&lt;20,USDA!$T$9&gt;52,USDA!$U$9+2*USDA!$K$9&gt;=30), AND(USDA!$K$9&lt;7, USDA!$U$9&lt;50, USDA!$U$9+2*USDA!$K$9&gt;=30)), 3,0)</f>
        <v>#VALUE!</v>
      </c>
      <c r="B102" s="44" t="s">
        <v>106</v>
      </c>
    </row>
    <row r="103" spans="1:2" x14ac:dyDescent="0.2">
      <c r="A103" s="44" t="e">
        <f>IF(AND(USDA!$K$9&gt;=7, USDA!$K$9&lt;27, USDA!$U$9&gt;=28, USDA!$U$9&lt;50, USDA!$T$9&lt;=52), 4, 0)</f>
        <v>#VALUE!</v>
      </c>
      <c r="B103" s="44" t="s">
        <v>107</v>
      </c>
    </row>
    <row r="104" spans="1:2" x14ac:dyDescent="0.2">
      <c r="A104" s="44" t="e">
        <f>IF(OR(AND(USDA!$U$9&gt;=50, USDA!$K$9&gt;=12,USDA!$K$9&lt;27), AND(USDA!$U$9&gt;=50,USDA!$U$9&lt;80,USDA!$K$9&lt;12)), 5,0)</f>
        <v>#VALUE!</v>
      </c>
      <c r="B104" s="44" t="s">
        <v>108</v>
      </c>
    </row>
    <row r="105" spans="1:2" x14ac:dyDescent="0.2">
      <c r="A105" s="44" t="e">
        <f>IF(AND(USDA!$U$9&gt;=80, USDA!$K$9&lt;12), 6, 0)</f>
        <v>#VALUE!</v>
      </c>
      <c r="B105" s="44" t="s">
        <v>109</v>
      </c>
    </row>
    <row r="106" spans="1:2" x14ac:dyDescent="0.2">
      <c r="A106" s="44" t="e">
        <f>IF(AND(USDA!$K$9&gt;=20, USDA!$K$9&lt;35, USDA!$U$9&lt;28, USDA!$T$9&gt;45), 7, 0)</f>
        <v>#VALUE!</v>
      </c>
      <c r="B106" s="44" t="s">
        <v>110</v>
      </c>
    </row>
    <row r="107" spans="1:2" x14ac:dyDescent="0.2">
      <c r="A107" s="44" t="e">
        <f>IF(AND(USDA!$K$9&gt;=27, USDA!$K$9&lt;40, USDA!$T$9&gt;20, USDA!$T$9&lt;=45), 8, 0)</f>
        <v>#VALUE!</v>
      </c>
      <c r="B107" s="44" t="s">
        <v>111</v>
      </c>
    </row>
    <row r="108" spans="1:2" x14ac:dyDescent="0.2">
      <c r="A108" s="44" t="e">
        <f>IF(AND(USDA!$K$9&gt;=27, USDA!$K$9&lt;40, USDA!$T$9&lt;=20), 9, 0)</f>
        <v>#VALUE!</v>
      </c>
      <c r="B108" s="44" t="s">
        <v>112</v>
      </c>
    </row>
    <row r="109" spans="1:2" x14ac:dyDescent="0.2">
      <c r="A109" s="44" t="e">
        <f>IF(AND(USDA!$K$9&gt;=35, USDA!$T$9&gt;45), 10, 0)</f>
        <v>#VALUE!</v>
      </c>
      <c r="B109" s="44" t="s">
        <v>113</v>
      </c>
    </row>
    <row r="110" spans="1:2" x14ac:dyDescent="0.2">
      <c r="A110" s="44" t="e">
        <f>IF(AND(USDA!$K$9&gt;=40, USDA!$U$9&gt;=40), 11, 0)</f>
        <v>#VALUE!</v>
      </c>
      <c r="B110" s="44" t="s">
        <v>114</v>
      </c>
    </row>
    <row r="111" spans="1:2" x14ac:dyDescent="0.2">
      <c r="A111" s="44" t="e">
        <f>IF(AND(USDA!$K$9&gt;=40, USDA!$T$9&lt;=45,USDA!$U$9&lt;40), 12, 0)</f>
        <v>#VALUE!</v>
      </c>
      <c r="B111" s="44" t="s">
        <v>115</v>
      </c>
    </row>
    <row r="112" spans="1:2" x14ac:dyDescent="0.2">
      <c r="A112" s="44" t="e">
        <f>SUM(A100:A111)</f>
        <v>#VALUE!</v>
      </c>
    </row>
    <row r="113" spans="1:2" x14ac:dyDescent="0.2">
      <c r="A113" s="90" t="s">
        <v>103</v>
      </c>
      <c r="B113" s="90"/>
    </row>
    <row r="114" spans="1:2" x14ac:dyDescent="0.2">
      <c r="A114" s="44" t="e">
        <f>IF(USDA!$U$10+1.5*USDA!$K$10&lt;15,1,0)</f>
        <v>#VALUE!</v>
      </c>
      <c r="B114" s="44" t="s">
        <v>104</v>
      </c>
    </row>
    <row r="115" spans="1:2" x14ac:dyDescent="0.2">
      <c r="A115" s="44" t="e">
        <f>IF(AND(USDA!$U$10+1.5*USDA!$K$10&gt;=15, USDA!$U$10+2*USDA!$K$10&lt;30), 2, 0)</f>
        <v>#VALUE!</v>
      </c>
      <c r="B115" s="44" t="s">
        <v>105</v>
      </c>
    </row>
    <row r="116" spans="1:2" x14ac:dyDescent="0.2">
      <c r="A116" s="44" t="e">
        <f>IF(OR(AND(USDA!$K$10&gt;=7, USDA!$K$10&lt;20,USDA!$T$10&gt;52,USDA!$U$10+2*USDA!$K$10&gt;=30), AND(USDA!$K$10&lt;7, USDA!$U$10&lt;50, USDA!$U$10+2*USDA!$K$10&gt;=30)), 3,0)</f>
        <v>#VALUE!</v>
      </c>
      <c r="B116" s="44" t="s">
        <v>106</v>
      </c>
    </row>
    <row r="117" spans="1:2" x14ac:dyDescent="0.2">
      <c r="A117" s="44" t="e">
        <f>IF(AND(USDA!$K$10&gt;=7, USDA!$K$10&lt;27, USDA!$U$10&gt;=28, USDA!$U$10&lt;50, USDA!$T$10&lt;=52), 4, 0)</f>
        <v>#VALUE!</v>
      </c>
      <c r="B117" s="44" t="s">
        <v>107</v>
      </c>
    </row>
    <row r="118" spans="1:2" x14ac:dyDescent="0.2">
      <c r="A118" s="44" t="e">
        <f>IF(OR(AND(USDA!$U$10&gt;=50, USDA!$K$10&gt;=12,USDA!$K$10&lt;27), AND(USDA!$U$10&gt;=50,USDA!$U$10&lt;80,USDA!$K$10&lt;12)), 5,0)</f>
        <v>#VALUE!</v>
      </c>
      <c r="B118" s="44" t="s">
        <v>108</v>
      </c>
    </row>
    <row r="119" spans="1:2" x14ac:dyDescent="0.2">
      <c r="A119" s="44" t="e">
        <f>IF(AND(USDA!$U$10&gt;=80, USDA!$K$10&lt;12), 6, 0)</f>
        <v>#VALUE!</v>
      </c>
      <c r="B119" s="44" t="s">
        <v>109</v>
      </c>
    </row>
    <row r="120" spans="1:2" x14ac:dyDescent="0.2">
      <c r="A120" s="44" t="e">
        <f>IF(AND(USDA!$K$10&gt;=20, USDA!$K$10&lt;35, USDA!$U$10&lt;28, USDA!$T$10&gt;45), 7, 0)</f>
        <v>#VALUE!</v>
      </c>
      <c r="B120" s="44" t="s">
        <v>110</v>
      </c>
    </row>
    <row r="121" spans="1:2" x14ac:dyDescent="0.2">
      <c r="A121" s="44" t="e">
        <f>IF(AND(USDA!$K$10&gt;=27, USDA!$K$10&lt;40, USDA!$T$10&gt;20, USDA!$T$10&lt;=45), 8, 0)</f>
        <v>#VALUE!</v>
      </c>
      <c r="B121" s="44" t="s">
        <v>111</v>
      </c>
    </row>
    <row r="122" spans="1:2" x14ac:dyDescent="0.2">
      <c r="A122" s="44" t="e">
        <f>IF(AND(USDA!$K$10&gt;=27, USDA!$K$10&lt;40, USDA!$T$10&lt;=20), 9, 0)</f>
        <v>#VALUE!</v>
      </c>
      <c r="B122" s="44" t="s">
        <v>112</v>
      </c>
    </row>
    <row r="123" spans="1:2" x14ac:dyDescent="0.2">
      <c r="A123" s="44" t="e">
        <f>IF(AND(USDA!$K$10&gt;=35, USDA!$T$10&gt;45), 10, 0)</f>
        <v>#VALUE!</v>
      </c>
      <c r="B123" s="44" t="s">
        <v>113</v>
      </c>
    </row>
    <row r="124" spans="1:2" x14ac:dyDescent="0.2">
      <c r="A124" s="44" t="e">
        <f>IF(AND(USDA!$K$10&gt;=40, USDA!$U$10&gt;=40), 11, 0)</f>
        <v>#VALUE!</v>
      </c>
      <c r="B124" s="44" t="s">
        <v>114</v>
      </c>
    </row>
    <row r="125" spans="1:2" x14ac:dyDescent="0.2">
      <c r="A125" s="44" t="e">
        <f>IF(AND(USDA!$K$10&gt;=40, USDA!$T$10&lt;=45,USDA!$U$10&lt;40), 12, 0)</f>
        <v>#VALUE!</v>
      </c>
      <c r="B125" s="44" t="s">
        <v>115</v>
      </c>
    </row>
    <row r="126" spans="1:2" x14ac:dyDescent="0.2">
      <c r="A126" s="44" t="e">
        <f>SUM(A114:A125)</f>
        <v>#VALUE!</v>
      </c>
    </row>
    <row r="127" spans="1:2" x14ac:dyDescent="0.2">
      <c r="A127" s="90" t="s">
        <v>103</v>
      </c>
      <c r="B127" s="90"/>
    </row>
    <row r="128" spans="1:2" x14ac:dyDescent="0.2">
      <c r="A128" s="44" t="e">
        <f>IF(USDA!$U$11+1.5*USDA!$K$11&lt;15,1,0)</f>
        <v>#VALUE!</v>
      </c>
      <c r="B128" s="44" t="s">
        <v>104</v>
      </c>
    </row>
    <row r="129" spans="1:2" x14ac:dyDescent="0.2">
      <c r="A129" s="44" t="e">
        <f>IF(AND(USDA!$U$11+1.5*USDA!$K$11&gt;=15, USDA!$U$11+2*USDA!$K$11&lt;30), 2, 0)</f>
        <v>#VALUE!</v>
      </c>
      <c r="B129" s="44" t="s">
        <v>105</v>
      </c>
    </row>
    <row r="130" spans="1:2" x14ac:dyDescent="0.2">
      <c r="A130" s="44" t="e">
        <f>IF(OR(AND(USDA!$K$11&gt;=7, USDA!$K$11&lt;20,USDA!$T$11&gt;52,USDA!$U$11+2*USDA!$K$11&gt;=30), AND(USDA!$K$11&lt;7, USDA!$U$11&lt;50, USDA!$U$11+2*USDA!$K$11&gt;=30)), 3,0)</f>
        <v>#VALUE!</v>
      </c>
      <c r="B130" s="44" t="s">
        <v>106</v>
      </c>
    </row>
    <row r="131" spans="1:2" x14ac:dyDescent="0.2">
      <c r="A131" s="44" t="e">
        <f>IF(AND(USDA!$K$11&gt;=7, USDA!$K$11&lt;27, USDA!$U$11&gt;=28, USDA!$U$11&lt;50, USDA!$T$11&lt;=52), 4, 0)</f>
        <v>#VALUE!</v>
      </c>
      <c r="B131" s="44" t="s">
        <v>107</v>
      </c>
    </row>
    <row r="132" spans="1:2" x14ac:dyDescent="0.2">
      <c r="A132" s="44" t="e">
        <f>IF(OR(AND(USDA!$U$11&gt;=50, USDA!$K$11&gt;=12,USDA!$K$11&lt;27), AND(USDA!$U$11&gt;=50,USDA!$U$11&lt;80,USDA!$K$11&lt;12)), 5,0)</f>
        <v>#VALUE!</v>
      </c>
      <c r="B132" s="44" t="s">
        <v>108</v>
      </c>
    </row>
    <row r="133" spans="1:2" x14ac:dyDescent="0.2">
      <c r="A133" s="44" t="e">
        <f>IF(AND(USDA!$U$11&gt;=80, USDA!$K$11&lt;12), 6, 0)</f>
        <v>#VALUE!</v>
      </c>
      <c r="B133" s="44" t="s">
        <v>109</v>
      </c>
    </row>
    <row r="134" spans="1:2" x14ac:dyDescent="0.2">
      <c r="A134" s="44" t="e">
        <f>IF(AND(USDA!$K$11&gt;=20, USDA!$K$11&lt;35, USDA!$U$11&lt;28, USDA!$T$11&gt;45), 7, 0)</f>
        <v>#VALUE!</v>
      </c>
      <c r="B134" s="44" t="s">
        <v>110</v>
      </c>
    </row>
    <row r="135" spans="1:2" x14ac:dyDescent="0.2">
      <c r="A135" s="44" t="e">
        <f>IF(AND(USDA!$K$11&gt;=27, USDA!$K$11&lt;40, USDA!$T$11&gt;20, USDA!$T$11&lt;=45), 8, 0)</f>
        <v>#VALUE!</v>
      </c>
      <c r="B135" s="44" t="s">
        <v>111</v>
      </c>
    </row>
    <row r="136" spans="1:2" x14ac:dyDescent="0.2">
      <c r="A136" s="44" t="e">
        <f>IF(AND(USDA!$K$11&gt;=27, USDA!$K$11&lt;40, USDA!$T$11&lt;=20), 9, 0)</f>
        <v>#VALUE!</v>
      </c>
      <c r="B136" s="44" t="s">
        <v>112</v>
      </c>
    </row>
    <row r="137" spans="1:2" x14ac:dyDescent="0.2">
      <c r="A137" s="44" t="e">
        <f>IF(AND(USDA!$K$11&gt;=35, USDA!$T$11&gt;45), 10, 0)</f>
        <v>#VALUE!</v>
      </c>
      <c r="B137" s="44" t="s">
        <v>113</v>
      </c>
    </row>
    <row r="138" spans="1:2" x14ac:dyDescent="0.2">
      <c r="A138" s="44" t="e">
        <f>IF(AND(USDA!$K$11&gt;=40, USDA!$U$11&gt;=40), 11, 0)</f>
        <v>#VALUE!</v>
      </c>
      <c r="B138" s="44" t="s">
        <v>114</v>
      </c>
    </row>
    <row r="139" spans="1:2" x14ac:dyDescent="0.2">
      <c r="A139" s="44" t="e">
        <f>IF(AND(USDA!$K$11&gt;=40, USDA!$T$11&lt;=45,USDA!$U$11&lt;40), 12, 0)</f>
        <v>#VALUE!</v>
      </c>
      <c r="B139" s="44" t="s">
        <v>115</v>
      </c>
    </row>
    <row r="140" spans="1:2" x14ac:dyDescent="0.2">
      <c r="A140" s="44" t="e">
        <f>SUM(A128:A139)</f>
        <v>#VALUE!</v>
      </c>
    </row>
    <row r="141" spans="1:2" x14ac:dyDescent="0.2">
      <c r="A141" s="90" t="s">
        <v>103</v>
      </c>
      <c r="B141" s="90"/>
    </row>
    <row r="142" spans="1:2" x14ac:dyDescent="0.2">
      <c r="A142" s="44" t="e">
        <f>IF(USDA!$U$12+1.5*USDA!$K$12&lt;15,1,0)</f>
        <v>#VALUE!</v>
      </c>
      <c r="B142" s="44" t="s">
        <v>104</v>
      </c>
    </row>
    <row r="143" spans="1:2" x14ac:dyDescent="0.2">
      <c r="A143" s="44" t="e">
        <f>IF(AND(USDA!$U$12+1.5*USDA!$K$12&gt;=15, USDA!$U$12+2*USDA!$K$12&lt;30), 2, 0)</f>
        <v>#VALUE!</v>
      </c>
      <c r="B143" s="44" t="s">
        <v>105</v>
      </c>
    </row>
    <row r="144" spans="1:2" x14ac:dyDescent="0.2">
      <c r="A144" s="44" t="e">
        <f>IF(OR(AND(USDA!$K$12&gt;=7, USDA!$K$12&lt;20,USDA!$T$12&gt;52,USDA!$U$12+2*USDA!$K$12&gt;=30), AND(USDA!$K$12&lt;7, USDA!$U$12&lt;50, USDA!$U$12+2*USDA!$K$12&gt;=30)), 3,0)</f>
        <v>#VALUE!</v>
      </c>
      <c r="B144" s="44" t="s">
        <v>106</v>
      </c>
    </row>
    <row r="145" spans="1:2" x14ac:dyDescent="0.2">
      <c r="A145" s="44" t="e">
        <f>IF(AND(USDA!$K$12&gt;=7, USDA!$K$12&lt;27, USDA!$U$12&gt;=28, USDA!$U$12&lt;50, USDA!$T$12&lt;=52), 4, 0)</f>
        <v>#VALUE!</v>
      </c>
      <c r="B145" s="44" t="s">
        <v>107</v>
      </c>
    </row>
    <row r="146" spans="1:2" x14ac:dyDescent="0.2">
      <c r="A146" s="44" t="e">
        <f>IF(OR(AND(USDA!$U$12&gt;=50, USDA!$K$12&gt;=12,USDA!$K$12&lt;27), AND(USDA!$U$12&gt;=50,USDA!$U$12&lt;80,USDA!$K$12&lt;12)), 5,0)</f>
        <v>#VALUE!</v>
      </c>
      <c r="B146" s="44" t="s">
        <v>108</v>
      </c>
    </row>
    <row r="147" spans="1:2" x14ac:dyDescent="0.2">
      <c r="A147" s="44" t="e">
        <f>IF(AND(USDA!$U$12&gt;=80, USDA!$K$12&lt;12), 6, 0)</f>
        <v>#VALUE!</v>
      </c>
      <c r="B147" s="44" t="s">
        <v>109</v>
      </c>
    </row>
    <row r="148" spans="1:2" x14ac:dyDescent="0.2">
      <c r="A148" s="44" t="e">
        <f>IF(AND(USDA!$K$12&gt;=20, USDA!$K$12&lt;35, USDA!$U$12&lt;28, USDA!$T$12&gt;45), 7, 0)</f>
        <v>#VALUE!</v>
      </c>
      <c r="B148" s="44" t="s">
        <v>110</v>
      </c>
    </row>
    <row r="149" spans="1:2" x14ac:dyDescent="0.2">
      <c r="A149" s="44" t="e">
        <f>IF(AND(USDA!$K$12&gt;=27, USDA!$K$12&lt;40, USDA!$T$12&gt;20, USDA!$T$12&lt;=45), 8, 0)</f>
        <v>#VALUE!</v>
      </c>
      <c r="B149" s="44" t="s">
        <v>111</v>
      </c>
    </row>
    <row r="150" spans="1:2" x14ac:dyDescent="0.2">
      <c r="A150" s="44" t="e">
        <f>IF(AND(USDA!$K$12&gt;=27, USDA!$K$12&lt;40, USDA!$T$12&lt;=20), 9, 0)</f>
        <v>#VALUE!</v>
      </c>
      <c r="B150" s="44" t="s">
        <v>112</v>
      </c>
    </row>
    <row r="151" spans="1:2" x14ac:dyDescent="0.2">
      <c r="A151" s="44" t="e">
        <f>IF(AND(USDA!$K$12&gt;=35, USDA!$T$12&gt;45), 10, 0)</f>
        <v>#VALUE!</v>
      </c>
      <c r="B151" s="44" t="s">
        <v>113</v>
      </c>
    </row>
    <row r="152" spans="1:2" x14ac:dyDescent="0.2">
      <c r="A152" s="44" t="e">
        <f>IF(AND(USDA!$K$12&gt;=40, USDA!$U$12&gt;=40), 11, 0)</f>
        <v>#VALUE!</v>
      </c>
      <c r="B152" s="44" t="s">
        <v>114</v>
      </c>
    </row>
    <row r="153" spans="1:2" x14ac:dyDescent="0.2">
      <c r="A153" s="44" t="e">
        <f>IF(AND(USDA!$K$12&gt;=40, USDA!$T$12&lt;=45,USDA!$U$12&lt;40), 12, 0)</f>
        <v>#VALUE!</v>
      </c>
      <c r="B153" s="44" t="s">
        <v>115</v>
      </c>
    </row>
    <row r="154" spans="1:2" x14ac:dyDescent="0.2">
      <c r="A154" s="44" t="e">
        <f>SUM(A142:A153)</f>
        <v>#VALUE!</v>
      </c>
    </row>
    <row r="155" spans="1:2" x14ac:dyDescent="0.2">
      <c r="A155" s="90" t="s">
        <v>103</v>
      </c>
      <c r="B155" s="90"/>
    </row>
    <row r="156" spans="1:2" x14ac:dyDescent="0.2">
      <c r="A156" s="44" t="e">
        <f>IF(USDA!$U$13+1.5*USDA!$K$13&lt;15,1,0)</f>
        <v>#VALUE!</v>
      </c>
      <c r="B156" s="44" t="s">
        <v>104</v>
      </c>
    </row>
    <row r="157" spans="1:2" x14ac:dyDescent="0.2">
      <c r="A157" s="44" t="e">
        <f>IF(AND(USDA!$U$13+1.5*USDA!$K$13&gt;=15, USDA!$U$13+2*USDA!$K$13&lt;30), 2, 0)</f>
        <v>#VALUE!</v>
      </c>
      <c r="B157" s="44" t="s">
        <v>105</v>
      </c>
    </row>
    <row r="158" spans="1:2" x14ac:dyDescent="0.2">
      <c r="A158" s="44" t="e">
        <f>IF(OR(AND(USDA!$K$13&gt;=7, USDA!$K$13&lt;20,USDA!$T$13&gt;52,USDA!$U$13+2*USDA!$K$13&gt;=30), AND(USDA!$K$13&lt;7, USDA!$U$13&lt;50, USDA!$U$13+2*USDA!$K$13&gt;=30)), 3,0)</f>
        <v>#VALUE!</v>
      </c>
      <c r="B158" s="44" t="s">
        <v>106</v>
      </c>
    </row>
    <row r="159" spans="1:2" x14ac:dyDescent="0.2">
      <c r="A159" s="44" t="e">
        <f>IF(AND(USDA!$K$13&gt;=7, USDA!$K$13&lt;27, USDA!$U$13&gt;=28, USDA!$U$13&lt;50, USDA!$T$13&lt;=52), 4, 0)</f>
        <v>#VALUE!</v>
      </c>
      <c r="B159" s="44" t="s">
        <v>107</v>
      </c>
    </row>
    <row r="160" spans="1:2" x14ac:dyDescent="0.2">
      <c r="A160" s="44" t="e">
        <f>IF(OR(AND(USDA!$U$13&gt;=50, USDA!$K$13&gt;=12,USDA!$K$13&lt;27), AND(USDA!$U$13&gt;=50,USDA!$U$13&lt;80,USDA!$K$13&lt;12)), 5,0)</f>
        <v>#VALUE!</v>
      </c>
      <c r="B160" s="44" t="s">
        <v>108</v>
      </c>
    </row>
    <row r="161" spans="1:2" x14ac:dyDescent="0.2">
      <c r="A161" s="44" t="e">
        <f>IF(AND(USDA!$U$13&gt;=80, USDA!$K$13&lt;12), 6, 0)</f>
        <v>#VALUE!</v>
      </c>
      <c r="B161" s="44" t="s">
        <v>109</v>
      </c>
    </row>
    <row r="162" spans="1:2" x14ac:dyDescent="0.2">
      <c r="A162" s="44" t="e">
        <f>IF(AND(USDA!$K$13&gt;=20, USDA!$K$13&lt;35, USDA!$U$13&lt;28, USDA!$T$13&gt;45), 7, 0)</f>
        <v>#VALUE!</v>
      </c>
      <c r="B162" s="44" t="s">
        <v>110</v>
      </c>
    </row>
    <row r="163" spans="1:2" x14ac:dyDescent="0.2">
      <c r="A163" s="44" t="e">
        <f>IF(AND(USDA!$K$13&gt;=27, USDA!$K$13&lt;40, USDA!$T$13&gt;20, USDA!$T$13&lt;=45), 8, 0)</f>
        <v>#VALUE!</v>
      </c>
      <c r="B163" s="44" t="s">
        <v>111</v>
      </c>
    </row>
    <row r="164" spans="1:2" x14ac:dyDescent="0.2">
      <c r="A164" s="44" t="e">
        <f>IF(AND(USDA!$K$13&gt;=27, USDA!$K$13&lt;40, USDA!$T$13&lt;=20), 9, 0)</f>
        <v>#VALUE!</v>
      </c>
      <c r="B164" s="44" t="s">
        <v>112</v>
      </c>
    </row>
    <row r="165" spans="1:2" x14ac:dyDescent="0.2">
      <c r="A165" s="44" t="e">
        <f>IF(AND(USDA!$K$13&gt;=35, USDA!$T$13&gt;45), 10, 0)</f>
        <v>#VALUE!</v>
      </c>
      <c r="B165" s="44" t="s">
        <v>113</v>
      </c>
    </row>
    <row r="166" spans="1:2" x14ac:dyDescent="0.2">
      <c r="A166" s="44" t="e">
        <f>IF(AND(USDA!$K$13&gt;=40, USDA!$U$13&gt;=40), 11, 0)</f>
        <v>#VALUE!</v>
      </c>
      <c r="B166" s="44" t="s">
        <v>114</v>
      </c>
    </row>
    <row r="167" spans="1:2" x14ac:dyDescent="0.2">
      <c r="A167" s="44" t="e">
        <f>IF(AND(USDA!$K$13&gt;=40, USDA!$T$13&lt;=45,USDA!$U$13&lt;40), 12, 0)</f>
        <v>#VALUE!</v>
      </c>
      <c r="B167" s="44" t="s">
        <v>115</v>
      </c>
    </row>
    <row r="168" spans="1:2" x14ac:dyDescent="0.2">
      <c r="A168" s="44" t="e">
        <f>SUM(A156:A167)</f>
        <v>#VALUE!</v>
      </c>
    </row>
    <row r="169" spans="1:2" x14ac:dyDescent="0.2">
      <c r="A169" s="90" t="s">
        <v>103</v>
      </c>
      <c r="B169" s="90"/>
    </row>
    <row r="170" spans="1:2" x14ac:dyDescent="0.2">
      <c r="A170" s="44" t="e">
        <f>IF(USDA!$U$14+1.5*USDA!$K$14&lt;15,1,0)</f>
        <v>#VALUE!</v>
      </c>
      <c r="B170" s="44" t="s">
        <v>104</v>
      </c>
    </row>
    <row r="171" spans="1:2" x14ac:dyDescent="0.2">
      <c r="A171" s="44" t="e">
        <f>IF(AND(USDA!$U$14+1.5*USDA!$K$14&gt;=15, USDA!$U$14+2*USDA!$K$14&lt;30), 2, 0)</f>
        <v>#VALUE!</v>
      </c>
      <c r="B171" s="44" t="s">
        <v>105</v>
      </c>
    </row>
    <row r="172" spans="1:2" x14ac:dyDescent="0.2">
      <c r="A172" s="44" t="e">
        <f>IF(OR(AND(USDA!$K$14&gt;=7, USDA!$K$14&lt;20,USDA!$T$14&gt;52,USDA!$U$14+2*USDA!$K$14&gt;=30), AND(USDA!$K$14&lt;7, USDA!$U$14&lt;50, USDA!$U$14+2*USDA!$K$14&gt;=30)), 3,0)</f>
        <v>#VALUE!</v>
      </c>
      <c r="B172" s="44" t="s">
        <v>106</v>
      </c>
    </row>
    <row r="173" spans="1:2" x14ac:dyDescent="0.2">
      <c r="A173" s="44" t="e">
        <f>IF(AND(USDA!$K$14&gt;=7, USDA!$K$14&lt;27, USDA!$U$14&gt;=28, USDA!$U$14&lt;50, USDA!$T$14&lt;=52), 4, 0)</f>
        <v>#VALUE!</v>
      </c>
      <c r="B173" s="44" t="s">
        <v>107</v>
      </c>
    </row>
    <row r="174" spans="1:2" x14ac:dyDescent="0.2">
      <c r="A174" s="44" t="e">
        <f>IF(OR(AND(USDA!$U$14&gt;=50, USDA!$K$14&gt;=12,USDA!$K$14&lt;27), AND(USDA!$U$14&gt;=50,USDA!$U$14&lt;80,USDA!$K$14&lt;12)), 5,0)</f>
        <v>#VALUE!</v>
      </c>
      <c r="B174" s="44" t="s">
        <v>108</v>
      </c>
    </row>
    <row r="175" spans="1:2" x14ac:dyDescent="0.2">
      <c r="A175" s="44" t="e">
        <f>IF(AND(USDA!$U$14&gt;=80, USDA!$K$14&lt;12), 6, 0)</f>
        <v>#VALUE!</v>
      </c>
      <c r="B175" s="44" t="s">
        <v>109</v>
      </c>
    </row>
    <row r="176" spans="1:2" x14ac:dyDescent="0.2">
      <c r="A176" s="44" t="e">
        <f>IF(AND(USDA!$K$14&gt;=20, USDA!$K$14&lt;35, USDA!$U$14&lt;28, USDA!$T$14&gt;45), 7, 0)</f>
        <v>#VALUE!</v>
      </c>
      <c r="B176" s="44" t="s">
        <v>110</v>
      </c>
    </row>
    <row r="177" spans="1:2" x14ac:dyDescent="0.2">
      <c r="A177" s="44" t="e">
        <f>IF(AND(USDA!$K$14&gt;=27, USDA!$K$14&lt;40, USDA!$T$14&gt;20, USDA!$T$14&lt;=45), 8, 0)</f>
        <v>#VALUE!</v>
      </c>
      <c r="B177" s="44" t="s">
        <v>111</v>
      </c>
    </row>
    <row r="178" spans="1:2" x14ac:dyDescent="0.2">
      <c r="A178" s="44" t="e">
        <f>IF(AND(USDA!$K$14&gt;=27, USDA!$K$14&lt;40, USDA!$T$14&lt;=20), 9, 0)</f>
        <v>#VALUE!</v>
      </c>
      <c r="B178" s="44" t="s">
        <v>112</v>
      </c>
    </row>
    <row r="179" spans="1:2" x14ac:dyDescent="0.2">
      <c r="A179" s="44" t="e">
        <f>IF(AND(USDA!$K$14&gt;=35, USDA!$T$14&gt;45), 10, 0)</f>
        <v>#VALUE!</v>
      </c>
      <c r="B179" s="44" t="s">
        <v>113</v>
      </c>
    </row>
    <row r="180" spans="1:2" x14ac:dyDescent="0.2">
      <c r="A180" s="44" t="e">
        <f>IF(AND(USDA!$K$14&gt;=40, USDA!$U$14&gt;=40), 11, 0)</f>
        <v>#VALUE!</v>
      </c>
      <c r="B180" s="44" t="s">
        <v>114</v>
      </c>
    </row>
    <row r="181" spans="1:2" x14ac:dyDescent="0.2">
      <c r="A181" s="44" t="e">
        <f>IF(AND(USDA!$K$14&gt;=40, USDA!$T$14&lt;=45,USDA!$U$14&lt;40), 12, 0)</f>
        <v>#VALUE!</v>
      </c>
      <c r="B181" s="44" t="s">
        <v>115</v>
      </c>
    </row>
    <row r="182" spans="1:2" x14ac:dyDescent="0.2">
      <c r="A182" s="44" t="e">
        <f>SUM(A170:A181)</f>
        <v>#VALUE!</v>
      </c>
    </row>
    <row r="183" spans="1:2" x14ac:dyDescent="0.2">
      <c r="A183" s="90" t="s">
        <v>103</v>
      </c>
      <c r="B183" s="90"/>
    </row>
    <row r="184" spans="1:2" x14ac:dyDescent="0.2">
      <c r="A184" s="44" t="e">
        <f>IF(USDA!$U$15+1.5*USDA!$K$15&lt;15,1,0)</f>
        <v>#VALUE!</v>
      </c>
      <c r="B184" s="44" t="s">
        <v>104</v>
      </c>
    </row>
    <row r="185" spans="1:2" x14ac:dyDescent="0.2">
      <c r="A185" s="44" t="e">
        <f>IF(AND(USDA!$U$15+1.5*USDA!$K$15&gt;=15, USDA!$U$15+2*USDA!$K$15&lt;30), 2, 0)</f>
        <v>#VALUE!</v>
      </c>
      <c r="B185" s="44" t="s">
        <v>105</v>
      </c>
    </row>
    <row r="186" spans="1:2" x14ac:dyDescent="0.2">
      <c r="A186" s="44" t="e">
        <f>IF(OR(AND(USDA!$K$15&gt;=7, USDA!$K$15&lt;20,USDA!$T$15&gt;52,USDA!$U$15+2*USDA!$K$15&gt;=30), AND(USDA!$K$15&lt;7, USDA!$U$15&lt;50, USDA!$U$15+2*USDA!$K$15&gt;=30)), 3,0)</f>
        <v>#VALUE!</v>
      </c>
      <c r="B186" s="44" t="s">
        <v>106</v>
      </c>
    </row>
    <row r="187" spans="1:2" x14ac:dyDescent="0.2">
      <c r="A187" s="44" t="e">
        <f>IF(AND(USDA!$K$15&gt;=7, USDA!$K$15&lt;27, USDA!$U$15&gt;=28, USDA!$U$15&lt;50, USDA!$T$15&lt;=52), 4, 0)</f>
        <v>#VALUE!</v>
      </c>
      <c r="B187" s="44" t="s">
        <v>107</v>
      </c>
    </row>
    <row r="188" spans="1:2" x14ac:dyDescent="0.2">
      <c r="A188" s="44" t="e">
        <f>IF(OR(AND(USDA!$U$15&gt;=50, USDA!$K$15&gt;=12,USDA!$K$15&lt;27), AND(USDA!$U$15&gt;=50,USDA!$U$15&lt;80,USDA!$K$15&lt;12)), 5,0)</f>
        <v>#VALUE!</v>
      </c>
      <c r="B188" s="44" t="s">
        <v>108</v>
      </c>
    </row>
    <row r="189" spans="1:2" x14ac:dyDescent="0.2">
      <c r="A189" s="44" t="e">
        <f>IF(AND(USDA!$U$15&gt;=80, USDA!$K$15&lt;12), 6, 0)</f>
        <v>#VALUE!</v>
      </c>
      <c r="B189" s="44" t="s">
        <v>109</v>
      </c>
    </row>
    <row r="190" spans="1:2" x14ac:dyDescent="0.2">
      <c r="A190" s="44" t="e">
        <f>IF(AND(USDA!$K$15&gt;=20, USDA!$K$15&lt;35, USDA!$U$15&lt;28, USDA!$T$15&gt;45), 7, 0)</f>
        <v>#VALUE!</v>
      </c>
      <c r="B190" s="44" t="s">
        <v>110</v>
      </c>
    </row>
    <row r="191" spans="1:2" x14ac:dyDescent="0.2">
      <c r="A191" s="44" t="e">
        <f>IF(AND(USDA!$K$15&gt;=27, USDA!$K$15&lt;40, USDA!$T$15&gt;20, USDA!$T$15&lt;=45), 8, 0)</f>
        <v>#VALUE!</v>
      </c>
      <c r="B191" s="44" t="s">
        <v>111</v>
      </c>
    </row>
    <row r="192" spans="1:2" x14ac:dyDescent="0.2">
      <c r="A192" s="44" t="e">
        <f>IF(AND(USDA!$K$15&gt;=27, USDA!$K$15&lt;40, USDA!$T$15&lt;=20), 9, 0)</f>
        <v>#VALUE!</v>
      </c>
      <c r="B192" s="44" t="s">
        <v>112</v>
      </c>
    </row>
    <row r="193" spans="1:2" x14ac:dyDescent="0.2">
      <c r="A193" s="44" t="e">
        <f>IF(AND(USDA!$K$15&gt;=35, USDA!$T$15&gt;45), 10, 0)</f>
        <v>#VALUE!</v>
      </c>
      <c r="B193" s="44" t="s">
        <v>113</v>
      </c>
    </row>
    <row r="194" spans="1:2" x14ac:dyDescent="0.2">
      <c r="A194" s="44" t="e">
        <f>IF(AND(USDA!$K$15&gt;=40, USDA!$U$15&gt;=40), 11, 0)</f>
        <v>#VALUE!</v>
      </c>
      <c r="B194" s="44" t="s">
        <v>114</v>
      </c>
    </row>
    <row r="195" spans="1:2" x14ac:dyDescent="0.2">
      <c r="A195" s="44" t="e">
        <f>IF(AND(USDA!$K$15&gt;=40, USDA!$T$15&lt;=45,USDA!$U$15&lt;40), 12, 0)</f>
        <v>#VALUE!</v>
      </c>
      <c r="B195" s="44" t="s">
        <v>115</v>
      </c>
    </row>
    <row r="196" spans="1:2" x14ac:dyDescent="0.2">
      <c r="A196" s="44" t="e">
        <f>SUM(A184:A195)</f>
        <v>#VALUE!</v>
      </c>
    </row>
    <row r="197" spans="1:2" x14ac:dyDescent="0.2">
      <c r="A197" s="90" t="s">
        <v>103</v>
      </c>
      <c r="B197" s="90"/>
    </row>
    <row r="198" spans="1:2" x14ac:dyDescent="0.2">
      <c r="A198" s="44" t="e">
        <f>IF(USDA!$U$16+1.5*USDA!$K$16&lt;15,1,0)</f>
        <v>#VALUE!</v>
      </c>
      <c r="B198" s="44" t="s">
        <v>104</v>
      </c>
    </row>
    <row r="199" spans="1:2" x14ac:dyDescent="0.2">
      <c r="A199" s="44" t="e">
        <f>IF(AND(USDA!$U$16+1.5*USDA!$K$16&gt;=15, USDA!$U$16+2*USDA!$K$16&lt;30), 2, 0)</f>
        <v>#VALUE!</v>
      </c>
      <c r="B199" s="44" t="s">
        <v>105</v>
      </c>
    </row>
    <row r="200" spans="1:2" x14ac:dyDescent="0.2">
      <c r="A200" s="44" t="e">
        <f>IF(OR(AND(USDA!$K$16&gt;=7, USDA!$K$16&lt;20,USDA!$T$16&gt;52,USDA!$U$16+2*USDA!$K$16&gt;=30), AND(USDA!$K$16&lt;7, USDA!$U$16&lt;50, USDA!$U$16+2*USDA!$K$16&gt;=30)), 3,0)</f>
        <v>#VALUE!</v>
      </c>
      <c r="B200" s="44" t="s">
        <v>106</v>
      </c>
    </row>
    <row r="201" spans="1:2" x14ac:dyDescent="0.2">
      <c r="A201" s="44" t="e">
        <f>IF(AND(USDA!$K$16&gt;=7, USDA!$K$16&lt;27, USDA!$U$16&gt;=28, USDA!$U$16&lt;50, USDA!$T$16&lt;=52), 4, 0)</f>
        <v>#VALUE!</v>
      </c>
      <c r="B201" s="44" t="s">
        <v>107</v>
      </c>
    </row>
    <row r="202" spans="1:2" x14ac:dyDescent="0.2">
      <c r="A202" s="44" t="e">
        <f>IF(OR(AND(USDA!$U$16&gt;=50, USDA!$K$16&gt;=12,USDA!$K$16&lt;27), AND(USDA!$U$16&gt;=50,USDA!$U$16&lt;80,USDA!$K$16&lt;12)), 5,0)</f>
        <v>#VALUE!</v>
      </c>
      <c r="B202" s="44" t="s">
        <v>108</v>
      </c>
    </row>
    <row r="203" spans="1:2" x14ac:dyDescent="0.2">
      <c r="A203" s="44" t="e">
        <f>IF(AND(USDA!$U$16&gt;=80, USDA!$K$16&lt;12), 6, 0)</f>
        <v>#VALUE!</v>
      </c>
      <c r="B203" s="44" t="s">
        <v>109</v>
      </c>
    </row>
    <row r="204" spans="1:2" x14ac:dyDescent="0.2">
      <c r="A204" s="44" t="e">
        <f>IF(AND(USDA!$K$16&gt;=20, USDA!$K$16&lt;35, USDA!$U$16&lt;28, USDA!$T$16&gt;45), 7, 0)</f>
        <v>#VALUE!</v>
      </c>
      <c r="B204" s="44" t="s">
        <v>110</v>
      </c>
    </row>
    <row r="205" spans="1:2" x14ac:dyDescent="0.2">
      <c r="A205" s="44" t="e">
        <f>IF(AND(USDA!$K$16&gt;=27, USDA!$K$16&lt;40, USDA!$T$16&gt;20, USDA!$T$16&lt;=45), 8, 0)</f>
        <v>#VALUE!</v>
      </c>
      <c r="B205" s="44" t="s">
        <v>111</v>
      </c>
    </row>
    <row r="206" spans="1:2" x14ac:dyDescent="0.2">
      <c r="A206" s="44" t="e">
        <f>IF(AND(USDA!$K$16&gt;=27, USDA!$K$16&lt;40, USDA!$T$16&lt;=20), 9, 0)</f>
        <v>#VALUE!</v>
      </c>
      <c r="B206" s="44" t="s">
        <v>112</v>
      </c>
    </row>
    <row r="207" spans="1:2" x14ac:dyDescent="0.2">
      <c r="A207" s="44" t="e">
        <f>IF(AND(USDA!$K$16&gt;=35, USDA!$T$16&gt;45), 10, 0)</f>
        <v>#VALUE!</v>
      </c>
      <c r="B207" s="44" t="s">
        <v>113</v>
      </c>
    </row>
    <row r="208" spans="1:2" x14ac:dyDescent="0.2">
      <c r="A208" s="44" t="e">
        <f>IF(AND(USDA!$K$16&gt;=40, USDA!$U$16&gt;=40), 11, 0)</f>
        <v>#VALUE!</v>
      </c>
      <c r="B208" s="44" t="s">
        <v>114</v>
      </c>
    </row>
    <row r="209" spans="1:2" x14ac:dyDescent="0.2">
      <c r="A209" s="44" t="e">
        <f>IF(AND(USDA!$K$16&gt;=40, USDA!$T$16&lt;=45,USDA!$U$16&lt;40), 12, 0)</f>
        <v>#VALUE!</v>
      </c>
      <c r="B209" s="44" t="s">
        <v>115</v>
      </c>
    </row>
    <row r="210" spans="1:2" x14ac:dyDescent="0.2">
      <c r="A210" s="44" t="e">
        <f>SUM(A198:A209)</f>
        <v>#VALUE!</v>
      </c>
    </row>
    <row r="211" spans="1:2" x14ac:dyDescent="0.2">
      <c r="A211" s="90" t="s">
        <v>103</v>
      </c>
      <c r="B211" s="90"/>
    </row>
    <row r="212" spans="1:2" x14ac:dyDescent="0.2">
      <c r="A212" s="44" t="e">
        <f>IF(USDA!$U$17+1.5*USDA!$K$17&lt;15,1,0)</f>
        <v>#VALUE!</v>
      </c>
      <c r="B212" s="44" t="s">
        <v>104</v>
      </c>
    </row>
    <row r="213" spans="1:2" x14ac:dyDescent="0.2">
      <c r="A213" s="44" t="e">
        <f>IF(AND(USDA!$U$17+1.5*USDA!$K$17&gt;=15, USDA!$U$17+2*USDA!$K$17&lt;30), 2, 0)</f>
        <v>#VALUE!</v>
      </c>
      <c r="B213" s="44" t="s">
        <v>105</v>
      </c>
    </row>
    <row r="214" spans="1:2" x14ac:dyDescent="0.2">
      <c r="A214" s="44" t="e">
        <f>IF(OR(AND(USDA!$K$17&gt;=7, USDA!$K$17&lt;20,USDA!$T$17&gt;52,USDA!$U$17+2*USDA!$K$17&gt;=30), AND(USDA!$K$17&lt;7, USDA!$U$17&lt;50, USDA!$U$17+2*USDA!$K$17&gt;=30)), 3,0)</f>
        <v>#VALUE!</v>
      </c>
      <c r="B214" s="44" t="s">
        <v>106</v>
      </c>
    </row>
    <row r="215" spans="1:2" x14ac:dyDescent="0.2">
      <c r="A215" s="44" t="e">
        <f>IF(AND(USDA!$K$17&gt;=7, USDA!$K$17&lt;27, USDA!$U$17&gt;=28, USDA!$U$17&lt;50, USDA!$T$17&lt;=52), 4, 0)</f>
        <v>#VALUE!</v>
      </c>
      <c r="B215" s="44" t="s">
        <v>107</v>
      </c>
    </row>
    <row r="216" spans="1:2" x14ac:dyDescent="0.2">
      <c r="A216" s="44" t="e">
        <f>IF(OR(AND(USDA!$U$17&gt;=50, USDA!$K$17&gt;=12,USDA!$K$17&lt;27), AND(USDA!$U$17&gt;=50,USDA!$U$17&lt;80,USDA!$K$17&lt;12)), 5,0)</f>
        <v>#VALUE!</v>
      </c>
      <c r="B216" s="44" t="s">
        <v>108</v>
      </c>
    </row>
    <row r="217" spans="1:2" x14ac:dyDescent="0.2">
      <c r="A217" s="44" t="e">
        <f>IF(AND(USDA!$U$17&gt;=80, USDA!$K$17&lt;12), 6, 0)</f>
        <v>#VALUE!</v>
      </c>
      <c r="B217" s="44" t="s">
        <v>109</v>
      </c>
    </row>
    <row r="218" spans="1:2" x14ac:dyDescent="0.2">
      <c r="A218" s="44" t="e">
        <f>IF(AND(USDA!$K$17&gt;=20, USDA!$K$17&lt;35, USDA!$U$17&lt;28, USDA!$T$17&gt;45), 7, 0)</f>
        <v>#VALUE!</v>
      </c>
      <c r="B218" s="44" t="s">
        <v>110</v>
      </c>
    </row>
    <row r="219" spans="1:2" x14ac:dyDescent="0.2">
      <c r="A219" s="44" t="e">
        <f>IF(AND(USDA!$K$17&gt;=27, USDA!$K$17&lt;40, USDA!$T$17&gt;20, USDA!$T$17&lt;=45), 8, 0)</f>
        <v>#VALUE!</v>
      </c>
      <c r="B219" s="44" t="s">
        <v>111</v>
      </c>
    </row>
    <row r="220" spans="1:2" x14ac:dyDescent="0.2">
      <c r="A220" s="44" t="e">
        <f>IF(AND(USDA!$K$17&gt;=27, USDA!$K$17&lt;40, USDA!$T$17&lt;=20), 9, 0)</f>
        <v>#VALUE!</v>
      </c>
      <c r="B220" s="44" t="s">
        <v>112</v>
      </c>
    </row>
    <row r="221" spans="1:2" x14ac:dyDescent="0.2">
      <c r="A221" s="44" t="e">
        <f>IF(AND(USDA!$K$17&gt;=35, USDA!$T$17&gt;45), 10, 0)</f>
        <v>#VALUE!</v>
      </c>
      <c r="B221" s="44" t="s">
        <v>113</v>
      </c>
    </row>
    <row r="222" spans="1:2" x14ac:dyDescent="0.2">
      <c r="A222" s="44" t="e">
        <f>IF(AND(USDA!$K$17&gt;=40, USDA!$U$17&gt;=40), 11, 0)</f>
        <v>#VALUE!</v>
      </c>
      <c r="B222" s="44" t="s">
        <v>114</v>
      </c>
    </row>
    <row r="223" spans="1:2" x14ac:dyDescent="0.2">
      <c r="A223" s="44" t="e">
        <f>IF(AND(USDA!$K$17&gt;=40, USDA!$T$17&lt;=45,USDA!$U$17&lt;40), 12, 0)</f>
        <v>#VALUE!</v>
      </c>
      <c r="B223" s="44" t="s">
        <v>115</v>
      </c>
    </row>
    <row r="224" spans="1:2" x14ac:dyDescent="0.2">
      <c r="A224" s="44" t="e">
        <f>SUM(A212:A223)</f>
        <v>#VALUE!</v>
      </c>
    </row>
    <row r="225" spans="1:2" x14ac:dyDescent="0.2">
      <c r="A225" s="90" t="s">
        <v>103</v>
      </c>
      <c r="B225" s="90"/>
    </row>
    <row r="226" spans="1:2" x14ac:dyDescent="0.2">
      <c r="A226" s="44" t="e">
        <f>IF(USDA!$U$18+1.5*USDA!$K$18&lt;15,1,0)</f>
        <v>#VALUE!</v>
      </c>
      <c r="B226" s="44" t="s">
        <v>104</v>
      </c>
    </row>
    <row r="227" spans="1:2" x14ac:dyDescent="0.2">
      <c r="A227" s="44" t="e">
        <f>IF(AND(USDA!$U$18+1.5*USDA!$K$18&gt;=15, USDA!$U$18+2*USDA!$K$18&lt;30), 2, 0)</f>
        <v>#VALUE!</v>
      </c>
      <c r="B227" s="44" t="s">
        <v>105</v>
      </c>
    </row>
    <row r="228" spans="1:2" x14ac:dyDescent="0.2">
      <c r="A228" s="44" t="e">
        <f>IF(OR(AND(USDA!$K$18&gt;=7, USDA!$K$18&lt;20,USDA!$T$18&gt;52,USDA!$U$18+2*USDA!$K$18&gt;=30), AND(USDA!$K$18&lt;7, USDA!$U$18&lt;50, USDA!$U$18+2*USDA!$K$18&gt;=30)), 3,0)</f>
        <v>#VALUE!</v>
      </c>
      <c r="B228" s="44" t="s">
        <v>106</v>
      </c>
    </row>
    <row r="229" spans="1:2" x14ac:dyDescent="0.2">
      <c r="A229" s="44" t="e">
        <f>IF(AND(USDA!$K$18&gt;=7, USDA!$K$18&lt;27, USDA!$U$18&gt;=28, USDA!$U$18&lt;50, USDA!$T$18&lt;=52), 4, 0)</f>
        <v>#VALUE!</v>
      </c>
      <c r="B229" s="44" t="s">
        <v>107</v>
      </c>
    </row>
    <row r="230" spans="1:2" x14ac:dyDescent="0.2">
      <c r="A230" s="44" t="e">
        <f>IF(OR(AND(USDA!$U$18&gt;=50, USDA!$K$18&gt;=12,USDA!$K$18&lt;27), AND(USDA!$U$18&gt;=50,USDA!$U$18&lt;80,USDA!$K$18&lt;12)), 5,0)</f>
        <v>#VALUE!</v>
      </c>
      <c r="B230" s="44" t="s">
        <v>108</v>
      </c>
    </row>
    <row r="231" spans="1:2" x14ac:dyDescent="0.2">
      <c r="A231" s="44" t="e">
        <f>IF(AND(USDA!$U$18&gt;=80, USDA!$K$18&lt;12), 6, 0)</f>
        <v>#VALUE!</v>
      </c>
      <c r="B231" s="44" t="s">
        <v>109</v>
      </c>
    </row>
    <row r="232" spans="1:2" x14ac:dyDescent="0.2">
      <c r="A232" s="44" t="e">
        <f>IF(AND(USDA!$K$18&gt;=20, USDA!$K$18&lt;35, USDA!$U$18&lt;28, USDA!$T$18&gt;45), 7, 0)</f>
        <v>#VALUE!</v>
      </c>
      <c r="B232" s="44" t="s">
        <v>110</v>
      </c>
    </row>
    <row r="233" spans="1:2" x14ac:dyDescent="0.2">
      <c r="A233" s="44" t="e">
        <f>IF(AND(USDA!$K$18&gt;=27, USDA!$K$18&lt;40, USDA!$T$18&gt;20, USDA!$T$18&lt;=45), 8, 0)</f>
        <v>#VALUE!</v>
      </c>
      <c r="B233" s="44" t="s">
        <v>111</v>
      </c>
    </row>
    <row r="234" spans="1:2" x14ac:dyDescent="0.2">
      <c r="A234" s="44" t="e">
        <f>IF(AND(USDA!$K$18&gt;=27, USDA!$K$18&lt;40, USDA!$T$18&lt;=20), 9, 0)</f>
        <v>#VALUE!</v>
      </c>
      <c r="B234" s="44" t="s">
        <v>112</v>
      </c>
    </row>
    <row r="235" spans="1:2" x14ac:dyDescent="0.2">
      <c r="A235" s="44" t="e">
        <f>IF(AND(USDA!$K$18&gt;=35, USDA!$T$18&gt;45), 10, 0)</f>
        <v>#VALUE!</v>
      </c>
      <c r="B235" s="44" t="s">
        <v>113</v>
      </c>
    </row>
    <row r="236" spans="1:2" x14ac:dyDescent="0.2">
      <c r="A236" s="44" t="e">
        <f>IF(AND(USDA!$K$18&gt;=40, USDA!$U$18&gt;=40), 11, 0)</f>
        <v>#VALUE!</v>
      </c>
      <c r="B236" s="44" t="s">
        <v>114</v>
      </c>
    </row>
    <row r="237" spans="1:2" x14ac:dyDescent="0.2">
      <c r="A237" s="44" t="e">
        <f>IF(AND(USDA!$K$18&gt;=40, USDA!$T$18&lt;=45,USDA!$U$18&lt;40), 12, 0)</f>
        <v>#VALUE!</v>
      </c>
      <c r="B237" s="44" t="s">
        <v>115</v>
      </c>
    </row>
    <row r="238" spans="1:2" x14ac:dyDescent="0.2">
      <c r="A238" s="44" t="e">
        <f>SUM(A226:A237)</f>
        <v>#VALUE!</v>
      </c>
    </row>
    <row r="239" spans="1:2" x14ac:dyDescent="0.2">
      <c r="A239" s="90" t="s">
        <v>103</v>
      </c>
      <c r="B239" s="90"/>
    </row>
    <row r="240" spans="1:2" x14ac:dyDescent="0.2">
      <c r="A240" s="44" t="e">
        <f>IF(USDA!$U$19+1.5*USDA!$K$19&lt;15,1,0)</f>
        <v>#VALUE!</v>
      </c>
      <c r="B240" s="44" t="s">
        <v>104</v>
      </c>
    </row>
    <row r="241" spans="1:2" x14ac:dyDescent="0.2">
      <c r="A241" s="44" t="e">
        <f>IF(AND(USDA!$U$19+1.5*USDA!$K$19&gt;=15, USDA!$U$19+2*USDA!$K$19&lt;30), 2, 0)</f>
        <v>#VALUE!</v>
      </c>
      <c r="B241" s="44" t="s">
        <v>105</v>
      </c>
    </row>
    <row r="242" spans="1:2" x14ac:dyDescent="0.2">
      <c r="A242" s="44" t="e">
        <f>IF(OR(AND(USDA!$K$19&gt;=7, USDA!$K$19&lt;20,USDA!$T$19&gt;52,USDA!$U$19+2*USDA!$K$19&gt;=30), AND(USDA!$K$19&lt;7, USDA!$U$19&lt;50, USDA!$U$19+2*USDA!$K$19&gt;=30)), 3,0)</f>
        <v>#VALUE!</v>
      </c>
      <c r="B242" s="44" t="s">
        <v>106</v>
      </c>
    </row>
    <row r="243" spans="1:2" x14ac:dyDescent="0.2">
      <c r="A243" s="44" t="e">
        <f>IF(AND(USDA!$K$19&gt;=7, USDA!$K$19&lt;27, USDA!$U$19&gt;=28, USDA!$U$19&lt;50, USDA!$T$19&lt;=52), 4, 0)</f>
        <v>#VALUE!</v>
      </c>
      <c r="B243" s="44" t="s">
        <v>107</v>
      </c>
    </row>
    <row r="244" spans="1:2" x14ac:dyDescent="0.2">
      <c r="A244" s="44" t="e">
        <f>IF(OR(AND(USDA!$U$19&gt;=50, USDA!$K$19&gt;=12,USDA!$K$19&lt;27), AND(USDA!$U$19&gt;=50,USDA!$U$19&lt;80,USDA!$K$19&lt;12)), 5,0)</f>
        <v>#VALUE!</v>
      </c>
      <c r="B244" s="44" t="s">
        <v>108</v>
      </c>
    </row>
    <row r="245" spans="1:2" x14ac:dyDescent="0.2">
      <c r="A245" s="44" t="e">
        <f>IF(AND(USDA!$U$19&gt;=80, USDA!$K$19&lt;12), 6, 0)</f>
        <v>#VALUE!</v>
      </c>
      <c r="B245" s="44" t="s">
        <v>109</v>
      </c>
    </row>
    <row r="246" spans="1:2" x14ac:dyDescent="0.2">
      <c r="A246" s="44" t="e">
        <f>IF(AND(USDA!$K$19&gt;=20, USDA!$K$19&lt;35, USDA!$U$19&lt;28, USDA!$T$19&gt;45), 7, 0)</f>
        <v>#VALUE!</v>
      </c>
      <c r="B246" s="44" t="s">
        <v>110</v>
      </c>
    </row>
    <row r="247" spans="1:2" x14ac:dyDescent="0.2">
      <c r="A247" s="44" t="e">
        <f>IF(AND(USDA!$K$19&gt;=27, USDA!$K$19&lt;40, USDA!$T$19&gt;20, USDA!$T$19&lt;=45), 8, 0)</f>
        <v>#VALUE!</v>
      </c>
      <c r="B247" s="44" t="s">
        <v>111</v>
      </c>
    </row>
    <row r="248" spans="1:2" x14ac:dyDescent="0.2">
      <c r="A248" s="44" t="e">
        <f>IF(AND(USDA!$K$19&gt;=27, USDA!$K$19&lt;40, USDA!$T$19&lt;=20), 9, 0)</f>
        <v>#VALUE!</v>
      </c>
      <c r="B248" s="44" t="s">
        <v>112</v>
      </c>
    </row>
    <row r="249" spans="1:2" x14ac:dyDescent="0.2">
      <c r="A249" s="44" t="e">
        <f>IF(AND(USDA!$K$19&gt;=35, USDA!$T$19&gt;45), 10, 0)</f>
        <v>#VALUE!</v>
      </c>
      <c r="B249" s="44" t="s">
        <v>113</v>
      </c>
    </row>
    <row r="250" spans="1:2" x14ac:dyDescent="0.2">
      <c r="A250" s="44" t="e">
        <f>IF(AND(USDA!$K$19&gt;=40, USDA!$U$19&gt;=40), 11, 0)</f>
        <v>#VALUE!</v>
      </c>
      <c r="B250" s="44" t="s">
        <v>114</v>
      </c>
    </row>
    <row r="251" spans="1:2" x14ac:dyDescent="0.2">
      <c r="A251" s="44" t="e">
        <f>IF(AND(USDA!$K$19&gt;=40, USDA!$T$19&lt;=45,USDA!$U$19&lt;40), 12, 0)</f>
        <v>#VALUE!</v>
      </c>
      <c r="B251" s="44" t="s">
        <v>115</v>
      </c>
    </row>
    <row r="252" spans="1:2" x14ac:dyDescent="0.2">
      <c r="A252" s="44" t="e">
        <f>SUM(A240:A251)</f>
        <v>#VALUE!</v>
      </c>
    </row>
    <row r="253" spans="1:2" x14ac:dyDescent="0.2">
      <c r="A253" s="90" t="s">
        <v>103</v>
      </c>
      <c r="B253" s="90"/>
    </row>
    <row r="254" spans="1:2" x14ac:dyDescent="0.2">
      <c r="A254" s="44" t="e">
        <f>IF(USDA!$U$20+1.5*USDA!$K$20&lt;15,1,0)</f>
        <v>#VALUE!</v>
      </c>
      <c r="B254" s="44" t="s">
        <v>104</v>
      </c>
    </row>
    <row r="255" spans="1:2" x14ac:dyDescent="0.2">
      <c r="A255" s="44" t="e">
        <f>IF(AND(USDA!$U$20+1.5*USDA!$K$20&gt;=15, USDA!$U$20+2*USDA!$K$20&lt;30), 2, 0)</f>
        <v>#VALUE!</v>
      </c>
      <c r="B255" s="44" t="s">
        <v>105</v>
      </c>
    </row>
    <row r="256" spans="1:2" x14ac:dyDescent="0.2">
      <c r="A256" s="44" t="e">
        <f>IF(OR(AND(USDA!$K$20&gt;=7, USDA!$K$20&lt;20,USDA!$T$20&gt;52,USDA!$U$20+2*USDA!$K$20&gt;=30), AND(USDA!$K$20&lt;7, USDA!$U$20&lt;50, USDA!$U$20+2*USDA!$K$20&gt;=30)), 3,0)</f>
        <v>#VALUE!</v>
      </c>
      <c r="B256" s="44" t="s">
        <v>106</v>
      </c>
    </row>
    <row r="257" spans="1:2" x14ac:dyDescent="0.2">
      <c r="A257" s="44" t="e">
        <f>IF(AND(USDA!$K$20&gt;=7, USDA!$K$20&lt;27, USDA!$U$20&gt;=28, USDA!$U$20&lt;50, USDA!$T$20&lt;=52), 4, 0)</f>
        <v>#VALUE!</v>
      </c>
      <c r="B257" s="44" t="s">
        <v>107</v>
      </c>
    </row>
    <row r="258" spans="1:2" x14ac:dyDescent="0.2">
      <c r="A258" s="44" t="e">
        <f>IF(OR(AND(USDA!$U$20&gt;=50, USDA!$K$20&gt;=12,USDA!$K$20&lt;27), AND(USDA!$U$20&gt;=50,USDA!$U$20&lt;80,USDA!$K$20&lt;12)), 5,0)</f>
        <v>#VALUE!</v>
      </c>
      <c r="B258" s="44" t="s">
        <v>108</v>
      </c>
    </row>
    <row r="259" spans="1:2" x14ac:dyDescent="0.2">
      <c r="A259" s="44" t="e">
        <f>IF(AND(USDA!$U$20&gt;=80, USDA!$K$20&lt;12), 6, 0)</f>
        <v>#VALUE!</v>
      </c>
      <c r="B259" s="44" t="s">
        <v>109</v>
      </c>
    </row>
    <row r="260" spans="1:2" x14ac:dyDescent="0.2">
      <c r="A260" s="44" t="e">
        <f>IF(AND(USDA!$K$20&gt;=20, USDA!$K$20&lt;35, USDA!$U$20&lt;28, USDA!$T$20&gt;45), 7, 0)</f>
        <v>#VALUE!</v>
      </c>
      <c r="B260" s="44" t="s">
        <v>110</v>
      </c>
    </row>
    <row r="261" spans="1:2" x14ac:dyDescent="0.2">
      <c r="A261" s="44" t="e">
        <f>IF(AND(USDA!$K$20&gt;=27, USDA!$K$20&lt;40, USDA!$T$20&gt;20, USDA!$T$20&lt;=45), 8, 0)</f>
        <v>#VALUE!</v>
      </c>
      <c r="B261" s="44" t="s">
        <v>111</v>
      </c>
    </row>
    <row r="262" spans="1:2" x14ac:dyDescent="0.2">
      <c r="A262" s="44" t="e">
        <f>IF(AND(USDA!$K$20&gt;=27, USDA!$K$20&lt;40, USDA!$T$20&lt;=20), 9, 0)</f>
        <v>#VALUE!</v>
      </c>
      <c r="B262" s="44" t="s">
        <v>112</v>
      </c>
    </row>
    <row r="263" spans="1:2" x14ac:dyDescent="0.2">
      <c r="A263" s="44" t="e">
        <f>IF(AND(USDA!$K$20&gt;=35, USDA!$T$20&gt;45), 10, 0)</f>
        <v>#VALUE!</v>
      </c>
      <c r="B263" s="44" t="s">
        <v>113</v>
      </c>
    </row>
    <row r="264" spans="1:2" x14ac:dyDescent="0.2">
      <c r="A264" s="44" t="e">
        <f>IF(AND(USDA!$K$20&gt;=40, USDA!$U$20&gt;=40), 11, 0)</f>
        <v>#VALUE!</v>
      </c>
      <c r="B264" s="44" t="s">
        <v>114</v>
      </c>
    </row>
    <row r="265" spans="1:2" x14ac:dyDescent="0.2">
      <c r="A265" s="44" t="e">
        <f>IF(AND(USDA!$K$20&gt;=40, USDA!$T$20&lt;=45,USDA!$U$20&lt;40), 12, 0)</f>
        <v>#VALUE!</v>
      </c>
      <c r="B265" s="44" t="s">
        <v>115</v>
      </c>
    </row>
    <row r="266" spans="1:2" x14ac:dyDescent="0.2">
      <c r="A266" s="44" t="e">
        <f>SUM(A254:A265)</f>
        <v>#VALUE!</v>
      </c>
    </row>
    <row r="267" spans="1:2" x14ac:dyDescent="0.2">
      <c r="A267" s="90" t="s">
        <v>103</v>
      </c>
      <c r="B267" s="90"/>
    </row>
    <row r="268" spans="1:2" x14ac:dyDescent="0.2">
      <c r="A268" s="44" t="e">
        <f>IF(USDA!$U$21+1.5*USDA!$K$21&lt;15,1,0)</f>
        <v>#VALUE!</v>
      </c>
      <c r="B268" s="44" t="s">
        <v>104</v>
      </c>
    </row>
    <row r="269" spans="1:2" x14ac:dyDescent="0.2">
      <c r="A269" s="44" t="e">
        <f>IF(AND(USDA!$U$21+1.5*USDA!$K$21&gt;=15, USDA!$U$21+2*USDA!$K$21&lt;30), 2, 0)</f>
        <v>#VALUE!</v>
      </c>
      <c r="B269" s="44" t="s">
        <v>105</v>
      </c>
    </row>
    <row r="270" spans="1:2" x14ac:dyDescent="0.2">
      <c r="A270" s="44" t="e">
        <f>IF(OR(AND(USDA!$K$21&gt;=7, USDA!$K$21&lt;20,USDA!$T$21&gt;52,USDA!$U$21+2*USDA!$K$21&gt;=30), AND(USDA!$K$21&lt;7, USDA!$U$21&lt;50, USDA!$U$21+2*USDA!$K$21&gt;=30)), 3,0)</f>
        <v>#VALUE!</v>
      </c>
      <c r="B270" s="44" t="s">
        <v>106</v>
      </c>
    </row>
    <row r="271" spans="1:2" x14ac:dyDescent="0.2">
      <c r="A271" s="44" t="e">
        <f>IF(AND(USDA!$K$21&gt;=7, USDA!$K$21&lt;27, USDA!$U$21&gt;=28, USDA!$U$21&lt;50, USDA!$T$21&lt;=52), 4, 0)</f>
        <v>#VALUE!</v>
      </c>
      <c r="B271" s="44" t="s">
        <v>107</v>
      </c>
    </row>
    <row r="272" spans="1:2" x14ac:dyDescent="0.2">
      <c r="A272" s="44" t="e">
        <f>IF(OR(AND(USDA!$U$21&gt;=50, USDA!$K$21&gt;=12,USDA!$K$21&lt;27), AND(USDA!$U$21&gt;=50,USDA!$U$21&lt;80,USDA!$K$21&lt;12)), 5,0)</f>
        <v>#VALUE!</v>
      </c>
      <c r="B272" s="44" t="s">
        <v>108</v>
      </c>
    </row>
    <row r="273" spans="1:2" x14ac:dyDescent="0.2">
      <c r="A273" s="44" t="e">
        <f>IF(AND(USDA!$U$21&gt;=80, USDA!$K$21&lt;12), 6, 0)</f>
        <v>#VALUE!</v>
      </c>
      <c r="B273" s="44" t="s">
        <v>109</v>
      </c>
    </row>
    <row r="274" spans="1:2" x14ac:dyDescent="0.2">
      <c r="A274" s="44" t="e">
        <f>IF(AND(USDA!$K$21&gt;=20, USDA!$K$21&lt;35, USDA!$U$21&lt;28, USDA!$T$21&gt;45), 7, 0)</f>
        <v>#VALUE!</v>
      </c>
      <c r="B274" s="44" t="s">
        <v>110</v>
      </c>
    </row>
    <row r="275" spans="1:2" x14ac:dyDescent="0.2">
      <c r="A275" s="44" t="e">
        <f>IF(AND(USDA!$K$21&gt;=27, USDA!$K$21&lt;40, USDA!$T$21&gt;20, USDA!$T$21&lt;=45), 8, 0)</f>
        <v>#VALUE!</v>
      </c>
      <c r="B275" s="44" t="s">
        <v>111</v>
      </c>
    </row>
    <row r="276" spans="1:2" x14ac:dyDescent="0.2">
      <c r="A276" s="44" t="e">
        <f>IF(AND(USDA!$K$21&gt;=27, USDA!$K$21&lt;40, USDA!$T$21&lt;=20), 9, 0)</f>
        <v>#VALUE!</v>
      </c>
      <c r="B276" s="44" t="s">
        <v>112</v>
      </c>
    </row>
    <row r="277" spans="1:2" x14ac:dyDescent="0.2">
      <c r="A277" s="44" t="e">
        <f>IF(AND(USDA!$K$21&gt;=35, USDA!$T$21&gt;45), 10, 0)</f>
        <v>#VALUE!</v>
      </c>
      <c r="B277" s="44" t="s">
        <v>113</v>
      </c>
    </row>
    <row r="278" spans="1:2" x14ac:dyDescent="0.2">
      <c r="A278" s="44" t="e">
        <f>IF(AND(USDA!$K$21&gt;=40, USDA!$U$21&gt;=40), 11, 0)</f>
        <v>#VALUE!</v>
      </c>
      <c r="B278" s="44" t="s">
        <v>114</v>
      </c>
    </row>
    <row r="279" spans="1:2" x14ac:dyDescent="0.2">
      <c r="A279" s="44" t="e">
        <f>IF(AND(USDA!$K$21&gt;=40, USDA!$T$21&lt;=45,USDA!$U$21&lt;40), 12, 0)</f>
        <v>#VALUE!</v>
      </c>
      <c r="B279" s="44" t="s">
        <v>115</v>
      </c>
    </row>
    <row r="280" spans="1:2" x14ac:dyDescent="0.2">
      <c r="A280" s="44" t="e">
        <f>SUM(A268:A279)</f>
        <v>#VALUE!</v>
      </c>
    </row>
    <row r="281" spans="1:2" x14ac:dyDescent="0.2">
      <c r="A281" s="90" t="s">
        <v>103</v>
      </c>
      <c r="B281" s="90"/>
    </row>
    <row r="282" spans="1:2" x14ac:dyDescent="0.2">
      <c r="A282" s="44" t="e">
        <f>IF(USDA!$U$22+1.5*USDA!$K$22&lt;15,1,0)</f>
        <v>#VALUE!</v>
      </c>
      <c r="B282" s="44" t="s">
        <v>104</v>
      </c>
    </row>
    <row r="283" spans="1:2" x14ac:dyDescent="0.2">
      <c r="A283" s="44" t="e">
        <f>IF(AND(USDA!$U$22+1.5*USDA!$K$22&gt;=15, USDA!$U$22+2*USDA!$K$22&lt;30), 2, 0)</f>
        <v>#VALUE!</v>
      </c>
      <c r="B283" s="44" t="s">
        <v>105</v>
      </c>
    </row>
    <row r="284" spans="1:2" x14ac:dyDescent="0.2">
      <c r="A284" s="44" t="e">
        <f>IF(OR(AND(USDA!$K$22&gt;=7, USDA!$K$22&lt;20,USDA!$T$22&gt;52,USDA!$U$22+2*USDA!$K$22&gt;=30), AND(USDA!$K$22&lt;7, USDA!$U$22&lt;50, USDA!$U$22+2*USDA!$K$22&gt;=30)), 3,0)</f>
        <v>#VALUE!</v>
      </c>
      <c r="B284" s="44" t="s">
        <v>106</v>
      </c>
    </row>
    <row r="285" spans="1:2" x14ac:dyDescent="0.2">
      <c r="A285" s="44" t="e">
        <f>IF(AND(USDA!$K$22&gt;=7, USDA!$K$22&lt;27, USDA!$U$22&gt;=28, USDA!$U$22&lt;50, USDA!$T$22&lt;=52), 4, 0)</f>
        <v>#VALUE!</v>
      </c>
      <c r="B285" s="44" t="s">
        <v>107</v>
      </c>
    </row>
    <row r="286" spans="1:2" x14ac:dyDescent="0.2">
      <c r="A286" s="44" t="e">
        <f>IF(OR(AND(USDA!$U$22&gt;=50, USDA!$K$22&gt;=12,USDA!$K$22&lt;27), AND(USDA!$U$22&gt;=50,USDA!$U$22&lt;80,USDA!$K$22&lt;12)), 5,0)</f>
        <v>#VALUE!</v>
      </c>
      <c r="B286" s="44" t="s">
        <v>108</v>
      </c>
    </row>
    <row r="287" spans="1:2" x14ac:dyDescent="0.2">
      <c r="A287" s="44" t="e">
        <f>IF(AND(USDA!$U$22&gt;=80, USDA!$K$22&lt;12), 6, 0)</f>
        <v>#VALUE!</v>
      </c>
      <c r="B287" s="44" t="s">
        <v>109</v>
      </c>
    </row>
    <row r="288" spans="1:2" x14ac:dyDescent="0.2">
      <c r="A288" s="44" t="e">
        <f>IF(AND(USDA!$K$22&gt;=20, USDA!$K$22&lt;35, USDA!$U$22&lt;28, USDA!$T$22&gt;45), 7, 0)</f>
        <v>#VALUE!</v>
      </c>
      <c r="B288" s="44" t="s">
        <v>110</v>
      </c>
    </row>
    <row r="289" spans="1:2" x14ac:dyDescent="0.2">
      <c r="A289" s="44" t="e">
        <f>IF(AND(USDA!$K$22&gt;=27, USDA!$K$22&lt;40, USDA!$T$22&gt;20, USDA!$T$22&lt;=45), 8, 0)</f>
        <v>#VALUE!</v>
      </c>
      <c r="B289" s="44" t="s">
        <v>111</v>
      </c>
    </row>
    <row r="290" spans="1:2" x14ac:dyDescent="0.2">
      <c r="A290" s="44" t="e">
        <f>IF(AND(USDA!$K$22&gt;=27, USDA!$K$22&lt;40, USDA!$T$22&lt;=20), 9, 0)</f>
        <v>#VALUE!</v>
      </c>
      <c r="B290" s="44" t="s">
        <v>112</v>
      </c>
    </row>
    <row r="291" spans="1:2" x14ac:dyDescent="0.2">
      <c r="A291" s="44" t="e">
        <f>IF(AND(USDA!$K$22&gt;=35, USDA!$T$22&gt;45), 10, 0)</f>
        <v>#VALUE!</v>
      </c>
      <c r="B291" s="44" t="s">
        <v>113</v>
      </c>
    </row>
    <row r="292" spans="1:2" x14ac:dyDescent="0.2">
      <c r="A292" s="44" t="e">
        <f>IF(AND(USDA!$K$22&gt;=40, USDA!$U$22&gt;=40), 11, 0)</f>
        <v>#VALUE!</v>
      </c>
      <c r="B292" s="44" t="s">
        <v>114</v>
      </c>
    </row>
    <row r="293" spans="1:2" x14ac:dyDescent="0.2">
      <c r="A293" s="44" t="e">
        <f>IF(AND(USDA!$K$22&gt;=40, USDA!$T$22&lt;=45,USDA!$U$22&lt;40), 12, 0)</f>
        <v>#VALUE!</v>
      </c>
      <c r="B293" s="44" t="s">
        <v>115</v>
      </c>
    </row>
    <row r="294" spans="1:2" x14ac:dyDescent="0.2">
      <c r="A294" s="44" t="e">
        <f>SUM(A282:A293)</f>
        <v>#VALUE!</v>
      </c>
    </row>
    <row r="295" spans="1:2" x14ac:dyDescent="0.2">
      <c r="A295" s="90" t="s">
        <v>103</v>
      </c>
      <c r="B295" s="90"/>
    </row>
    <row r="296" spans="1:2" x14ac:dyDescent="0.2">
      <c r="A296" s="44" t="e">
        <f>IF(USDA!$U$23+1.5*USDA!$K$23&lt;15,1,0)</f>
        <v>#VALUE!</v>
      </c>
      <c r="B296" s="44" t="s">
        <v>104</v>
      </c>
    </row>
    <row r="297" spans="1:2" x14ac:dyDescent="0.2">
      <c r="A297" s="44" t="e">
        <f>IF(AND(USDA!$U$23+1.5*USDA!$K$23&gt;=15, USDA!$U$23+2*USDA!$K$23&lt;30), 2, 0)</f>
        <v>#VALUE!</v>
      </c>
      <c r="B297" s="44" t="s">
        <v>105</v>
      </c>
    </row>
    <row r="298" spans="1:2" x14ac:dyDescent="0.2">
      <c r="A298" s="44" t="e">
        <f>IF(OR(AND(USDA!$K$23&gt;=7, USDA!$K$23&lt;20,USDA!$T$23&gt;52,USDA!$U$23+2*USDA!$K$23&gt;=30), AND(USDA!$K$23&lt;7, USDA!$U$23&lt;50, USDA!$U$23+2*USDA!$K$23&gt;=30)), 3,0)</f>
        <v>#VALUE!</v>
      </c>
      <c r="B298" s="44" t="s">
        <v>106</v>
      </c>
    </row>
    <row r="299" spans="1:2" x14ac:dyDescent="0.2">
      <c r="A299" s="44" t="e">
        <f>IF(AND(USDA!$K$23&gt;=7, USDA!$K$23&lt;27, USDA!$U$23&gt;=28, USDA!$U$23&lt;50, USDA!$T$23&lt;=52), 4, 0)</f>
        <v>#VALUE!</v>
      </c>
      <c r="B299" s="44" t="s">
        <v>107</v>
      </c>
    </row>
    <row r="300" spans="1:2" x14ac:dyDescent="0.2">
      <c r="A300" s="44" t="e">
        <f>IF(OR(AND(USDA!$U$23&gt;=50, USDA!$K$23&gt;=12,USDA!$K$23&lt;27), AND(USDA!$U$23&gt;=50,USDA!$U$23&lt;80,USDA!$K$23&lt;12)), 5,0)</f>
        <v>#VALUE!</v>
      </c>
      <c r="B300" s="44" t="s">
        <v>108</v>
      </c>
    </row>
    <row r="301" spans="1:2" x14ac:dyDescent="0.2">
      <c r="A301" s="44" t="e">
        <f>IF(AND(USDA!$U$23&gt;=80, USDA!$K$23&lt;12), 6, 0)</f>
        <v>#VALUE!</v>
      </c>
      <c r="B301" s="44" t="s">
        <v>109</v>
      </c>
    </row>
    <row r="302" spans="1:2" x14ac:dyDescent="0.2">
      <c r="A302" s="44" t="e">
        <f>IF(AND(USDA!$K$23&gt;=20, USDA!$K$23&lt;35, USDA!$U$23&lt;28, USDA!$T$23&gt;45), 7, 0)</f>
        <v>#VALUE!</v>
      </c>
      <c r="B302" s="44" t="s">
        <v>110</v>
      </c>
    </row>
    <row r="303" spans="1:2" x14ac:dyDescent="0.2">
      <c r="A303" s="44" t="e">
        <f>IF(AND(USDA!$K$23&gt;=27, USDA!$K$23&lt;40, USDA!$T$23&gt;20, USDA!$T$23&lt;=45), 8, 0)</f>
        <v>#VALUE!</v>
      </c>
      <c r="B303" s="44" t="s">
        <v>111</v>
      </c>
    </row>
    <row r="304" spans="1:2" x14ac:dyDescent="0.2">
      <c r="A304" s="44" t="e">
        <f>IF(AND(USDA!$K$23&gt;=27, USDA!$K$23&lt;40, USDA!$T$23&lt;=20), 9, 0)</f>
        <v>#VALUE!</v>
      </c>
      <c r="B304" s="44" t="s">
        <v>112</v>
      </c>
    </row>
    <row r="305" spans="1:2" x14ac:dyDescent="0.2">
      <c r="A305" s="44" t="e">
        <f>IF(AND(USDA!$K$23&gt;=35, USDA!$T$23&gt;45), 10, 0)</f>
        <v>#VALUE!</v>
      </c>
      <c r="B305" s="44" t="s">
        <v>113</v>
      </c>
    </row>
    <row r="306" spans="1:2" x14ac:dyDescent="0.2">
      <c r="A306" s="44" t="e">
        <f>IF(AND(USDA!$K$23&gt;=40, USDA!$U$23&gt;=40), 11, 0)</f>
        <v>#VALUE!</v>
      </c>
      <c r="B306" s="44" t="s">
        <v>114</v>
      </c>
    </row>
    <row r="307" spans="1:2" x14ac:dyDescent="0.2">
      <c r="A307" s="44" t="e">
        <f>IF(AND(USDA!$K$23&gt;=40, USDA!$T$23&lt;=45,USDA!$U$23&lt;40), 12, 0)</f>
        <v>#VALUE!</v>
      </c>
      <c r="B307" s="44" t="s">
        <v>115</v>
      </c>
    </row>
    <row r="308" spans="1:2" x14ac:dyDescent="0.2">
      <c r="A308" s="44" t="e">
        <f>SUM(A296:A307)</f>
        <v>#VALUE!</v>
      </c>
    </row>
    <row r="309" spans="1:2" x14ac:dyDescent="0.2">
      <c r="A309" s="90" t="s">
        <v>103</v>
      </c>
      <c r="B309" s="90"/>
    </row>
    <row r="310" spans="1:2" x14ac:dyDescent="0.2">
      <c r="A310" s="44" t="e">
        <f>IF(USDA!$U$24+1.5*USDA!$K$24&lt;15,1,0)</f>
        <v>#VALUE!</v>
      </c>
      <c r="B310" s="44" t="s">
        <v>104</v>
      </c>
    </row>
    <row r="311" spans="1:2" x14ac:dyDescent="0.2">
      <c r="A311" s="44" t="e">
        <f>IF(AND(USDA!$U$24+1.5*USDA!$K$24&gt;=15, USDA!$U$24+2*USDA!$K$24&lt;30), 2, 0)</f>
        <v>#VALUE!</v>
      </c>
      <c r="B311" s="44" t="s">
        <v>105</v>
      </c>
    </row>
    <row r="312" spans="1:2" x14ac:dyDescent="0.2">
      <c r="A312" s="44" t="e">
        <f>IF(OR(AND(USDA!$K$24&gt;=7, USDA!$K$24&lt;20,USDA!$T$24&gt;52,USDA!$U$24+2*USDA!$K$24&gt;=30), AND(USDA!$K$24&lt;7, USDA!$U$24&lt;50, USDA!$U$24+2*USDA!$K$24&gt;=30)), 3,0)</f>
        <v>#VALUE!</v>
      </c>
      <c r="B312" s="44" t="s">
        <v>106</v>
      </c>
    </row>
    <row r="313" spans="1:2" x14ac:dyDescent="0.2">
      <c r="A313" s="44" t="e">
        <f>IF(AND(USDA!$K$24&gt;=7, USDA!$K$24&lt;27, USDA!$U$24&gt;=28, USDA!$U$24&lt;50, USDA!$T$24&lt;=52), 4, 0)</f>
        <v>#VALUE!</v>
      </c>
      <c r="B313" s="44" t="s">
        <v>107</v>
      </c>
    </row>
    <row r="314" spans="1:2" x14ac:dyDescent="0.2">
      <c r="A314" s="44" t="e">
        <f>IF(OR(AND(USDA!$U$24&gt;=50, USDA!$K$24&gt;=12,USDA!$K$24&lt;27), AND(USDA!$U$24&gt;=50,USDA!$U$24&lt;80,USDA!$K$24&lt;12)), 5,0)</f>
        <v>#VALUE!</v>
      </c>
      <c r="B314" s="44" t="s">
        <v>108</v>
      </c>
    </row>
    <row r="315" spans="1:2" x14ac:dyDescent="0.2">
      <c r="A315" s="44" t="e">
        <f>IF(AND(USDA!$U$24&gt;=80, USDA!$K$24&lt;12), 6, 0)</f>
        <v>#VALUE!</v>
      </c>
      <c r="B315" s="44" t="s">
        <v>109</v>
      </c>
    </row>
    <row r="316" spans="1:2" x14ac:dyDescent="0.2">
      <c r="A316" s="44" t="e">
        <f>IF(AND(USDA!$K$24&gt;=20, USDA!$K$24&lt;35, USDA!$U$24&lt;28, USDA!$T$24&gt;45), 7, 0)</f>
        <v>#VALUE!</v>
      </c>
      <c r="B316" s="44" t="s">
        <v>110</v>
      </c>
    </row>
    <row r="317" spans="1:2" x14ac:dyDescent="0.2">
      <c r="A317" s="44" t="e">
        <f>IF(AND(USDA!$K$24&gt;=27, USDA!$K$24&lt;40, USDA!$T$24&gt;20, USDA!$T$24&lt;=45), 8, 0)</f>
        <v>#VALUE!</v>
      </c>
      <c r="B317" s="44" t="s">
        <v>111</v>
      </c>
    </row>
    <row r="318" spans="1:2" x14ac:dyDescent="0.2">
      <c r="A318" s="44" t="e">
        <f>IF(AND(USDA!$K$24&gt;=27, USDA!$K$24&lt;40, USDA!$T$24&lt;=20), 9, 0)</f>
        <v>#VALUE!</v>
      </c>
      <c r="B318" s="44" t="s">
        <v>112</v>
      </c>
    </row>
    <row r="319" spans="1:2" x14ac:dyDescent="0.2">
      <c r="A319" s="44" t="e">
        <f>IF(AND(USDA!$K$24&gt;=35, USDA!$T$24&gt;45), 10, 0)</f>
        <v>#VALUE!</v>
      </c>
      <c r="B319" s="44" t="s">
        <v>113</v>
      </c>
    </row>
    <row r="320" spans="1:2" x14ac:dyDescent="0.2">
      <c r="A320" s="44" t="e">
        <f>IF(AND(USDA!$K$24&gt;=40, USDA!$U$24&gt;=40), 11, 0)</f>
        <v>#VALUE!</v>
      </c>
      <c r="B320" s="44" t="s">
        <v>114</v>
      </c>
    </row>
    <row r="321" spans="1:2" x14ac:dyDescent="0.2">
      <c r="A321" s="44" t="e">
        <f>IF(AND(USDA!$K$24&gt;=40, USDA!$T$24&lt;=45,USDA!$U$24&lt;40), 12, 0)</f>
        <v>#VALUE!</v>
      </c>
      <c r="B321" s="44" t="s">
        <v>115</v>
      </c>
    </row>
    <row r="322" spans="1:2" x14ac:dyDescent="0.2">
      <c r="A322" s="44" t="e">
        <f>SUM(A310:A321)</f>
        <v>#VALUE!</v>
      </c>
    </row>
    <row r="323" spans="1:2" x14ac:dyDescent="0.2">
      <c r="A323" s="90" t="s">
        <v>103</v>
      </c>
      <c r="B323" s="90"/>
    </row>
    <row r="324" spans="1:2" x14ac:dyDescent="0.2">
      <c r="A324" s="44" t="e">
        <f>IF(USDA!$U$25+1.5*USDA!$K$25&lt;15,1,0)</f>
        <v>#VALUE!</v>
      </c>
      <c r="B324" s="44" t="s">
        <v>104</v>
      </c>
    </row>
    <row r="325" spans="1:2" x14ac:dyDescent="0.2">
      <c r="A325" s="44" t="e">
        <f>IF(AND(USDA!$U$25+1.5*USDA!$K$25&gt;=15, USDA!$U$25+2*USDA!$K$25&lt;30), 2, 0)</f>
        <v>#VALUE!</v>
      </c>
      <c r="B325" s="44" t="s">
        <v>105</v>
      </c>
    </row>
    <row r="326" spans="1:2" x14ac:dyDescent="0.2">
      <c r="A326" s="44" t="e">
        <f>IF(OR(AND(USDA!$K$25&gt;=7, USDA!$K$25&lt;20,USDA!$T$25&gt;52,USDA!$U$25+2*USDA!$K$25&gt;=30), AND(USDA!$K$25&lt;7, USDA!$U$25&lt;50, USDA!$U$25+2*USDA!$K$25&gt;=30)), 3,0)</f>
        <v>#VALUE!</v>
      </c>
      <c r="B326" s="44" t="s">
        <v>106</v>
      </c>
    </row>
    <row r="327" spans="1:2" x14ac:dyDescent="0.2">
      <c r="A327" s="44" t="e">
        <f>IF(AND(USDA!$K$25&gt;=7, USDA!$K$25&lt;27, USDA!$U$25&gt;=28, USDA!$U$25&lt;50, USDA!$T$25&lt;=52), 4, 0)</f>
        <v>#VALUE!</v>
      </c>
      <c r="B327" s="44" t="s">
        <v>107</v>
      </c>
    </row>
    <row r="328" spans="1:2" x14ac:dyDescent="0.2">
      <c r="A328" s="44" t="e">
        <f>IF(OR(AND(USDA!$U$25&gt;=50, USDA!$K$25&gt;=12,USDA!$K$25&lt;27), AND(USDA!$U$25&gt;=50,USDA!$U$25&lt;80,USDA!$K$25&lt;12)), 5,0)</f>
        <v>#VALUE!</v>
      </c>
      <c r="B328" s="44" t="s">
        <v>108</v>
      </c>
    </row>
    <row r="329" spans="1:2" x14ac:dyDescent="0.2">
      <c r="A329" s="44" t="e">
        <f>IF(AND(USDA!$U$25&gt;=80, USDA!$K$25&lt;12), 6, 0)</f>
        <v>#VALUE!</v>
      </c>
      <c r="B329" s="44" t="s">
        <v>109</v>
      </c>
    </row>
    <row r="330" spans="1:2" x14ac:dyDescent="0.2">
      <c r="A330" s="44" t="e">
        <f>IF(AND(USDA!$K$25&gt;=20, USDA!$K$25&lt;35, USDA!$U$25&lt;28, USDA!$T$25&gt;45), 7, 0)</f>
        <v>#VALUE!</v>
      </c>
      <c r="B330" s="44" t="s">
        <v>110</v>
      </c>
    </row>
    <row r="331" spans="1:2" x14ac:dyDescent="0.2">
      <c r="A331" s="44" t="e">
        <f>IF(AND(USDA!$K$25&gt;=27, USDA!$K$25&lt;40, USDA!$T$25&gt;20, USDA!$T$25&lt;=45), 8, 0)</f>
        <v>#VALUE!</v>
      </c>
      <c r="B331" s="44" t="s">
        <v>111</v>
      </c>
    </row>
    <row r="332" spans="1:2" x14ac:dyDescent="0.2">
      <c r="A332" s="44" t="e">
        <f>IF(AND(USDA!$K$25&gt;=27, USDA!$K$25&lt;40, USDA!$T$25&lt;=20), 9, 0)</f>
        <v>#VALUE!</v>
      </c>
      <c r="B332" s="44" t="s">
        <v>112</v>
      </c>
    </row>
    <row r="333" spans="1:2" x14ac:dyDescent="0.2">
      <c r="A333" s="44" t="e">
        <f>IF(AND(USDA!$K$25&gt;=35, USDA!$T$25&gt;45), 10, 0)</f>
        <v>#VALUE!</v>
      </c>
      <c r="B333" s="44" t="s">
        <v>113</v>
      </c>
    </row>
    <row r="334" spans="1:2" x14ac:dyDescent="0.2">
      <c r="A334" s="44" t="e">
        <f>IF(AND(USDA!$K$25&gt;=40, USDA!$U$25&gt;=40), 11, 0)</f>
        <v>#VALUE!</v>
      </c>
      <c r="B334" s="44" t="s">
        <v>114</v>
      </c>
    </row>
    <row r="335" spans="1:2" x14ac:dyDescent="0.2">
      <c r="A335" s="44" t="e">
        <f>IF(AND(USDA!$K$25&gt;=40, USDA!$T$25&lt;=45,USDA!$U$25&lt;40), 12, 0)</f>
        <v>#VALUE!</v>
      </c>
      <c r="B335" s="44" t="s">
        <v>115</v>
      </c>
    </row>
    <row r="336" spans="1:2" x14ac:dyDescent="0.2">
      <c r="A336" s="44" t="e">
        <f>SUM(A324:A335)</f>
        <v>#VALUE!</v>
      </c>
    </row>
  </sheetData>
  <mergeCells count="24">
    <mergeCell ref="A323:B323"/>
    <mergeCell ref="A169:B169"/>
    <mergeCell ref="A183:B183"/>
    <mergeCell ref="A197:B197"/>
    <mergeCell ref="A211:B211"/>
    <mergeCell ref="A225:B225"/>
    <mergeCell ref="A239:B239"/>
    <mergeCell ref="A253:B253"/>
    <mergeCell ref="A267:B267"/>
    <mergeCell ref="A281:B281"/>
    <mergeCell ref="A295:B295"/>
    <mergeCell ref="A309:B309"/>
    <mergeCell ref="A155:B155"/>
    <mergeCell ref="A1:B1"/>
    <mergeCell ref="A15:B15"/>
    <mergeCell ref="A29:B29"/>
    <mergeCell ref="A43:B43"/>
    <mergeCell ref="A57:B57"/>
    <mergeCell ref="A71:B71"/>
    <mergeCell ref="A85:B85"/>
    <mergeCell ref="A99:B99"/>
    <mergeCell ref="A113:B113"/>
    <mergeCell ref="A127:B127"/>
    <mergeCell ref="A141:B14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B6"/>
  <sheetViews>
    <sheetView workbookViewId="0">
      <selection activeCell="B2" sqref="B2"/>
    </sheetView>
  </sheetViews>
  <sheetFormatPr baseColWidth="10" defaultRowHeight="12.75" x14ac:dyDescent="0.2"/>
  <sheetData>
    <row r="1" spans="1:2" x14ac:dyDescent="0.2">
      <c r="A1" s="91" t="s">
        <v>0</v>
      </c>
      <c r="B1" s="91"/>
    </row>
    <row r="2" spans="1:2" x14ac:dyDescent="0.2">
      <c r="A2" s="1" t="s">
        <v>1</v>
      </c>
      <c r="B2" s="2">
        <v>3</v>
      </c>
    </row>
    <row r="3" spans="1:2" x14ac:dyDescent="0.2">
      <c r="A3" s="1" t="s">
        <v>2</v>
      </c>
      <c r="B3" s="2">
        <v>9600</v>
      </c>
    </row>
    <row r="4" spans="1:2" x14ac:dyDescent="0.2">
      <c r="A4" s="1" t="s">
        <v>3</v>
      </c>
      <c r="B4" s="2" t="s">
        <v>4</v>
      </c>
    </row>
    <row r="5" spans="1:2" x14ac:dyDescent="0.2">
      <c r="A5" s="1" t="s">
        <v>5</v>
      </c>
      <c r="B5" s="2">
        <v>8</v>
      </c>
    </row>
    <row r="6" spans="1:2" x14ac:dyDescent="0.2">
      <c r="A6" s="1" t="s">
        <v>6</v>
      </c>
      <c r="B6" s="2">
        <v>1</v>
      </c>
    </row>
  </sheetData>
  <mergeCells count="1">
    <mergeCell ref="A1:B1"/>
  </mergeCells>
  <dataValidations count="3">
    <dataValidation type="list" allowBlank="1" showInputMessage="1" showErrorMessage="1" sqref="B3">
      <formula1>"1200,2400,4800,9600,19200,38400"</formula1>
    </dataValidation>
    <dataValidation type="list" allowBlank="1" showInputMessage="1" showErrorMessage="1" sqref="B2">
      <formula1>"1,2,3,4,5"</formula1>
    </dataValidation>
    <dataValidation type="list" allowBlank="1" showInputMessage="1" showErrorMessage="1" sqref="B4">
      <formula1>"N,O,E"</formula1>
    </dataValidation>
  </dataValidation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2"/>
  <dimension ref="A2:Q151"/>
  <sheetViews>
    <sheetView workbookViewId="0">
      <selection activeCell="B6" sqref="B6"/>
    </sheetView>
  </sheetViews>
  <sheetFormatPr baseColWidth="10" defaultRowHeight="12.75" x14ac:dyDescent="0.2"/>
  <cols>
    <col min="3" max="3" width="9.5703125" customWidth="1"/>
    <col min="6" max="6" width="4.5703125" customWidth="1"/>
    <col min="259" max="259" width="4" customWidth="1"/>
    <col min="262" max="262" width="4.5703125" customWidth="1"/>
    <col min="515" max="515" width="4" customWidth="1"/>
    <col min="518" max="518" width="4.5703125" customWidth="1"/>
    <col min="771" max="771" width="4" customWidth="1"/>
    <col min="774" max="774" width="4.5703125" customWidth="1"/>
    <col min="1027" max="1027" width="4" customWidth="1"/>
    <col min="1030" max="1030" width="4.5703125" customWidth="1"/>
    <col min="1283" max="1283" width="4" customWidth="1"/>
    <col min="1286" max="1286" width="4.5703125" customWidth="1"/>
    <col min="1539" max="1539" width="4" customWidth="1"/>
    <col min="1542" max="1542" width="4.5703125" customWidth="1"/>
    <col min="1795" max="1795" width="4" customWidth="1"/>
    <col min="1798" max="1798" width="4.5703125" customWidth="1"/>
    <col min="2051" max="2051" width="4" customWidth="1"/>
    <col min="2054" max="2054" width="4.5703125" customWidth="1"/>
    <col min="2307" max="2307" width="4" customWidth="1"/>
    <col min="2310" max="2310" width="4.5703125" customWidth="1"/>
    <col min="2563" max="2563" width="4" customWidth="1"/>
    <col min="2566" max="2566" width="4.5703125" customWidth="1"/>
    <col min="2819" max="2819" width="4" customWidth="1"/>
    <col min="2822" max="2822" width="4.5703125" customWidth="1"/>
    <col min="3075" max="3075" width="4" customWidth="1"/>
    <col min="3078" max="3078" width="4.5703125" customWidth="1"/>
    <col min="3331" max="3331" width="4" customWidth="1"/>
    <col min="3334" max="3334" width="4.5703125" customWidth="1"/>
    <col min="3587" max="3587" width="4" customWidth="1"/>
    <col min="3590" max="3590" width="4.5703125" customWidth="1"/>
    <col min="3843" max="3843" width="4" customWidth="1"/>
    <col min="3846" max="3846" width="4.5703125" customWidth="1"/>
    <col min="4099" max="4099" width="4" customWidth="1"/>
    <col min="4102" max="4102" width="4.5703125" customWidth="1"/>
    <col min="4355" max="4355" width="4" customWidth="1"/>
    <col min="4358" max="4358" width="4.5703125" customWidth="1"/>
    <col min="4611" max="4611" width="4" customWidth="1"/>
    <col min="4614" max="4614" width="4.5703125" customWidth="1"/>
    <col min="4867" max="4867" width="4" customWidth="1"/>
    <col min="4870" max="4870" width="4.5703125" customWidth="1"/>
    <col min="5123" max="5123" width="4" customWidth="1"/>
    <col min="5126" max="5126" width="4.5703125" customWidth="1"/>
    <col min="5379" max="5379" width="4" customWidth="1"/>
    <col min="5382" max="5382" width="4.5703125" customWidth="1"/>
    <col min="5635" max="5635" width="4" customWidth="1"/>
    <col min="5638" max="5638" width="4.5703125" customWidth="1"/>
    <col min="5891" max="5891" width="4" customWidth="1"/>
    <col min="5894" max="5894" width="4.5703125" customWidth="1"/>
    <col min="6147" max="6147" width="4" customWidth="1"/>
    <col min="6150" max="6150" width="4.5703125" customWidth="1"/>
    <col min="6403" max="6403" width="4" customWidth="1"/>
    <col min="6406" max="6406" width="4.5703125" customWidth="1"/>
    <col min="6659" max="6659" width="4" customWidth="1"/>
    <col min="6662" max="6662" width="4.5703125" customWidth="1"/>
    <col min="6915" max="6915" width="4" customWidth="1"/>
    <col min="6918" max="6918" width="4.5703125" customWidth="1"/>
    <col min="7171" max="7171" width="4" customWidth="1"/>
    <col min="7174" max="7174" width="4.5703125" customWidth="1"/>
    <col min="7427" max="7427" width="4" customWidth="1"/>
    <col min="7430" max="7430" width="4.5703125" customWidth="1"/>
    <col min="7683" max="7683" width="4" customWidth="1"/>
    <col min="7686" max="7686" width="4.5703125" customWidth="1"/>
    <col min="7939" max="7939" width="4" customWidth="1"/>
    <col min="7942" max="7942" width="4.5703125" customWidth="1"/>
    <col min="8195" max="8195" width="4" customWidth="1"/>
    <col min="8198" max="8198" width="4.5703125" customWidth="1"/>
    <col min="8451" max="8451" width="4" customWidth="1"/>
    <col min="8454" max="8454" width="4.5703125" customWidth="1"/>
    <col min="8707" max="8707" width="4" customWidth="1"/>
    <col min="8710" max="8710" width="4.5703125" customWidth="1"/>
    <col min="8963" max="8963" width="4" customWidth="1"/>
    <col min="8966" max="8966" width="4.5703125" customWidth="1"/>
    <col min="9219" max="9219" width="4" customWidth="1"/>
    <col min="9222" max="9222" width="4.5703125" customWidth="1"/>
    <col min="9475" max="9475" width="4" customWidth="1"/>
    <col min="9478" max="9478" width="4.5703125" customWidth="1"/>
    <col min="9731" max="9731" width="4" customWidth="1"/>
    <col min="9734" max="9734" width="4.5703125" customWidth="1"/>
    <col min="9987" max="9987" width="4" customWidth="1"/>
    <col min="9990" max="9990" width="4.5703125" customWidth="1"/>
    <col min="10243" max="10243" width="4" customWidth="1"/>
    <col min="10246" max="10246" width="4.5703125" customWidth="1"/>
    <col min="10499" max="10499" width="4" customWidth="1"/>
    <col min="10502" max="10502" width="4.5703125" customWidth="1"/>
    <col min="10755" max="10755" width="4" customWidth="1"/>
    <col min="10758" max="10758" width="4.5703125" customWidth="1"/>
    <col min="11011" max="11011" width="4" customWidth="1"/>
    <col min="11014" max="11014" width="4.5703125" customWidth="1"/>
    <col min="11267" max="11267" width="4" customWidth="1"/>
    <col min="11270" max="11270" width="4.5703125" customWidth="1"/>
    <col min="11523" max="11523" width="4" customWidth="1"/>
    <col min="11526" max="11526" width="4.5703125" customWidth="1"/>
    <col min="11779" max="11779" width="4" customWidth="1"/>
    <col min="11782" max="11782" width="4.5703125" customWidth="1"/>
    <col min="12035" max="12035" width="4" customWidth="1"/>
    <col min="12038" max="12038" width="4.5703125" customWidth="1"/>
    <col min="12291" max="12291" width="4" customWidth="1"/>
    <col min="12294" max="12294" width="4.5703125" customWidth="1"/>
    <col min="12547" max="12547" width="4" customWidth="1"/>
    <col min="12550" max="12550" width="4.5703125" customWidth="1"/>
    <col min="12803" max="12803" width="4" customWidth="1"/>
    <col min="12806" max="12806" width="4.5703125" customWidth="1"/>
    <col min="13059" max="13059" width="4" customWidth="1"/>
    <col min="13062" max="13062" width="4.5703125" customWidth="1"/>
    <col min="13315" max="13315" width="4" customWidth="1"/>
    <col min="13318" max="13318" width="4.5703125" customWidth="1"/>
    <col min="13571" max="13571" width="4" customWidth="1"/>
    <col min="13574" max="13574" width="4.5703125" customWidth="1"/>
    <col min="13827" max="13827" width="4" customWidth="1"/>
    <col min="13830" max="13830" width="4.5703125" customWidth="1"/>
    <col min="14083" max="14083" width="4" customWidth="1"/>
    <col min="14086" max="14086" width="4.5703125" customWidth="1"/>
    <col min="14339" max="14339" width="4" customWidth="1"/>
    <col min="14342" max="14342" width="4.5703125" customWidth="1"/>
    <col min="14595" max="14595" width="4" customWidth="1"/>
    <col min="14598" max="14598" width="4.5703125" customWidth="1"/>
    <col min="14851" max="14851" width="4" customWidth="1"/>
    <col min="14854" max="14854" width="4.5703125" customWidth="1"/>
    <col min="15107" max="15107" width="4" customWidth="1"/>
    <col min="15110" max="15110" width="4.5703125" customWidth="1"/>
    <col min="15363" max="15363" width="4" customWidth="1"/>
    <col min="15366" max="15366" width="4.5703125" customWidth="1"/>
    <col min="15619" max="15619" width="4" customWidth="1"/>
    <col min="15622" max="15622" width="4.5703125" customWidth="1"/>
    <col min="15875" max="15875" width="4" customWidth="1"/>
    <col min="15878" max="15878" width="4.5703125" customWidth="1"/>
    <col min="16131" max="16131" width="4" customWidth="1"/>
    <col min="16134" max="16134" width="4.5703125" customWidth="1"/>
  </cols>
  <sheetData>
    <row r="2" spans="1:17" x14ac:dyDescent="0.2">
      <c r="A2" s="46" t="s">
        <v>118</v>
      </c>
      <c r="C2" s="46"/>
      <c r="D2" s="46"/>
      <c r="G2" s="56" t="s">
        <v>119</v>
      </c>
      <c r="H2" s="54">
        <v>43374</v>
      </c>
    </row>
    <row r="5" spans="1:17" x14ac:dyDescent="0.2">
      <c r="A5" s="47" t="s">
        <v>116</v>
      </c>
      <c r="B5" s="57" t="s">
        <v>117</v>
      </c>
      <c r="C5" s="50"/>
      <c r="D5" s="46" t="s">
        <v>126</v>
      </c>
      <c r="K5" s="48">
        <f>EDATE(H2,3)</f>
        <v>43466</v>
      </c>
      <c r="Q5" s="48"/>
    </row>
    <row r="6" spans="1:17" x14ac:dyDescent="0.2">
      <c r="A6" s="47">
        <v>1</v>
      </c>
      <c r="B6" s="52">
        <v>33.6691</v>
      </c>
      <c r="C6" s="49"/>
    </row>
    <row r="7" spans="1:17" x14ac:dyDescent="0.2">
      <c r="A7" s="47">
        <v>2</v>
      </c>
      <c r="B7" s="52">
        <v>33.851399999999998</v>
      </c>
      <c r="C7" s="49"/>
      <c r="D7" s="56" t="s">
        <v>120</v>
      </c>
      <c r="E7" s="55" t="s">
        <v>121</v>
      </c>
      <c r="G7" s="46" t="s">
        <v>122</v>
      </c>
      <c r="H7" t="s">
        <v>123</v>
      </c>
      <c r="J7" s="46"/>
      <c r="M7" s="46"/>
    </row>
    <row r="8" spans="1:17" x14ac:dyDescent="0.2">
      <c r="A8" s="47">
        <v>3</v>
      </c>
      <c r="B8" s="52">
        <v>33.603099999999998</v>
      </c>
      <c r="C8" s="49"/>
      <c r="J8" s="46"/>
      <c r="M8" s="46"/>
    </row>
    <row r="9" spans="1:17" x14ac:dyDescent="0.2">
      <c r="A9" s="47">
        <v>4</v>
      </c>
      <c r="B9" s="52">
        <v>33.793900000000001</v>
      </c>
      <c r="C9" s="49"/>
      <c r="D9" s="56" t="s">
        <v>124</v>
      </c>
      <c r="E9" s="55" t="s">
        <v>125</v>
      </c>
      <c r="J9" s="46"/>
    </row>
    <row r="10" spans="1:17" x14ac:dyDescent="0.2">
      <c r="A10" s="47">
        <v>5</v>
      </c>
      <c r="B10" s="52">
        <v>34.4208</v>
      </c>
      <c r="C10" s="49"/>
    </row>
    <row r="11" spans="1:17" x14ac:dyDescent="0.2">
      <c r="A11" s="47">
        <v>6</v>
      </c>
      <c r="B11" s="52">
        <v>33.810499999999998</v>
      </c>
      <c r="C11" s="49"/>
    </row>
    <row r="12" spans="1:17" x14ac:dyDescent="0.2">
      <c r="A12" s="47">
        <v>7</v>
      </c>
      <c r="B12" s="52">
        <v>34.528300000000002</v>
      </c>
      <c r="C12" s="49"/>
    </row>
    <row r="13" spans="1:17" x14ac:dyDescent="0.2">
      <c r="A13" s="47">
        <v>8</v>
      </c>
      <c r="B13" s="52">
        <v>34.428100000000001</v>
      </c>
      <c r="C13" s="49"/>
    </row>
    <row r="14" spans="1:17" x14ac:dyDescent="0.2">
      <c r="A14" s="47">
        <v>9</v>
      </c>
      <c r="B14" s="52">
        <v>34.2652</v>
      </c>
      <c r="C14" s="49"/>
    </row>
    <row r="15" spans="1:17" x14ac:dyDescent="0.2">
      <c r="A15" s="47">
        <v>10</v>
      </c>
      <c r="B15" s="52">
        <v>34.674599999999998</v>
      </c>
      <c r="C15" s="49"/>
    </row>
    <row r="16" spans="1:17" x14ac:dyDescent="0.2">
      <c r="A16" s="47">
        <v>11</v>
      </c>
      <c r="B16" s="52">
        <v>34.369500000000002</v>
      </c>
      <c r="C16" s="49"/>
    </row>
    <row r="17" spans="1:3" x14ac:dyDescent="0.2">
      <c r="A17" s="47">
        <v>12</v>
      </c>
      <c r="B17" s="52">
        <v>34.246299999999998</v>
      </c>
      <c r="C17" s="49"/>
    </row>
    <row r="18" spans="1:3" x14ac:dyDescent="0.2">
      <c r="A18" s="47">
        <v>13</v>
      </c>
      <c r="B18" s="52">
        <v>33.939300000000003</v>
      </c>
      <c r="C18" s="49"/>
    </row>
    <row r="19" spans="1:3" x14ac:dyDescent="0.2">
      <c r="A19" s="47">
        <v>14</v>
      </c>
      <c r="B19" s="52">
        <v>34.296500000000002</v>
      </c>
      <c r="C19" s="49"/>
    </row>
    <row r="20" spans="1:3" x14ac:dyDescent="0.2">
      <c r="A20" s="47">
        <v>15</v>
      </c>
      <c r="B20" s="52">
        <v>33.106000000000002</v>
      </c>
      <c r="C20" s="49"/>
    </row>
    <row r="21" spans="1:3" x14ac:dyDescent="0.2">
      <c r="A21" s="47">
        <v>16</v>
      </c>
      <c r="B21" s="52">
        <v>33.341299999999997</v>
      </c>
      <c r="C21" s="49"/>
    </row>
    <row r="22" spans="1:3" x14ac:dyDescent="0.2">
      <c r="A22" s="47">
        <v>17</v>
      </c>
      <c r="B22" s="52">
        <v>34.121000000000002</v>
      </c>
      <c r="C22" s="49"/>
    </row>
    <row r="23" spans="1:3" x14ac:dyDescent="0.2">
      <c r="A23" s="47">
        <v>18</v>
      </c>
      <c r="B23" s="52">
        <v>34.5274</v>
      </c>
      <c r="C23" s="49"/>
    </row>
    <row r="24" spans="1:3" x14ac:dyDescent="0.2">
      <c r="A24" s="47">
        <v>19</v>
      </c>
      <c r="B24" s="52">
        <v>36.6205</v>
      </c>
      <c r="C24" s="49"/>
    </row>
    <row r="25" spans="1:3" x14ac:dyDescent="0.2">
      <c r="A25" s="47">
        <v>20</v>
      </c>
      <c r="B25" s="52">
        <v>34.351599999999998</v>
      </c>
      <c r="C25" s="49"/>
    </row>
    <row r="26" spans="1:3" x14ac:dyDescent="0.2">
      <c r="A26" s="47">
        <v>21</v>
      </c>
      <c r="B26" s="52">
        <v>32.339599999999997</v>
      </c>
      <c r="C26" s="49"/>
    </row>
    <row r="27" spans="1:3" x14ac:dyDescent="0.2">
      <c r="A27" s="47">
        <v>22</v>
      </c>
      <c r="B27" s="52">
        <v>34.196899999999999</v>
      </c>
      <c r="C27" s="49"/>
    </row>
    <row r="28" spans="1:3" x14ac:dyDescent="0.2">
      <c r="A28" s="47">
        <v>23</v>
      </c>
      <c r="B28" s="52">
        <v>33.721699999999998</v>
      </c>
      <c r="C28" s="49"/>
    </row>
    <row r="29" spans="1:3" x14ac:dyDescent="0.2">
      <c r="A29" s="47">
        <v>24</v>
      </c>
      <c r="B29" s="52">
        <v>34.810299999999998</v>
      </c>
      <c r="C29" s="49"/>
    </row>
    <row r="30" spans="1:3" x14ac:dyDescent="0.2">
      <c r="A30" s="47">
        <v>25</v>
      </c>
      <c r="B30" s="52">
        <v>33.686399999999999</v>
      </c>
      <c r="C30" s="49"/>
    </row>
    <row r="31" spans="1:3" x14ac:dyDescent="0.2">
      <c r="A31" s="47">
        <v>26</v>
      </c>
      <c r="B31" s="52">
        <v>33.8491</v>
      </c>
      <c r="C31" s="49"/>
    </row>
    <row r="32" spans="1:3" x14ac:dyDescent="0.2">
      <c r="A32" s="47">
        <v>27</v>
      </c>
      <c r="B32" s="52">
        <v>35.094099999999997</v>
      </c>
      <c r="C32" s="49"/>
    </row>
    <row r="33" spans="1:3" x14ac:dyDescent="0.2">
      <c r="A33" s="47">
        <v>28</v>
      </c>
      <c r="B33" s="52">
        <v>34.7712</v>
      </c>
      <c r="C33" s="49"/>
    </row>
    <row r="34" spans="1:3" x14ac:dyDescent="0.2">
      <c r="A34" s="47">
        <v>29</v>
      </c>
      <c r="B34" s="52">
        <v>36.751899999999999</v>
      </c>
      <c r="C34" s="49"/>
    </row>
    <row r="35" spans="1:3" x14ac:dyDescent="0.2">
      <c r="A35" s="47">
        <v>30</v>
      </c>
      <c r="B35" s="52">
        <v>34.56</v>
      </c>
      <c r="C35" s="49"/>
    </row>
    <row r="36" spans="1:3" x14ac:dyDescent="0.2">
      <c r="A36" s="47">
        <v>31</v>
      </c>
      <c r="B36" s="52">
        <v>34.110300000000002</v>
      </c>
      <c r="C36" s="49"/>
    </row>
    <row r="37" spans="1:3" x14ac:dyDescent="0.2">
      <c r="A37" s="47">
        <v>32</v>
      </c>
      <c r="B37" s="52">
        <v>34.666800000000002</v>
      </c>
      <c r="C37" s="49"/>
    </row>
    <row r="38" spans="1:3" x14ac:dyDescent="0.2">
      <c r="A38" s="47">
        <v>33</v>
      </c>
      <c r="B38" s="52">
        <v>33.085900000000002</v>
      </c>
      <c r="C38" s="49"/>
    </row>
    <row r="39" spans="1:3" x14ac:dyDescent="0.2">
      <c r="A39" s="47">
        <v>34</v>
      </c>
      <c r="B39" s="52">
        <v>33.374299999999998</v>
      </c>
      <c r="C39" s="49"/>
    </row>
    <row r="40" spans="1:3" x14ac:dyDescent="0.2">
      <c r="A40" s="47">
        <v>35</v>
      </c>
      <c r="B40" s="52">
        <v>34.459600000000002</v>
      </c>
      <c r="C40" s="49"/>
    </row>
    <row r="41" spans="1:3" x14ac:dyDescent="0.2">
      <c r="A41" s="47">
        <v>36</v>
      </c>
      <c r="B41" s="52">
        <v>34.618000000000002</v>
      </c>
      <c r="C41" s="49"/>
    </row>
    <row r="42" spans="1:3" x14ac:dyDescent="0.2">
      <c r="A42" s="47">
        <v>37</v>
      </c>
      <c r="B42" s="52">
        <v>34.24</v>
      </c>
      <c r="C42" s="49"/>
    </row>
    <row r="43" spans="1:3" x14ac:dyDescent="0.2">
      <c r="A43" s="47">
        <v>38</v>
      </c>
      <c r="B43" s="52">
        <v>34.942799999999998</v>
      </c>
      <c r="C43" s="49"/>
    </row>
    <row r="44" spans="1:3" x14ac:dyDescent="0.2">
      <c r="A44" s="47">
        <v>39</v>
      </c>
      <c r="B44" s="52">
        <v>33.483400000000003</v>
      </c>
      <c r="C44" s="49"/>
    </row>
    <row r="45" spans="1:3" x14ac:dyDescent="0.2">
      <c r="A45" s="47">
        <v>40</v>
      </c>
      <c r="B45" s="52">
        <v>33.636499999999998</v>
      </c>
      <c r="C45" s="49"/>
    </row>
    <row r="46" spans="1:3" x14ac:dyDescent="0.2">
      <c r="A46" s="47">
        <v>41</v>
      </c>
      <c r="B46" s="52">
        <v>33.991900000000001</v>
      </c>
      <c r="C46" s="49"/>
    </row>
    <row r="47" spans="1:3" x14ac:dyDescent="0.2">
      <c r="A47" s="47">
        <v>42</v>
      </c>
      <c r="B47" s="52">
        <v>33.753300000000003</v>
      </c>
      <c r="C47" s="49"/>
    </row>
    <row r="48" spans="1:3" x14ac:dyDescent="0.2">
      <c r="A48" s="47">
        <v>43</v>
      </c>
      <c r="B48" s="52">
        <v>34.353299999999997</v>
      </c>
      <c r="C48" s="49"/>
    </row>
    <row r="49" spans="1:8" x14ac:dyDescent="0.2">
      <c r="A49" s="47">
        <v>44</v>
      </c>
      <c r="B49" s="52">
        <v>36.883299999999998</v>
      </c>
      <c r="C49" s="49"/>
    </row>
    <row r="50" spans="1:8" x14ac:dyDescent="0.2">
      <c r="A50" s="47">
        <v>45</v>
      </c>
      <c r="B50" s="52">
        <v>33.503</v>
      </c>
      <c r="C50" s="49"/>
    </row>
    <row r="51" spans="1:8" x14ac:dyDescent="0.2">
      <c r="A51" s="47">
        <v>46</v>
      </c>
      <c r="B51" s="52">
        <v>34.538499999999999</v>
      </c>
      <c r="C51" s="49"/>
    </row>
    <row r="52" spans="1:8" x14ac:dyDescent="0.2">
      <c r="A52" s="47">
        <v>47</v>
      </c>
      <c r="B52" s="52">
        <v>35.254300000000001</v>
      </c>
      <c r="C52" s="49"/>
    </row>
    <row r="53" spans="1:8" x14ac:dyDescent="0.2">
      <c r="A53" s="47">
        <v>48</v>
      </c>
      <c r="B53" s="52">
        <v>33.538400000000003</v>
      </c>
      <c r="C53" s="49"/>
    </row>
    <row r="54" spans="1:8" x14ac:dyDescent="0.2">
      <c r="A54" s="47">
        <v>49</v>
      </c>
      <c r="B54" s="52">
        <v>34.272399999999998</v>
      </c>
      <c r="C54" s="49"/>
    </row>
    <row r="55" spans="1:8" x14ac:dyDescent="0.2">
      <c r="A55" s="47">
        <v>50</v>
      </c>
      <c r="B55" s="52">
        <v>33.811</v>
      </c>
      <c r="C55" s="49"/>
      <c r="D55" s="50"/>
      <c r="E55" s="22"/>
      <c r="F55" s="49"/>
      <c r="G55" s="49"/>
      <c r="H55" s="49"/>
    </row>
    <row r="56" spans="1:8" x14ac:dyDescent="0.2">
      <c r="A56" s="47">
        <v>51</v>
      </c>
      <c r="B56" s="52">
        <v>34.454900000000002</v>
      </c>
      <c r="C56" s="49"/>
    </row>
    <row r="57" spans="1:8" x14ac:dyDescent="0.2">
      <c r="A57" s="47">
        <v>52</v>
      </c>
      <c r="B57" s="52">
        <v>33.826300000000003</v>
      </c>
      <c r="C57" s="49"/>
    </row>
    <row r="58" spans="1:8" x14ac:dyDescent="0.2">
      <c r="A58" s="47">
        <v>53</v>
      </c>
      <c r="B58" s="52">
        <v>33.072200000000002</v>
      </c>
      <c r="C58" s="49"/>
    </row>
    <row r="59" spans="1:8" x14ac:dyDescent="0.2">
      <c r="A59" s="47">
        <v>54</v>
      </c>
      <c r="B59" s="52">
        <v>34.546700000000001</v>
      </c>
      <c r="C59" s="49"/>
    </row>
    <row r="60" spans="1:8" x14ac:dyDescent="0.2">
      <c r="A60" s="47">
        <v>55</v>
      </c>
      <c r="B60" s="52">
        <v>34.248399999999997</v>
      </c>
      <c r="C60" s="49"/>
    </row>
    <row r="61" spans="1:8" x14ac:dyDescent="0.2">
      <c r="A61" s="47">
        <v>56</v>
      </c>
      <c r="B61" s="52">
        <v>33.654200000000003</v>
      </c>
      <c r="C61" s="49"/>
    </row>
    <row r="62" spans="1:8" x14ac:dyDescent="0.2">
      <c r="A62" s="47">
        <v>57</v>
      </c>
      <c r="B62" s="52">
        <v>33.299399999999999</v>
      </c>
      <c r="C62" s="49"/>
    </row>
    <row r="63" spans="1:8" x14ac:dyDescent="0.2">
      <c r="A63" s="47">
        <v>58</v>
      </c>
      <c r="B63" s="52">
        <v>33.898699999999998</v>
      </c>
      <c r="C63" s="49"/>
    </row>
    <row r="64" spans="1:8" x14ac:dyDescent="0.2">
      <c r="A64" s="47">
        <v>59</v>
      </c>
      <c r="B64" s="52">
        <v>37.415399999999998</v>
      </c>
      <c r="C64" s="49"/>
    </row>
    <row r="65" spans="1:3" x14ac:dyDescent="0.2">
      <c r="A65" s="47">
        <v>60</v>
      </c>
      <c r="B65" s="52">
        <v>33.4011</v>
      </c>
      <c r="C65" s="49"/>
    </row>
    <row r="66" spans="1:3" x14ac:dyDescent="0.2">
      <c r="A66" s="47">
        <v>61</v>
      </c>
      <c r="B66" s="52">
        <v>34.525799999999997</v>
      </c>
      <c r="C66" s="49"/>
    </row>
    <row r="67" spans="1:3" x14ac:dyDescent="0.2">
      <c r="A67" s="47">
        <v>62</v>
      </c>
      <c r="B67" s="52">
        <v>34.914400000000001</v>
      </c>
      <c r="C67" s="49"/>
    </row>
    <row r="68" spans="1:3" x14ac:dyDescent="0.2">
      <c r="A68" s="47">
        <v>63</v>
      </c>
      <c r="B68" s="52">
        <v>34.136400000000002</v>
      </c>
      <c r="C68" s="49"/>
    </row>
    <row r="69" spans="1:3" x14ac:dyDescent="0.2">
      <c r="A69" s="47">
        <v>64</v>
      </c>
      <c r="B69" s="52">
        <v>35.24</v>
      </c>
      <c r="C69" s="49"/>
    </row>
    <row r="70" spans="1:3" x14ac:dyDescent="0.2">
      <c r="A70" s="47">
        <v>65</v>
      </c>
      <c r="B70" s="52">
        <v>33.441200000000002</v>
      </c>
      <c r="C70" s="49"/>
    </row>
    <row r="71" spans="1:3" x14ac:dyDescent="0.2">
      <c r="A71" s="47">
        <v>66</v>
      </c>
      <c r="B71" s="52">
        <v>35.444000000000003</v>
      </c>
      <c r="C71" s="49"/>
    </row>
    <row r="72" spans="1:3" x14ac:dyDescent="0.2">
      <c r="A72" s="47">
        <v>67</v>
      </c>
      <c r="B72" s="52">
        <v>34.128500000000003</v>
      </c>
      <c r="C72" s="49"/>
    </row>
    <row r="73" spans="1:3" x14ac:dyDescent="0.2">
      <c r="A73" s="47">
        <v>68</v>
      </c>
      <c r="B73" s="52">
        <v>35.296100000000003</v>
      </c>
      <c r="C73" s="49"/>
    </row>
    <row r="74" spans="1:3" x14ac:dyDescent="0.2">
      <c r="A74" s="47">
        <v>69</v>
      </c>
      <c r="B74" s="52">
        <v>34.347200000000001</v>
      </c>
      <c r="C74" s="49"/>
    </row>
    <row r="75" spans="1:3" x14ac:dyDescent="0.2">
      <c r="A75" s="47">
        <v>70</v>
      </c>
      <c r="B75" s="52">
        <v>34.011000000000003</v>
      </c>
      <c r="C75" s="49"/>
    </row>
    <row r="76" spans="1:3" x14ac:dyDescent="0.2">
      <c r="A76" s="47">
        <v>71</v>
      </c>
      <c r="B76" s="52">
        <v>34.397599999999997</v>
      </c>
      <c r="C76" s="49"/>
    </row>
    <row r="77" spans="1:3" x14ac:dyDescent="0.2">
      <c r="A77" s="47">
        <v>72</v>
      </c>
      <c r="B77" s="52">
        <v>34.213099999999997</v>
      </c>
      <c r="C77" s="49"/>
    </row>
    <row r="78" spans="1:3" x14ac:dyDescent="0.2">
      <c r="A78" s="47">
        <v>73</v>
      </c>
      <c r="B78" s="52">
        <v>31.748100000000001</v>
      </c>
      <c r="C78" s="49"/>
    </row>
    <row r="79" spans="1:3" x14ac:dyDescent="0.2">
      <c r="A79" s="47">
        <v>74</v>
      </c>
      <c r="B79" s="52">
        <v>34.203200000000002</v>
      </c>
      <c r="C79" s="49"/>
    </row>
    <row r="80" spans="1:3" x14ac:dyDescent="0.2">
      <c r="A80" s="47">
        <v>75</v>
      </c>
      <c r="B80" s="52">
        <v>34.4011</v>
      </c>
      <c r="C80" s="49"/>
    </row>
    <row r="81" spans="1:3" x14ac:dyDescent="0.2">
      <c r="A81" s="47">
        <v>76</v>
      </c>
      <c r="B81" s="52">
        <v>33.849299999999999</v>
      </c>
      <c r="C81" s="49"/>
    </row>
    <row r="82" spans="1:3" x14ac:dyDescent="0.2">
      <c r="A82" s="47">
        <v>77</v>
      </c>
      <c r="B82" s="52">
        <v>34.3048</v>
      </c>
      <c r="C82" s="49"/>
    </row>
    <row r="83" spans="1:3" x14ac:dyDescent="0.2">
      <c r="A83" s="47">
        <v>78</v>
      </c>
      <c r="B83" s="52">
        <v>33.325699999999998</v>
      </c>
      <c r="C83" s="49"/>
    </row>
    <row r="84" spans="1:3" x14ac:dyDescent="0.2">
      <c r="A84" s="47">
        <v>79</v>
      </c>
      <c r="B84" s="52">
        <v>36.665999999999997</v>
      </c>
      <c r="C84" s="49"/>
    </row>
    <row r="85" spans="1:3" x14ac:dyDescent="0.2">
      <c r="A85" s="47">
        <v>80</v>
      </c>
      <c r="B85" s="52">
        <v>33.259599999999999</v>
      </c>
      <c r="C85" s="49"/>
    </row>
    <row r="86" spans="1:3" x14ac:dyDescent="0.2">
      <c r="A86" s="47">
        <v>81</v>
      </c>
      <c r="B86" s="52">
        <v>34.526800000000001</v>
      </c>
      <c r="C86" s="49"/>
    </row>
    <row r="87" spans="1:3" x14ac:dyDescent="0.2">
      <c r="A87" s="47">
        <v>82</v>
      </c>
      <c r="B87" s="52">
        <v>34.152200000000001</v>
      </c>
      <c r="C87" s="49"/>
    </row>
    <row r="88" spans="1:3" x14ac:dyDescent="0.2">
      <c r="A88" s="47">
        <v>83</v>
      </c>
      <c r="B88" s="52">
        <v>35.283499999999997</v>
      </c>
      <c r="C88" s="49"/>
    </row>
    <row r="89" spans="1:3" x14ac:dyDescent="0.2">
      <c r="A89" s="47">
        <v>84</v>
      </c>
      <c r="B89" s="52">
        <v>33.302999999999997</v>
      </c>
      <c r="C89" s="49"/>
    </row>
    <row r="90" spans="1:3" x14ac:dyDescent="0.2">
      <c r="A90" s="47">
        <v>85</v>
      </c>
      <c r="B90" s="52">
        <v>35.155900000000003</v>
      </c>
      <c r="C90" s="49"/>
    </row>
    <row r="91" spans="1:3" x14ac:dyDescent="0.2">
      <c r="A91" s="47">
        <v>86</v>
      </c>
      <c r="B91" s="52">
        <v>33.748399999999997</v>
      </c>
      <c r="C91" s="49"/>
    </row>
    <row r="92" spans="1:3" x14ac:dyDescent="0.2">
      <c r="A92" s="47">
        <v>87</v>
      </c>
      <c r="B92" s="52">
        <v>34.139299999999999</v>
      </c>
      <c r="C92" s="49"/>
    </row>
    <row r="93" spans="1:3" x14ac:dyDescent="0.2">
      <c r="A93" s="47">
        <v>88</v>
      </c>
      <c r="B93" s="52">
        <v>34.715699999999998</v>
      </c>
      <c r="C93" s="49"/>
    </row>
    <row r="94" spans="1:3" x14ac:dyDescent="0.2">
      <c r="A94" s="47">
        <v>89</v>
      </c>
      <c r="B94" s="52">
        <v>34.859499999999997</v>
      </c>
      <c r="C94" s="49"/>
    </row>
    <row r="95" spans="1:3" x14ac:dyDescent="0.2">
      <c r="A95" s="47">
        <v>90</v>
      </c>
      <c r="B95" s="52">
        <v>34.587600000000002</v>
      </c>
      <c r="C95" s="49"/>
    </row>
    <row r="96" spans="1:3" x14ac:dyDescent="0.2">
      <c r="A96" s="47">
        <v>91</v>
      </c>
      <c r="B96" s="52">
        <v>33.113100000000003</v>
      </c>
      <c r="C96" s="49"/>
    </row>
    <row r="97" spans="1:3" x14ac:dyDescent="0.2">
      <c r="A97" s="47">
        <v>92</v>
      </c>
      <c r="B97" s="52">
        <v>34.436100000000003</v>
      </c>
      <c r="C97" s="49"/>
    </row>
    <row r="98" spans="1:3" x14ac:dyDescent="0.2">
      <c r="A98" s="47">
        <v>93</v>
      </c>
      <c r="B98" s="52">
        <v>34.368099999999998</v>
      </c>
      <c r="C98" s="49"/>
    </row>
    <row r="99" spans="1:3" x14ac:dyDescent="0.2">
      <c r="A99" s="47">
        <v>94</v>
      </c>
      <c r="B99" s="52">
        <v>34.544499999999999</v>
      </c>
      <c r="C99" s="49"/>
    </row>
    <row r="100" spans="1:3" x14ac:dyDescent="0.2">
      <c r="A100" s="47">
        <v>95</v>
      </c>
      <c r="B100" s="52">
        <v>34.182600000000001</v>
      </c>
      <c r="C100" s="49"/>
    </row>
    <row r="101" spans="1:3" x14ac:dyDescent="0.2">
      <c r="A101" s="47">
        <v>96</v>
      </c>
      <c r="B101" s="52">
        <v>34.494700000000002</v>
      </c>
      <c r="C101" s="49"/>
    </row>
    <row r="102" spans="1:3" x14ac:dyDescent="0.2">
      <c r="A102" s="47">
        <v>97</v>
      </c>
      <c r="B102" s="52">
        <v>34.773699999999998</v>
      </c>
      <c r="C102" s="49"/>
    </row>
    <row r="103" spans="1:3" x14ac:dyDescent="0.2">
      <c r="A103" s="47">
        <v>98</v>
      </c>
      <c r="B103" s="52">
        <v>33.955500000000001</v>
      </c>
      <c r="C103" s="49"/>
    </row>
    <row r="104" spans="1:3" x14ac:dyDescent="0.2">
      <c r="A104" s="47">
        <v>99</v>
      </c>
      <c r="B104" s="52">
        <v>34.497399999999999</v>
      </c>
      <c r="C104" s="49"/>
    </row>
    <row r="105" spans="1:3" x14ac:dyDescent="0.2">
      <c r="A105" s="47">
        <v>100</v>
      </c>
      <c r="B105" s="52">
        <v>33.466500000000003</v>
      </c>
      <c r="C105" s="49"/>
    </row>
    <row r="106" spans="1:3" x14ac:dyDescent="0.2">
      <c r="A106" s="47">
        <v>101</v>
      </c>
      <c r="B106" s="52">
        <v>33.345599999999997</v>
      </c>
      <c r="C106" s="49"/>
    </row>
    <row r="107" spans="1:3" x14ac:dyDescent="0.2">
      <c r="A107" s="47">
        <v>102</v>
      </c>
      <c r="B107" s="52">
        <v>33.8568</v>
      </c>
      <c r="C107" s="49"/>
    </row>
    <row r="108" spans="1:3" x14ac:dyDescent="0.2">
      <c r="A108" s="47">
        <v>103</v>
      </c>
      <c r="B108" s="52">
        <v>33.662700000000001</v>
      </c>
      <c r="C108" s="49"/>
    </row>
    <row r="109" spans="1:3" x14ac:dyDescent="0.2">
      <c r="A109" s="47">
        <v>104</v>
      </c>
      <c r="B109" s="52">
        <v>33.996400000000001</v>
      </c>
      <c r="C109" s="49"/>
    </row>
    <row r="110" spans="1:3" x14ac:dyDescent="0.2">
      <c r="A110" s="47">
        <v>105</v>
      </c>
      <c r="B110" s="52">
        <v>33.847000000000001</v>
      </c>
      <c r="C110" s="49"/>
    </row>
    <row r="111" spans="1:3" x14ac:dyDescent="0.2">
      <c r="A111" s="47">
        <v>106</v>
      </c>
      <c r="B111" s="52">
        <v>35.042999999999999</v>
      </c>
      <c r="C111" s="49"/>
    </row>
    <row r="112" spans="1:3" x14ac:dyDescent="0.2">
      <c r="A112" s="47">
        <v>107</v>
      </c>
      <c r="B112" s="52">
        <v>34.110700000000001</v>
      </c>
      <c r="C112" s="49"/>
    </row>
    <row r="113" spans="1:3" x14ac:dyDescent="0.2">
      <c r="A113" s="47">
        <v>108</v>
      </c>
      <c r="B113" s="53">
        <v>33.785600000000002</v>
      </c>
      <c r="C113" s="49"/>
    </row>
    <row r="114" spans="1:3" x14ac:dyDescent="0.2">
      <c r="A114" s="47">
        <v>109</v>
      </c>
      <c r="B114" s="52">
        <v>33.604700000000001</v>
      </c>
      <c r="C114" s="49"/>
    </row>
    <row r="115" spans="1:3" x14ac:dyDescent="0.2">
      <c r="A115" s="47">
        <v>110</v>
      </c>
      <c r="B115" s="52">
        <v>33.7958</v>
      </c>
      <c r="C115" s="49"/>
    </row>
    <row r="116" spans="1:3" x14ac:dyDescent="0.2">
      <c r="A116" s="47">
        <v>111</v>
      </c>
      <c r="B116" s="52">
        <v>35.0334</v>
      </c>
      <c r="C116" s="49"/>
    </row>
    <row r="117" spans="1:3" x14ac:dyDescent="0.2">
      <c r="A117" s="47">
        <v>112</v>
      </c>
      <c r="B117" s="52">
        <v>35.182899999999997</v>
      </c>
      <c r="C117" s="49"/>
    </row>
    <row r="118" spans="1:3" x14ac:dyDescent="0.2">
      <c r="A118" s="47">
        <v>113</v>
      </c>
      <c r="B118" s="52">
        <v>34.9176</v>
      </c>
      <c r="C118" s="49"/>
    </row>
    <row r="119" spans="1:3" x14ac:dyDescent="0.2">
      <c r="A119" s="47">
        <v>114</v>
      </c>
      <c r="B119" s="52">
        <v>33.323099999999997</v>
      </c>
      <c r="C119" s="49"/>
    </row>
    <row r="120" spans="1:3" x14ac:dyDescent="0.2">
      <c r="A120" s="47">
        <v>115</v>
      </c>
      <c r="B120" s="52">
        <v>36.4953</v>
      </c>
      <c r="C120" s="49"/>
    </row>
    <row r="121" spans="1:3" x14ac:dyDescent="0.2">
      <c r="A121" s="47">
        <v>116</v>
      </c>
      <c r="B121" s="52">
        <v>33.758600000000001</v>
      </c>
      <c r="C121" s="49"/>
    </row>
    <row r="122" spans="1:3" x14ac:dyDescent="0.2">
      <c r="A122" s="47">
        <v>117</v>
      </c>
      <c r="B122" s="52">
        <v>34.134599999999999</v>
      </c>
      <c r="C122" s="49"/>
    </row>
    <row r="123" spans="1:3" x14ac:dyDescent="0.2">
      <c r="A123" s="47">
        <v>118</v>
      </c>
      <c r="B123" s="52">
        <v>34.757800000000003</v>
      </c>
      <c r="C123" s="49"/>
    </row>
    <row r="124" spans="1:3" x14ac:dyDescent="0.2">
      <c r="A124" s="47">
        <v>119</v>
      </c>
      <c r="B124" s="52">
        <v>34.185400000000001</v>
      </c>
      <c r="C124" s="49"/>
    </row>
    <row r="125" spans="1:3" x14ac:dyDescent="0.2">
      <c r="A125" s="47">
        <v>120</v>
      </c>
      <c r="B125" s="52">
        <v>34.391599999999997</v>
      </c>
      <c r="C125" s="49"/>
    </row>
    <row r="126" spans="1:3" x14ac:dyDescent="0.2">
      <c r="A126" s="47">
        <v>121</v>
      </c>
      <c r="B126" s="52">
        <v>35.005600000000001</v>
      </c>
      <c r="C126" s="49"/>
    </row>
    <row r="127" spans="1:3" x14ac:dyDescent="0.2">
      <c r="A127" s="47">
        <v>122</v>
      </c>
      <c r="B127" s="52">
        <v>34.116599999999998</v>
      </c>
      <c r="C127" s="49"/>
    </row>
    <row r="128" spans="1:3" x14ac:dyDescent="0.2">
      <c r="A128" s="47">
        <v>123</v>
      </c>
      <c r="B128" s="52">
        <v>33.932899999999997</v>
      </c>
      <c r="C128" s="49"/>
    </row>
    <row r="129" spans="1:3" x14ac:dyDescent="0.2">
      <c r="A129" s="47">
        <v>124</v>
      </c>
      <c r="B129" s="52">
        <v>33.598799999999997</v>
      </c>
      <c r="C129" s="49"/>
    </row>
    <row r="130" spans="1:3" x14ac:dyDescent="0.2">
      <c r="A130" s="47">
        <v>125</v>
      </c>
      <c r="B130" s="52">
        <v>34.011899999999997</v>
      </c>
      <c r="C130" s="49"/>
    </row>
    <row r="131" spans="1:3" x14ac:dyDescent="0.2">
      <c r="A131" s="47">
        <v>126</v>
      </c>
      <c r="B131" s="52">
        <v>34.760899999999999</v>
      </c>
      <c r="C131" s="49"/>
    </row>
    <row r="132" spans="1:3" x14ac:dyDescent="0.2">
      <c r="A132" s="47">
        <v>127</v>
      </c>
      <c r="B132" s="52">
        <v>34.545999999999999</v>
      </c>
      <c r="C132" s="49"/>
    </row>
    <row r="133" spans="1:3" x14ac:dyDescent="0.2">
      <c r="A133" s="47">
        <v>128</v>
      </c>
      <c r="B133" s="52">
        <v>33.2468</v>
      </c>
      <c r="C133" s="49"/>
    </row>
    <row r="134" spans="1:3" x14ac:dyDescent="0.2">
      <c r="A134" s="47">
        <v>129</v>
      </c>
      <c r="B134" s="52">
        <v>34.303400000000003</v>
      </c>
      <c r="C134" s="49"/>
    </row>
    <row r="135" spans="1:3" x14ac:dyDescent="0.2">
      <c r="A135" s="47">
        <v>130</v>
      </c>
      <c r="B135" s="52">
        <v>35.226500000000001</v>
      </c>
      <c r="C135" s="49"/>
    </row>
    <row r="136" spans="1:3" x14ac:dyDescent="0.2">
      <c r="A136" s="47">
        <v>131</v>
      </c>
      <c r="B136" s="52">
        <v>34.8157</v>
      </c>
      <c r="C136" s="49"/>
    </row>
    <row r="137" spans="1:3" x14ac:dyDescent="0.2">
      <c r="A137" s="47">
        <v>132</v>
      </c>
      <c r="B137" s="52">
        <v>34.385800000000003</v>
      </c>
      <c r="C137" s="49"/>
    </row>
    <row r="138" spans="1:3" x14ac:dyDescent="0.2">
      <c r="A138" s="47">
        <v>133</v>
      </c>
      <c r="B138" s="52">
        <v>33.755600000000001</v>
      </c>
      <c r="C138" s="49"/>
    </row>
    <row r="139" spans="1:3" x14ac:dyDescent="0.2">
      <c r="A139" s="47">
        <v>134</v>
      </c>
      <c r="B139" s="52">
        <v>33.433599999999998</v>
      </c>
      <c r="C139" s="49"/>
    </row>
    <row r="140" spans="1:3" x14ac:dyDescent="0.2">
      <c r="A140" s="47">
        <v>135</v>
      </c>
      <c r="B140" s="52">
        <v>34.397199999999998</v>
      </c>
      <c r="C140" s="49"/>
    </row>
    <row r="141" spans="1:3" x14ac:dyDescent="0.2">
      <c r="A141" s="47">
        <v>136</v>
      </c>
      <c r="B141" s="52">
        <v>33.527700000000003</v>
      </c>
      <c r="C141" s="49"/>
    </row>
    <row r="142" spans="1:3" x14ac:dyDescent="0.2">
      <c r="A142" s="47">
        <v>137</v>
      </c>
      <c r="B142" s="52">
        <v>34.513199999999998</v>
      </c>
      <c r="C142" s="49"/>
    </row>
    <row r="143" spans="1:3" x14ac:dyDescent="0.2">
      <c r="A143" s="47">
        <v>138</v>
      </c>
      <c r="B143" s="52">
        <v>32.976999999999997</v>
      </c>
      <c r="C143" s="49"/>
    </row>
    <row r="144" spans="1:3" x14ac:dyDescent="0.2">
      <c r="A144" s="47">
        <v>139</v>
      </c>
      <c r="B144" s="52">
        <v>34.478900000000003</v>
      </c>
      <c r="C144" s="49"/>
    </row>
    <row r="145" spans="1:3" x14ac:dyDescent="0.2">
      <c r="A145" s="47">
        <v>140</v>
      </c>
      <c r="B145" s="52">
        <v>34.283000000000001</v>
      </c>
      <c r="C145" s="49"/>
    </row>
    <row r="146" spans="1:3" x14ac:dyDescent="0.2">
      <c r="A146" s="47">
        <v>141</v>
      </c>
      <c r="B146" s="53">
        <v>34.620100000000001</v>
      </c>
      <c r="C146" s="49"/>
    </row>
    <row r="147" spans="1:3" x14ac:dyDescent="0.2">
      <c r="A147" s="47">
        <v>142</v>
      </c>
      <c r="B147" s="52">
        <v>34.295400000000001</v>
      </c>
      <c r="C147" s="49"/>
    </row>
    <row r="148" spans="1:3" x14ac:dyDescent="0.2">
      <c r="A148" s="47">
        <v>143</v>
      </c>
      <c r="B148" s="52">
        <v>33.786799999999999</v>
      </c>
      <c r="C148" s="49"/>
    </row>
    <row r="149" spans="1:3" x14ac:dyDescent="0.2">
      <c r="A149" s="47">
        <v>144</v>
      </c>
      <c r="B149" s="52">
        <v>34.311300000000003</v>
      </c>
      <c r="C149" s="49"/>
    </row>
    <row r="150" spans="1:3" x14ac:dyDescent="0.2">
      <c r="A150" s="47">
        <v>145</v>
      </c>
      <c r="B150" s="52">
        <v>34.298200000000001</v>
      </c>
      <c r="C150" s="49"/>
    </row>
    <row r="151" spans="1:3" x14ac:dyDescent="0.2">
      <c r="A151" s="47">
        <v>146</v>
      </c>
      <c r="B151" s="52">
        <v>35.305900000000001</v>
      </c>
      <c r="C151" s="49"/>
    </row>
  </sheetData>
  <sheetProtection algorithmName="SHA-512" hashValue="RfPUDLiQ3qIORGyNHWX+LnIT7/pOIwyKOZX8sCt1zT5ap75PN0ge4j/s5g7N/VKMvVUE/LYHmpO1Q7Xr2TxJcw==" saltValue="mD2pbnTj6Lm3+f+ZdJubaQ==" spinCount="100000" sheet="1" objects="1" scenarios="1"/>
  <pageMargins left="0.75" right="0.75" top="1" bottom="1" header="0" footer="0"/>
  <pageSetup paperSize="9" orientation="portrait" horizontalDpi="4294967293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C25"/>
  <sheetViews>
    <sheetView workbookViewId="0">
      <selection activeCell="A2" sqref="A2"/>
    </sheetView>
  </sheetViews>
  <sheetFormatPr baseColWidth="10" defaultColWidth="11.5703125" defaultRowHeight="12.75" x14ac:dyDescent="0.2"/>
  <cols>
    <col min="1" max="1" width="13.28515625" style="82" bestFit="1" customWidth="1"/>
    <col min="2" max="2" width="13.28515625" style="82" customWidth="1"/>
    <col min="3" max="16384" width="11.5703125" style="82"/>
  </cols>
  <sheetData>
    <row r="1" spans="1:3" ht="25.5" x14ac:dyDescent="0.2">
      <c r="A1" s="80" t="s">
        <v>133</v>
      </c>
      <c r="B1" s="81" t="s">
        <v>138</v>
      </c>
      <c r="C1" s="81" t="s">
        <v>135</v>
      </c>
    </row>
    <row r="2" spans="1:3" x14ac:dyDescent="0.2">
      <c r="A2" s="83" t="str">
        <f>IF(USDA!A2="","",USDA!A2)</f>
        <v/>
      </c>
      <c r="B2" s="87" t="str">
        <f>IFERROR(IF(USDA!AB2="","",USDA!AB2),"")</f>
        <v/>
      </c>
      <c r="C2" s="84" t="str">
        <f>IFERROR(IF(USDA!X2="","",USDA!X2),"")</f>
        <v/>
      </c>
    </row>
    <row r="3" spans="1:3" x14ac:dyDescent="0.2">
      <c r="A3" s="83" t="str">
        <f>IF(USDA!A3="","",USDA!A3)</f>
        <v/>
      </c>
      <c r="B3" s="87" t="str">
        <f>IFERROR(IF(USDA!AB3="","",USDA!AB3),"")</f>
        <v/>
      </c>
      <c r="C3" s="84" t="str">
        <f>IFERROR(IF(USDA!X3="","",USDA!X3),"")</f>
        <v/>
      </c>
    </row>
    <row r="4" spans="1:3" x14ac:dyDescent="0.2">
      <c r="A4" s="83" t="str">
        <f>IF(USDA!A4="","",USDA!A4)</f>
        <v/>
      </c>
      <c r="B4" s="87" t="str">
        <f>IFERROR(IF(USDA!AB4="","",USDA!AB4),"")</f>
        <v/>
      </c>
      <c r="C4" s="84" t="str">
        <f>IFERROR(IF(USDA!X4="","",USDA!X4),"")</f>
        <v/>
      </c>
    </row>
    <row r="5" spans="1:3" x14ac:dyDescent="0.2">
      <c r="A5" s="83" t="str">
        <f>IF(USDA!A5="","",USDA!A5)</f>
        <v/>
      </c>
      <c r="B5" s="87" t="str">
        <f>IFERROR(IF(USDA!AB5="","",USDA!AB5),"")</f>
        <v/>
      </c>
      <c r="C5" s="84" t="str">
        <f>IFERROR(IF(USDA!X5="","",USDA!X5),"")</f>
        <v/>
      </c>
    </row>
    <row r="6" spans="1:3" x14ac:dyDescent="0.2">
      <c r="A6" s="83" t="str">
        <f>IF(USDA!A6="","",USDA!A6)</f>
        <v/>
      </c>
      <c r="B6" s="87" t="str">
        <f>IFERROR(IF(USDA!AB6="","",USDA!AB6),"")</f>
        <v/>
      </c>
      <c r="C6" s="84" t="str">
        <f>IFERROR(IF(USDA!X6="","",USDA!X6),"")</f>
        <v/>
      </c>
    </row>
    <row r="7" spans="1:3" x14ac:dyDescent="0.2">
      <c r="A7" s="83" t="str">
        <f>IF(USDA!A7="","",USDA!A7)</f>
        <v/>
      </c>
      <c r="B7" s="87" t="str">
        <f>IFERROR(IF(USDA!AB7="","",USDA!AB7),"")</f>
        <v/>
      </c>
      <c r="C7" s="84" t="str">
        <f>IFERROR(IF(USDA!X7="","",USDA!X7),"")</f>
        <v/>
      </c>
    </row>
    <row r="8" spans="1:3" x14ac:dyDescent="0.2">
      <c r="A8" s="83" t="str">
        <f>IF(USDA!A8="","",USDA!A8)</f>
        <v/>
      </c>
      <c r="B8" s="87" t="str">
        <f>IFERROR(IF(USDA!AB8="","",USDA!AB8),"")</f>
        <v/>
      </c>
      <c r="C8" s="84" t="str">
        <f>IFERROR(IF(USDA!X8="","",USDA!X8),"")</f>
        <v/>
      </c>
    </row>
    <row r="9" spans="1:3" x14ac:dyDescent="0.2">
      <c r="A9" s="83" t="str">
        <f>IF(USDA!A9="","",USDA!A9)</f>
        <v/>
      </c>
      <c r="B9" s="87" t="str">
        <f>IFERROR(IF(USDA!AB9="","",USDA!AB9),"")</f>
        <v/>
      </c>
      <c r="C9" s="84" t="str">
        <f>IFERROR(IF(USDA!X9="","",USDA!X9),"")</f>
        <v/>
      </c>
    </row>
    <row r="10" spans="1:3" x14ac:dyDescent="0.2">
      <c r="A10" s="83" t="str">
        <f>IF(USDA!A10="","",USDA!A10)</f>
        <v/>
      </c>
      <c r="B10" s="87" t="str">
        <f>IFERROR(IF(USDA!AB10="","",USDA!AB10),"")</f>
        <v/>
      </c>
      <c r="C10" s="84" t="str">
        <f>IFERROR(IF(USDA!X10="","",USDA!X10),"")</f>
        <v/>
      </c>
    </row>
    <row r="11" spans="1:3" x14ac:dyDescent="0.2">
      <c r="A11" s="83" t="str">
        <f>IF(USDA!A11="","",USDA!A11)</f>
        <v/>
      </c>
      <c r="B11" s="87" t="str">
        <f>IFERROR(IF(USDA!AB11="","",USDA!AB11),"")</f>
        <v/>
      </c>
      <c r="C11" s="84" t="str">
        <f>IFERROR(IF(USDA!X11="","",USDA!X11),"")</f>
        <v/>
      </c>
    </row>
    <row r="12" spans="1:3" x14ac:dyDescent="0.2">
      <c r="A12" s="83" t="str">
        <f>IF(USDA!A12="","",USDA!A12)</f>
        <v/>
      </c>
      <c r="B12" s="87" t="str">
        <f>IFERROR(IF(USDA!AB12="","",USDA!AB12),"")</f>
        <v/>
      </c>
      <c r="C12" s="84" t="str">
        <f>IFERROR(IF(USDA!X12="","",USDA!X12),"")</f>
        <v/>
      </c>
    </row>
    <row r="13" spans="1:3" x14ac:dyDescent="0.2">
      <c r="A13" s="83" t="str">
        <f>IF(USDA!A13="","",USDA!A13)</f>
        <v/>
      </c>
      <c r="B13" s="87" t="str">
        <f>IFERROR(IF(USDA!AB13="","",USDA!AB13),"")</f>
        <v/>
      </c>
      <c r="C13" s="84" t="str">
        <f>IFERROR(IF(USDA!X13="","",USDA!X13),"")</f>
        <v/>
      </c>
    </row>
    <row r="14" spans="1:3" x14ac:dyDescent="0.2">
      <c r="A14" s="83" t="str">
        <f>IF(USDA!A14="","",USDA!A14)</f>
        <v/>
      </c>
      <c r="B14" s="87" t="str">
        <f>IFERROR(IF(USDA!AB14="","",USDA!AB14),"")</f>
        <v/>
      </c>
      <c r="C14" s="84" t="str">
        <f>IFERROR(IF(USDA!X14="","",USDA!X14),"")</f>
        <v/>
      </c>
    </row>
    <row r="15" spans="1:3" x14ac:dyDescent="0.2">
      <c r="A15" s="83" t="str">
        <f>IF(USDA!A15="","",USDA!A15)</f>
        <v/>
      </c>
      <c r="B15" s="87" t="str">
        <f>IFERROR(IF(USDA!AB15="","",USDA!AB15),"")</f>
        <v/>
      </c>
      <c r="C15" s="84" t="str">
        <f>IFERROR(IF(USDA!X15="","",USDA!X15),"")</f>
        <v/>
      </c>
    </row>
    <row r="16" spans="1:3" x14ac:dyDescent="0.2">
      <c r="A16" s="83" t="str">
        <f>IF(USDA!A16="","",USDA!A16)</f>
        <v/>
      </c>
      <c r="B16" s="87" t="str">
        <f>IFERROR(IF(USDA!AB16="","",USDA!AB16),"")</f>
        <v/>
      </c>
      <c r="C16" s="84" t="str">
        <f>IFERROR(IF(USDA!X16="","",USDA!X16),"")</f>
        <v/>
      </c>
    </row>
    <row r="17" spans="1:3" x14ac:dyDescent="0.2">
      <c r="A17" s="83" t="str">
        <f>IF(USDA!A17="","",USDA!A17)</f>
        <v/>
      </c>
      <c r="B17" s="87" t="str">
        <f>IFERROR(IF(USDA!AB17="","",USDA!AB17),"")</f>
        <v/>
      </c>
      <c r="C17" s="84" t="str">
        <f>IFERROR(IF(USDA!X17="","",USDA!X17),"")</f>
        <v/>
      </c>
    </row>
    <row r="18" spans="1:3" x14ac:dyDescent="0.2">
      <c r="A18" s="83" t="str">
        <f>IF(USDA!A18="","",USDA!A18)</f>
        <v/>
      </c>
      <c r="B18" s="87" t="str">
        <f>IFERROR(IF(USDA!AB18="","",USDA!AB18),"")</f>
        <v/>
      </c>
      <c r="C18" s="84" t="str">
        <f>IFERROR(IF(USDA!X18="","",USDA!X18),"")</f>
        <v/>
      </c>
    </row>
    <row r="19" spans="1:3" x14ac:dyDescent="0.2">
      <c r="A19" s="83" t="str">
        <f>IF(USDA!A19="","",USDA!A19)</f>
        <v/>
      </c>
      <c r="B19" s="87" t="str">
        <f>IFERROR(IF(USDA!AB19="","",USDA!AB19),"")</f>
        <v/>
      </c>
      <c r="C19" s="84" t="str">
        <f>IFERROR(IF(USDA!X19="","",USDA!X19),"")</f>
        <v/>
      </c>
    </row>
    <row r="20" spans="1:3" x14ac:dyDescent="0.2">
      <c r="A20" s="83" t="str">
        <f>IF(USDA!A20="","",USDA!A20)</f>
        <v/>
      </c>
      <c r="B20" s="87" t="str">
        <f>IFERROR(IF(USDA!AB20="","",USDA!AB20),"")</f>
        <v/>
      </c>
      <c r="C20" s="84" t="str">
        <f>IFERROR(IF(USDA!X20="","",USDA!X20),"")</f>
        <v/>
      </c>
    </row>
    <row r="21" spans="1:3" x14ac:dyDescent="0.2">
      <c r="A21" s="83" t="str">
        <f>IF(USDA!A21="","",USDA!A21)</f>
        <v/>
      </c>
      <c r="B21" s="87" t="str">
        <f>IFERROR(IF(USDA!AB21="","",USDA!AB21),"")</f>
        <v/>
      </c>
      <c r="C21" s="84" t="str">
        <f>IFERROR(IF(USDA!X21="","",USDA!X21),"")</f>
        <v/>
      </c>
    </row>
    <row r="22" spans="1:3" x14ac:dyDescent="0.2">
      <c r="A22" s="83" t="str">
        <f>IF(USDA!A22="","",USDA!A22)</f>
        <v/>
      </c>
      <c r="B22" s="87" t="str">
        <f>IFERROR(IF(USDA!AB22="","",USDA!AB22),"")</f>
        <v/>
      </c>
      <c r="C22" s="84" t="str">
        <f>IFERROR(IF(USDA!X22="","",USDA!X22),"")</f>
        <v/>
      </c>
    </row>
    <row r="23" spans="1:3" x14ac:dyDescent="0.2">
      <c r="A23" s="83" t="str">
        <f>IF(USDA!A23="","",USDA!A23)</f>
        <v/>
      </c>
      <c r="B23" s="87" t="str">
        <f>IFERROR(IF(USDA!AB23="","",USDA!AB23),"")</f>
        <v/>
      </c>
      <c r="C23" s="84" t="str">
        <f>IFERROR(IF(USDA!X23="","",USDA!X23),"")</f>
        <v/>
      </c>
    </row>
    <row r="24" spans="1:3" x14ac:dyDescent="0.2">
      <c r="A24" s="83" t="str">
        <f>IF(USDA!A24="","",USDA!A24)</f>
        <v/>
      </c>
      <c r="B24" s="87" t="str">
        <f>IFERROR(IF(USDA!AB24="","",USDA!AB24),"")</f>
        <v/>
      </c>
      <c r="C24" s="84" t="str">
        <f>IFERROR(IF(USDA!X24="","",USDA!X24),"")</f>
        <v/>
      </c>
    </row>
    <row r="25" spans="1:3" x14ac:dyDescent="0.2">
      <c r="A25" s="83" t="str">
        <f>IF(USDA!A25="","",USDA!A25)</f>
        <v/>
      </c>
      <c r="B25" s="87" t="str">
        <f>IFERROR(IF(USDA!AB25="","",USDA!AB25),"")</f>
        <v/>
      </c>
      <c r="C25" s="84" t="str">
        <f>IFERROR(IF(USDA!X25="","",USDA!X25),"")</f>
        <v/>
      </c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C25"/>
  <sheetViews>
    <sheetView workbookViewId="0">
      <selection activeCell="A2" sqref="A2"/>
    </sheetView>
  </sheetViews>
  <sheetFormatPr baseColWidth="10" defaultColWidth="11.5703125" defaultRowHeight="12.75" x14ac:dyDescent="0.2"/>
  <cols>
    <col min="1" max="1" width="13.28515625" style="82" bestFit="1" customWidth="1"/>
    <col min="2" max="2" width="13.28515625" style="82" customWidth="1"/>
    <col min="3" max="16384" width="11.5703125" style="82"/>
  </cols>
  <sheetData>
    <row r="1" spans="1:3" ht="25.5" x14ac:dyDescent="0.2">
      <c r="A1" s="80" t="s">
        <v>133</v>
      </c>
      <c r="B1" s="81" t="s">
        <v>138</v>
      </c>
      <c r="C1" s="81" t="s">
        <v>136</v>
      </c>
    </row>
    <row r="2" spans="1:3" x14ac:dyDescent="0.2">
      <c r="A2" s="83" t="str">
        <f>IF(USDA!A2="","",USDA!A2)</f>
        <v/>
      </c>
      <c r="B2" s="87" t="str">
        <f>IFERROR(IF(USDA!AB2="","",USDA!AB2),"")</f>
        <v/>
      </c>
      <c r="C2" s="84" t="str">
        <f>IFERROR(IF(USDA!Z2="","",USDA!Z2),"")</f>
        <v/>
      </c>
    </row>
    <row r="3" spans="1:3" x14ac:dyDescent="0.2">
      <c r="A3" s="83" t="str">
        <f>IF(USDA!A3="","",USDA!A3)</f>
        <v/>
      </c>
      <c r="B3" s="87" t="str">
        <f>IFERROR(IF(USDA!AB3="","",USDA!AB3),"")</f>
        <v/>
      </c>
      <c r="C3" s="84" t="str">
        <f>IFERROR(IF(USDA!Z3="","",USDA!Z3),"")</f>
        <v/>
      </c>
    </row>
    <row r="4" spans="1:3" x14ac:dyDescent="0.2">
      <c r="A4" s="83" t="str">
        <f>IF(USDA!A4="","",USDA!A4)</f>
        <v/>
      </c>
      <c r="B4" s="87" t="str">
        <f>IFERROR(IF(USDA!AB4="","",USDA!AB4),"")</f>
        <v/>
      </c>
      <c r="C4" s="84" t="str">
        <f>IFERROR(IF(USDA!Z4="","",USDA!Z4),"")</f>
        <v/>
      </c>
    </row>
    <row r="5" spans="1:3" x14ac:dyDescent="0.2">
      <c r="A5" s="83" t="str">
        <f>IF(USDA!A5="","",USDA!A5)</f>
        <v/>
      </c>
      <c r="B5" s="87" t="str">
        <f>IFERROR(IF(USDA!AB5="","",USDA!AB5),"")</f>
        <v/>
      </c>
      <c r="C5" s="84" t="str">
        <f>IFERROR(IF(USDA!Z5="","",USDA!Z5),"")</f>
        <v/>
      </c>
    </row>
    <row r="6" spans="1:3" x14ac:dyDescent="0.2">
      <c r="A6" s="83" t="str">
        <f>IF(USDA!A6="","",USDA!A6)</f>
        <v/>
      </c>
      <c r="B6" s="87" t="str">
        <f>IFERROR(IF(USDA!AB6="","",USDA!AB6),"")</f>
        <v/>
      </c>
      <c r="C6" s="84" t="str">
        <f>IFERROR(IF(USDA!Z6="","",USDA!Z6),"")</f>
        <v/>
      </c>
    </row>
    <row r="7" spans="1:3" x14ac:dyDescent="0.2">
      <c r="A7" s="83" t="str">
        <f>IF(USDA!A7="","",USDA!A7)</f>
        <v/>
      </c>
      <c r="B7" s="87" t="str">
        <f>IFERROR(IF(USDA!AB7="","",USDA!AB7),"")</f>
        <v/>
      </c>
      <c r="C7" s="84" t="str">
        <f>IFERROR(IF(USDA!Z7="","",USDA!Z7),"")</f>
        <v/>
      </c>
    </row>
    <row r="8" spans="1:3" x14ac:dyDescent="0.2">
      <c r="A8" s="83" t="str">
        <f>IF(USDA!A8="","",USDA!A8)</f>
        <v/>
      </c>
      <c r="B8" s="87" t="str">
        <f>IFERROR(IF(USDA!AB8="","",USDA!AB8),"")</f>
        <v/>
      </c>
      <c r="C8" s="84" t="str">
        <f>IFERROR(IF(USDA!Z8="","",USDA!Z8),"")</f>
        <v/>
      </c>
    </row>
    <row r="9" spans="1:3" x14ac:dyDescent="0.2">
      <c r="A9" s="83" t="str">
        <f>IF(USDA!A9="","",USDA!A9)</f>
        <v/>
      </c>
      <c r="B9" s="87" t="str">
        <f>IFERROR(IF(USDA!AB9="","",USDA!AB9),"")</f>
        <v/>
      </c>
      <c r="C9" s="84" t="str">
        <f>IFERROR(IF(USDA!Z9="","",USDA!Z9),"")</f>
        <v/>
      </c>
    </row>
    <row r="10" spans="1:3" x14ac:dyDescent="0.2">
      <c r="A10" s="83" t="str">
        <f>IF(USDA!A10="","",USDA!A10)</f>
        <v/>
      </c>
      <c r="B10" s="87" t="str">
        <f>IFERROR(IF(USDA!AB10="","",USDA!AB10),"")</f>
        <v/>
      </c>
      <c r="C10" s="84" t="str">
        <f>IFERROR(IF(USDA!Z10="","",USDA!Z10),"")</f>
        <v/>
      </c>
    </row>
    <row r="11" spans="1:3" x14ac:dyDescent="0.2">
      <c r="A11" s="83" t="str">
        <f>IF(USDA!A11="","",USDA!A11)</f>
        <v/>
      </c>
      <c r="B11" s="87" t="str">
        <f>IFERROR(IF(USDA!AB11="","",USDA!AB11),"")</f>
        <v/>
      </c>
      <c r="C11" s="84" t="str">
        <f>IFERROR(IF(USDA!Z11="","",USDA!Z11),"")</f>
        <v/>
      </c>
    </row>
    <row r="12" spans="1:3" x14ac:dyDescent="0.2">
      <c r="A12" s="83" t="str">
        <f>IF(USDA!A12="","",USDA!A12)</f>
        <v/>
      </c>
      <c r="B12" s="87" t="str">
        <f>IFERROR(IF(USDA!AB12="","",USDA!AB12),"")</f>
        <v/>
      </c>
      <c r="C12" s="84" t="str">
        <f>IFERROR(IF(USDA!Z12="","",USDA!Z12),"")</f>
        <v/>
      </c>
    </row>
    <row r="13" spans="1:3" x14ac:dyDescent="0.2">
      <c r="A13" s="83" t="str">
        <f>IF(USDA!A13="","",USDA!A13)</f>
        <v/>
      </c>
      <c r="B13" s="87" t="str">
        <f>IFERROR(IF(USDA!AB13="","",USDA!AB13),"")</f>
        <v/>
      </c>
      <c r="C13" s="84" t="str">
        <f>IFERROR(IF(USDA!Z13="","",USDA!Z13),"")</f>
        <v/>
      </c>
    </row>
    <row r="14" spans="1:3" x14ac:dyDescent="0.2">
      <c r="A14" s="83" t="str">
        <f>IF(USDA!A14="","",USDA!A14)</f>
        <v/>
      </c>
      <c r="B14" s="87" t="str">
        <f>IFERROR(IF(USDA!AB14="","",USDA!AB14),"")</f>
        <v/>
      </c>
      <c r="C14" s="84" t="str">
        <f>IFERROR(IF(USDA!Z14="","",USDA!Z14),"")</f>
        <v/>
      </c>
    </row>
    <row r="15" spans="1:3" x14ac:dyDescent="0.2">
      <c r="A15" s="83" t="str">
        <f>IF(USDA!A15="","",USDA!A15)</f>
        <v/>
      </c>
      <c r="B15" s="87" t="str">
        <f>IFERROR(IF(USDA!AB15="","",USDA!AB15),"")</f>
        <v/>
      </c>
      <c r="C15" s="84" t="str">
        <f>IFERROR(IF(USDA!Z15="","",USDA!Z15),"")</f>
        <v/>
      </c>
    </row>
    <row r="16" spans="1:3" x14ac:dyDescent="0.2">
      <c r="A16" s="83" t="str">
        <f>IF(USDA!A16="","",USDA!A16)</f>
        <v/>
      </c>
      <c r="B16" s="87" t="str">
        <f>IFERROR(IF(USDA!AB16="","",USDA!AB16),"")</f>
        <v/>
      </c>
      <c r="C16" s="84" t="str">
        <f>IFERROR(IF(USDA!Z16="","",USDA!Z16),"")</f>
        <v/>
      </c>
    </row>
    <row r="17" spans="1:3" x14ac:dyDescent="0.2">
      <c r="A17" s="83" t="str">
        <f>IF(USDA!A17="","",USDA!A17)</f>
        <v/>
      </c>
      <c r="B17" s="87" t="str">
        <f>IFERROR(IF(USDA!AB17="","",USDA!AB17),"")</f>
        <v/>
      </c>
      <c r="C17" s="84" t="str">
        <f>IFERROR(IF(USDA!Z17="","",USDA!Z17),"")</f>
        <v/>
      </c>
    </row>
    <row r="18" spans="1:3" x14ac:dyDescent="0.2">
      <c r="A18" s="83" t="str">
        <f>IF(USDA!A18="","",USDA!A18)</f>
        <v/>
      </c>
      <c r="B18" s="87" t="str">
        <f>IFERROR(IF(USDA!AB18="","",USDA!AB18),"")</f>
        <v/>
      </c>
      <c r="C18" s="84" t="str">
        <f>IFERROR(IF(USDA!Z18="","",USDA!Z18),"")</f>
        <v/>
      </c>
    </row>
    <row r="19" spans="1:3" x14ac:dyDescent="0.2">
      <c r="A19" s="83" t="str">
        <f>IF(USDA!A19="","",USDA!A19)</f>
        <v/>
      </c>
      <c r="B19" s="87" t="str">
        <f>IFERROR(IF(USDA!AB19="","",USDA!AB19),"")</f>
        <v/>
      </c>
      <c r="C19" s="84" t="str">
        <f>IFERROR(IF(USDA!Z19="","",USDA!Z19),"")</f>
        <v/>
      </c>
    </row>
    <row r="20" spans="1:3" x14ac:dyDescent="0.2">
      <c r="A20" s="83" t="str">
        <f>IF(USDA!A20="","",USDA!A20)</f>
        <v/>
      </c>
      <c r="B20" s="87" t="str">
        <f>IFERROR(IF(USDA!AB20="","",USDA!AB20),"")</f>
        <v/>
      </c>
      <c r="C20" s="84" t="str">
        <f>IFERROR(IF(USDA!Z20="","",USDA!Z20),"")</f>
        <v/>
      </c>
    </row>
    <row r="21" spans="1:3" x14ac:dyDescent="0.2">
      <c r="A21" s="83" t="str">
        <f>IF(USDA!A21="","",USDA!A21)</f>
        <v/>
      </c>
      <c r="B21" s="87" t="str">
        <f>IFERROR(IF(USDA!AB21="","",USDA!AB21),"")</f>
        <v/>
      </c>
      <c r="C21" s="84" t="str">
        <f>IFERROR(IF(USDA!Z21="","",USDA!Z21),"")</f>
        <v/>
      </c>
    </row>
    <row r="22" spans="1:3" x14ac:dyDescent="0.2">
      <c r="A22" s="83" t="str">
        <f>IF(USDA!A22="","",USDA!A22)</f>
        <v/>
      </c>
      <c r="B22" s="87" t="str">
        <f>IFERROR(IF(USDA!AB22="","",USDA!AB22),"")</f>
        <v/>
      </c>
      <c r="C22" s="84" t="str">
        <f>IFERROR(IF(USDA!Z22="","",USDA!Z22),"")</f>
        <v/>
      </c>
    </row>
    <row r="23" spans="1:3" x14ac:dyDescent="0.2">
      <c r="A23" s="83" t="str">
        <f>IF(USDA!A23="","",USDA!A23)</f>
        <v/>
      </c>
      <c r="B23" s="87" t="str">
        <f>IFERROR(IF(USDA!AB23="","",USDA!AB23),"")</f>
        <v/>
      </c>
      <c r="C23" s="84" t="str">
        <f>IFERROR(IF(USDA!Z23="","",USDA!Z23),"")</f>
        <v/>
      </c>
    </row>
    <row r="24" spans="1:3" x14ac:dyDescent="0.2">
      <c r="A24" s="83" t="str">
        <f>IF(USDA!A24="","",USDA!A24)</f>
        <v/>
      </c>
      <c r="B24" s="87" t="str">
        <f>IFERROR(IF(USDA!AB24="","",USDA!AB24),"")</f>
        <v/>
      </c>
      <c r="C24" s="84" t="str">
        <f>IFERROR(IF(USDA!Z24="","",USDA!Z24),"")</f>
        <v/>
      </c>
    </row>
    <row r="25" spans="1:3" x14ac:dyDescent="0.2">
      <c r="A25" s="83" t="str">
        <f>IF(USDA!A25="","",USDA!A25)</f>
        <v/>
      </c>
      <c r="B25" s="87" t="str">
        <f>IFERROR(IF(USDA!AB25="","",USDA!AB25),"")</f>
        <v/>
      </c>
      <c r="C25" s="84" t="str">
        <f>IFERROR(IF(USDA!Z25="","",USDA!Z25),"")</f>
        <v/>
      </c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C25"/>
  <sheetViews>
    <sheetView workbookViewId="0">
      <selection activeCell="A2" sqref="A2"/>
    </sheetView>
  </sheetViews>
  <sheetFormatPr baseColWidth="10" defaultColWidth="11.5703125" defaultRowHeight="12.75" x14ac:dyDescent="0.2"/>
  <cols>
    <col min="1" max="1" width="13.28515625" style="82" bestFit="1" customWidth="1"/>
    <col min="2" max="2" width="13.28515625" style="82" customWidth="1"/>
    <col min="3" max="16384" width="11.5703125" style="82"/>
  </cols>
  <sheetData>
    <row r="1" spans="1:3" ht="25.5" x14ac:dyDescent="0.2">
      <c r="A1" s="80" t="s">
        <v>133</v>
      </c>
      <c r="B1" s="81" t="s">
        <v>138</v>
      </c>
      <c r="C1" s="81" t="s">
        <v>137</v>
      </c>
    </row>
    <row r="2" spans="1:3" x14ac:dyDescent="0.2">
      <c r="A2" s="83" t="str">
        <f>IF(USDA!A2="","",USDA!A2)</f>
        <v/>
      </c>
      <c r="B2" s="87" t="str">
        <f>IFERROR(IF(USDA!AB2="","",USDA!AB2),"")</f>
        <v/>
      </c>
      <c r="C2" s="84" t="str">
        <f>IFERROR(IF(USDA!Y2="","",USDA!Y2),"")</f>
        <v/>
      </c>
    </row>
    <row r="3" spans="1:3" x14ac:dyDescent="0.2">
      <c r="A3" s="83" t="str">
        <f>IF(USDA!A3="","",USDA!A3)</f>
        <v/>
      </c>
      <c r="B3" s="87" t="str">
        <f>IFERROR(IF(USDA!AB3="","",USDA!AB3),"")</f>
        <v/>
      </c>
      <c r="C3" s="84" t="str">
        <f>IFERROR(IF(USDA!Y3="","",USDA!Y3),"")</f>
        <v/>
      </c>
    </row>
    <row r="4" spans="1:3" x14ac:dyDescent="0.2">
      <c r="A4" s="83" t="str">
        <f>IF(USDA!A4="","",USDA!A4)</f>
        <v/>
      </c>
      <c r="B4" s="87" t="str">
        <f>IFERROR(IF(USDA!AB4="","",USDA!AB4),"")</f>
        <v/>
      </c>
      <c r="C4" s="84" t="str">
        <f>IFERROR(IF(USDA!Y4="","",USDA!Y4),"")</f>
        <v/>
      </c>
    </row>
    <row r="5" spans="1:3" x14ac:dyDescent="0.2">
      <c r="A5" s="83" t="str">
        <f>IF(USDA!A5="","",USDA!A5)</f>
        <v/>
      </c>
      <c r="B5" s="87" t="str">
        <f>IFERROR(IF(USDA!AB5="","",USDA!AB5),"")</f>
        <v/>
      </c>
      <c r="C5" s="84" t="str">
        <f>IFERROR(IF(USDA!Y5="","",USDA!Y5),"")</f>
        <v/>
      </c>
    </row>
    <row r="6" spans="1:3" x14ac:dyDescent="0.2">
      <c r="A6" s="83" t="str">
        <f>IF(USDA!A6="","",USDA!A6)</f>
        <v/>
      </c>
      <c r="B6" s="87" t="str">
        <f>IFERROR(IF(USDA!AB6="","",USDA!AB6),"")</f>
        <v/>
      </c>
      <c r="C6" s="84" t="str">
        <f>IFERROR(IF(USDA!Y6="","",USDA!Y6),"")</f>
        <v/>
      </c>
    </row>
    <row r="7" spans="1:3" x14ac:dyDescent="0.2">
      <c r="A7" s="83" t="str">
        <f>IF(USDA!A7="","",USDA!A7)</f>
        <v/>
      </c>
      <c r="B7" s="87" t="str">
        <f>IFERROR(IF(USDA!AB7="","",USDA!AB7),"")</f>
        <v/>
      </c>
      <c r="C7" s="84" t="str">
        <f>IFERROR(IF(USDA!Y7="","",USDA!Y7),"")</f>
        <v/>
      </c>
    </row>
    <row r="8" spans="1:3" x14ac:dyDescent="0.2">
      <c r="A8" s="83" t="str">
        <f>IF(USDA!A8="","",USDA!A8)</f>
        <v/>
      </c>
      <c r="B8" s="87" t="str">
        <f>IFERROR(IF(USDA!AB8="","",USDA!AB8),"")</f>
        <v/>
      </c>
      <c r="C8" s="84" t="str">
        <f>IFERROR(IF(USDA!Y8="","",USDA!Y8),"")</f>
        <v/>
      </c>
    </row>
    <row r="9" spans="1:3" x14ac:dyDescent="0.2">
      <c r="A9" s="83" t="str">
        <f>IF(USDA!A9="","",USDA!A9)</f>
        <v/>
      </c>
      <c r="B9" s="87" t="str">
        <f>IFERROR(IF(USDA!AB9="","",USDA!AB9),"")</f>
        <v/>
      </c>
      <c r="C9" s="84" t="str">
        <f>IFERROR(IF(USDA!Y9="","",USDA!Y9),"")</f>
        <v/>
      </c>
    </row>
    <row r="10" spans="1:3" x14ac:dyDescent="0.2">
      <c r="A10" s="83" t="str">
        <f>IF(USDA!A10="","",USDA!A10)</f>
        <v/>
      </c>
      <c r="B10" s="87" t="str">
        <f>IFERROR(IF(USDA!AB10="","",USDA!AB10),"")</f>
        <v/>
      </c>
      <c r="C10" s="84" t="str">
        <f>IFERROR(IF(USDA!Y10="","",USDA!Y10),"")</f>
        <v/>
      </c>
    </row>
    <row r="11" spans="1:3" x14ac:dyDescent="0.2">
      <c r="A11" s="83" t="str">
        <f>IF(USDA!A11="","",USDA!A11)</f>
        <v/>
      </c>
      <c r="B11" s="87" t="str">
        <f>IFERROR(IF(USDA!AB11="","",USDA!AB11),"")</f>
        <v/>
      </c>
      <c r="C11" s="84" t="str">
        <f>IFERROR(IF(USDA!Y11="","",USDA!Y11),"")</f>
        <v/>
      </c>
    </row>
    <row r="12" spans="1:3" x14ac:dyDescent="0.2">
      <c r="A12" s="83" t="str">
        <f>IF(USDA!A12="","",USDA!A12)</f>
        <v/>
      </c>
      <c r="B12" s="87" t="str">
        <f>IFERROR(IF(USDA!AB12="","",USDA!AB12),"")</f>
        <v/>
      </c>
      <c r="C12" s="84" t="str">
        <f>IFERROR(IF(USDA!Y12="","",USDA!Y12),"")</f>
        <v/>
      </c>
    </row>
    <row r="13" spans="1:3" x14ac:dyDescent="0.2">
      <c r="A13" s="83" t="str">
        <f>IF(USDA!A13="","",USDA!A13)</f>
        <v/>
      </c>
      <c r="B13" s="87" t="str">
        <f>IFERROR(IF(USDA!AB13="","",USDA!AB13),"")</f>
        <v/>
      </c>
      <c r="C13" s="84" t="str">
        <f>IFERROR(IF(USDA!Y13="","",USDA!Y13),"")</f>
        <v/>
      </c>
    </row>
    <row r="14" spans="1:3" x14ac:dyDescent="0.2">
      <c r="A14" s="83" t="str">
        <f>IF(USDA!A14="","",USDA!A14)</f>
        <v/>
      </c>
      <c r="B14" s="87" t="str">
        <f>IFERROR(IF(USDA!AB14="","",USDA!AB14),"")</f>
        <v/>
      </c>
      <c r="C14" s="84" t="str">
        <f>IFERROR(IF(USDA!Y14="","",USDA!Y14),"")</f>
        <v/>
      </c>
    </row>
    <row r="15" spans="1:3" x14ac:dyDescent="0.2">
      <c r="A15" s="83" t="str">
        <f>IF(USDA!A15="","",USDA!A15)</f>
        <v/>
      </c>
      <c r="B15" s="87" t="str">
        <f>IFERROR(IF(USDA!AB15="","",USDA!AB15),"")</f>
        <v/>
      </c>
      <c r="C15" s="84" t="str">
        <f>IFERROR(IF(USDA!Y15="","",USDA!Y15),"")</f>
        <v/>
      </c>
    </row>
    <row r="16" spans="1:3" x14ac:dyDescent="0.2">
      <c r="A16" s="83" t="str">
        <f>IF(USDA!A16="","",USDA!A16)</f>
        <v/>
      </c>
      <c r="B16" s="87" t="str">
        <f>IFERROR(IF(USDA!AB16="","",USDA!AB16),"")</f>
        <v/>
      </c>
      <c r="C16" s="84" t="str">
        <f>IFERROR(IF(USDA!Y16="","",USDA!Y16),"")</f>
        <v/>
      </c>
    </row>
    <row r="17" spans="1:3" x14ac:dyDescent="0.2">
      <c r="A17" s="83" t="str">
        <f>IF(USDA!A17="","",USDA!A17)</f>
        <v/>
      </c>
      <c r="B17" s="87" t="str">
        <f>IFERROR(IF(USDA!AB17="","",USDA!AB17),"")</f>
        <v/>
      </c>
      <c r="C17" s="84" t="str">
        <f>IFERROR(IF(USDA!Y17="","",USDA!Y17),"")</f>
        <v/>
      </c>
    </row>
    <row r="18" spans="1:3" x14ac:dyDescent="0.2">
      <c r="A18" s="83" t="str">
        <f>IF(USDA!A18="","",USDA!A18)</f>
        <v/>
      </c>
      <c r="B18" s="87" t="str">
        <f>IFERROR(IF(USDA!AB18="","",USDA!AB18),"")</f>
        <v/>
      </c>
      <c r="C18" s="84" t="str">
        <f>IFERROR(IF(USDA!Y18="","",USDA!Y18),"")</f>
        <v/>
      </c>
    </row>
    <row r="19" spans="1:3" x14ac:dyDescent="0.2">
      <c r="A19" s="83" t="str">
        <f>IF(USDA!A19="","",USDA!A19)</f>
        <v/>
      </c>
      <c r="B19" s="87" t="str">
        <f>IFERROR(IF(USDA!AB19="","",USDA!AB19),"")</f>
        <v/>
      </c>
      <c r="C19" s="84" t="str">
        <f>IFERROR(IF(USDA!Y19="","",USDA!Y19),"")</f>
        <v/>
      </c>
    </row>
    <row r="20" spans="1:3" x14ac:dyDescent="0.2">
      <c r="A20" s="83" t="str">
        <f>IF(USDA!A20="","",USDA!A20)</f>
        <v/>
      </c>
      <c r="B20" s="87" t="str">
        <f>IFERROR(IF(USDA!AB20="","",USDA!AB20),"")</f>
        <v/>
      </c>
      <c r="C20" s="84" t="str">
        <f>IFERROR(IF(USDA!Y20="","",USDA!Y20),"")</f>
        <v/>
      </c>
    </row>
    <row r="21" spans="1:3" x14ac:dyDescent="0.2">
      <c r="A21" s="83" t="str">
        <f>IF(USDA!A21="","",USDA!A21)</f>
        <v/>
      </c>
      <c r="B21" s="87" t="str">
        <f>IFERROR(IF(USDA!AB21="","",USDA!AB21),"")</f>
        <v/>
      </c>
      <c r="C21" s="84" t="str">
        <f>IFERROR(IF(USDA!Y21="","",USDA!Y21),"")</f>
        <v/>
      </c>
    </row>
    <row r="22" spans="1:3" x14ac:dyDescent="0.2">
      <c r="A22" s="83" t="str">
        <f>IF(USDA!A22="","",USDA!A22)</f>
        <v/>
      </c>
      <c r="B22" s="87" t="str">
        <f>IFERROR(IF(USDA!AB22="","",USDA!AB22),"")</f>
        <v/>
      </c>
      <c r="C22" s="84" t="str">
        <f>IFERROR(IF(USDA!Y22="","",USDA!Y22),"")</f>
        <v/>
      </c>
    </row>
    <row r="23" spans="1:3" x14ac:dyDescent="0.2">
      <c r="A23" s="83" t="str">
        <f>IF(USDA!A23="","",USDA!A23)</f>
        <v/>
      </c>
      <c r="B23" s="87" t="str">
        <f>IFERROR(IF(USDA!AB23="","",USDA!AB23),"")</f>
        <v/>
      </c>
      <c r="C23" s="84" t="str">
        <f>IFERROR(IF(USDA!Y23="","",USDA!Y23),"")</f>
        <v/>
      </c>
    </row>
    <row r="24" spans="1:3" x14ac:dyDescent="0.2">
      <c r="A24" s="83" t="str">
        <f>IF(USDA!A24="","",USDA!A24)</f>
        <v/>
      </c>
      <c r="B24" s="87" t="str">
        <f>IFERROR(IF(USDA!AB24="","",USDA!AB24),"")</f>
        <v/>
      </c>
      <c r="C24" s="84" t="str">
        <f>IFERROR(IF(USDA!Y24="","",USDA!Y24),"")</f>
        <v/>
      </c>
    </row>
    <row r="25" spans="1:3" x14ac:dyDescent="0.2">
      <c r="A25" s="83" t="str">
        <f>IF(USDA!A25="","",USDA!A25)</f>
        <v/>
      </c>
      <c r="B25" s="87" t="str">
        <f>IFERROR(IF(USDA!AB25="","",USDA!AB25),"")</f>
        <v/>
      </c>
      <c r="C25" s="84" t="str">
        <f>IFERROR(IF(USDA!Y25="","",USDA!Y25),"")</f>
        <v/>
      </c>
    </row>
  </sheetData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1:C25"/>
  <sheetViews>
    <sheetView workbookViewId="0">
      <selection activeCell="A2" sqref="A2"/>
    </sheetView>
  </sheetViews>
  <sheetFormatPr baseColWidth="10" defaultColWidth="11.5703125" defaultRowHeight="12.75" x14ac:dyDescent="0.2"/>
  <cols>
    <col min="1" max="1" width="13.28515625" style="82" bestFit="1" customWidth="1"/>
    <col min="2" max="2" width="13.28515625" style="82" customWidth="1"/>
    <col min="3" max="3" width="20.28515625" style="82" customWidth="1"/>
    <col min="4" max="16384" width="11.5703125" style="82"/>
  </cols>
  <sheetData>
    <row r="1" spans="1:3" ht="25.5" x14ac:dyDescent="0.2">
      <c r="A1" s="80" t="s">
        <v>133</v>
      </c>
      <c r="B1" s="81" t="s">
        <v>138</v>
      </c>
      <c r="C1" s="81" t="s">
        <v>134</v>
      </c>
    </row>
    <row r="2" spans="1:3" x14ac:dyDescent="0.2">
      <c r="A2" s="83" t="str">
        <f>IF(USDA!A2="","",USDA!A2)</f>
        <v/>
      </c>
      <c r="B2" s="87" t="str">
        <f>IFERROR(IF(USDA!AB2="","",USDA!AB2),"")</f>
        <v/>
      </c>
      <c r="C2" s="84" t="str">
        <f>IFERROR(IF(USDA!AA2="","",USDA!AA2),"")</f>
        <v/>
      </c>
    </row>
    <row r="3" spans="1:3" x14ac:dyDescent="0.2">
      <c r="A3" s="83" t="str">
        <f>IF(USDA!A3="","",USDA!A3)</f>
        <v/>
      </c>
      <c r="B3" s="87" t="str">
        <f>IFERROR(IF(USDA!AB3="","",USDA!AB3),"")</f>
        <v/>
      </c>
      <c r="C3" s="84" t="str">
        <f>IFERROR(IF(USDA!AA3="","",USDA!AA3),"")</f>
        <v/>
      </c>
    </row>
    <row r="4" spans="1:3" x14ac:dyDescent="0.2">
      <c r="A4" s="83" t="str">
        <f>IF(USDA!A4="","",USDA!A4)</f>
        <v/>
      </c>
      <c r="B4" s="87" t="str">
        <f>IFERROR(IF(USDA!AB4="","",USDA!AB4),"")</f>
        <v/>
      </c>
      <c r="C4" s="84" t="str">
        <f>IFERROR(IF(USDA!AA4="","",USDA!AA4),"")</f>
        <v/>
      </c>
    </row>
    <row r="5" spans="1:3" x14ac:dyDescent="0.2">
      <c r="A5" s="83" t="str">
        <f>IF(USDA!A5="","",USDA!A5)</f>
        <v/>
      </c>
      <c r="B5" s="87" t="str">
        <f>IFERROR(IF(USDA!AB5="","",USDA!AB5),"")</f>
        <v/>
      </c>
      <c r="C5" s="84" t="str">
        <f>IFERROR(IF(USDA!AA5="","",USDA!AA5),"")</f>
        <v/>
      </c>
    </row>
    <row r="6" spans="1:3" x14ac:dyDescent="0.2">
      <c r="A6" s="83" t="str">
        <f>IF(USDA!A6="","",USDA!A6)</f>
        <v/>
      </c>
      <c r="B6" s="87" t="str">
        <f>IFERROR(IF(USDA!AB6="","",USDA!AB6),"")</f>
        <v/>
      </c>
      <c r="C6" s="84" t="str">
        <f>IFERROR(IF(USDA!AA6="","",USDA!AA6),"")</f>
        <v/>
      </c>
    </row>
    <row r="7" spans="1:3" x14ac:dyDescent="0.2">
      <c r="A7" s="83" t="str">
        <f>IF(USDA!A7="","",USDA!A7)</f>
        <v/>
      </c>
      <c r="B7" s="87" t="str">
        <f>IFERROR(IF(USDA!AB7="","",USDA!AB7),"")</f>
        <v/>
      </c>
      <c r="C7" s="84" t="str">
        <f>IFERROR(IF(USDA!AA7="","",USDA!AA7),"")</f>
        <v/>
      </c>
    </row>
    <row r="8" spans="1:3" x14ac:dyDescent="0.2">
      <c r="A8" s="83" t="str">
        <f>IF(USDA!A8="","",USDA!A8)</f>
        <v/>
      </c>
      <c r="B8" s="87" t="str">
        <f>IFERROR(IF(USDA!AB8="","",USDA!AB8),"")</f>
        <v/>
      </c>
      <c r="C8" s="84" t="str">
        <f>IFERROR(IF(USDA!AA8="","",USDA!AA8),"")</f>
        <v/>
      </c>
    </row>
    <row r="9" spans="1:3" x14ac:dyDescent="0.2">
      <c r="A9" s="83" t="str">
        <f>IF(USDA!A9="","",USDA!A9)</f>
        <v/>
      </c>
      <c r="B9" s="87" t="str">
        <f>IFERROR(IF(USDA!AB9="","",USDA!AB9),"")</f>
        <v/>
      </c>
      <c r="C9" s="84" t="str">
        <f>IFERROR(IF(USDA!AA9="","",USDA!AA9),"")</f>
        <v/>
      </c>
    </row>
    <row r="10" spans="1:3" x14ac:dyDescent="0.2">
      <c r="A10" s="83" t="str">
        <f>IF(USDA!A10="","",USDA!A10)</f>
        <v/>
      </c>
      <c r="B10" s="87" t="str">
        <f>IFERROR(IF(USDA!AB10="","",USDA!AB10),"")</f>
        <v/>
      </c>
      <c r="C10" s="84" t="str">
        <f>IFERROR(IF(USDA!AA10="","",USDA!AA10),"")</f>
        <v/>
      </c>
    </row>
    <row r="11" spans="1:3" x14ac:dyDescent="0.2">
      <c r="A11" s="83" t="str">
        <f>IF(USDA!A11="","",USDA!A11)</f>
        <v/>
      </c>
      <c r="B11" s="87" t="str">
        <f>IFERROR(IF(USDA!AB11="","",USDA!AB11),"")</f>
        <v/>
      </c>
      <c r="C11" s="84" t="str">
        <f>IFERROR(IF(USDA!AA11="","",USDA!AA11),"")</f>
        <v/>
      </c>
    </row>
    <row r="12" spans="1:3" x14ac:dyDescent="0.2">
      <c r="A12" s="83" t="str">
        <f>IF(USDA!A12="","",USDA!A12)</f>
        <v/>
      </c>
      <c r="B12" s="87" t="str">
        <f>IFERROR(IF(USDA!AB12="","",USDA!AB12),"")</f>
        <v/>
      </c>
      <c r="C12" s="84" t="str">
        <f>IFERROR(IF(USDA!AA12="","",USDA!AA12),"")</f>
        <v/>
      </c>
    </row>
    <row r="13" spans="1:3" x14ac:dyDescent="0.2">
      <c r="A13" s="83" t="str">
        <f>IF(USDA!A13="","",USDA!A13)</f>
        <v/>
      </c>
      <c r="B13" s="87" t="str">
        <f>IFERROR(IF(USDA!AB13="","",USDA!AB13),"")</f>
        <v/>
      </c>
      <c r="C13" s="84" t="str">
        <f>IFERROR(IF(USDA!AA13="","",USDA!AA13),"")</f>
        <v/>
      </c>
    </row>
    <row r="14" spans="1:3" x14ac:dyDescent="0.2">
      <c r="A14" s="83" t="str">
        <f>IF(USDA!A14="","",USDA!A14)</f>
        <v/>
      </c>
      <c r="B14" s="87" t="str">
        <f>IFERROR(IF(USDA!AB14="","",USDA!AB14),"")</f>
        <v/>
      </c>
      <c r="C14" s="84" t="str">
        <f>IFERROR(IF(USDA!AA14="","",USDA!AA14),"")</f>
        <v/>
      </c>
    </row>
    <row r="15" spans="1:3" x14ac:dyDescent="0.2">
      <c r="A15" s="83" t="str">
        <f>IF(USDA!A15="","",USDA!A15)</f>
        <v/>
      </c>
      <c r="B15" s="87" t="str">
        <f>IFERROR(IF(USDA!AB15="","",USDA!AB15),"")</f>
        <v/>
      </c>
      <c r="C15" s="84" t="str">
        <f>IFERROR(IF(USDA!AA15="","",USDA!AA15),"")</f>
        <v/>
      </c>
    </row>
    <row r="16" spans="1:3" x14ac:dyDescent="0.2">
      <c r="A16" s="83" t="str">
        <f>IF(USDA!A16="","",USDA!A16)</f>
        <v/>
      </c>
      <c r="B16" s="87" t="str">
        <f>IFERROR(IF(USDA!AB16="","",USDA!AB16),"")</f>
        <v/>
      </c>
      <c r="C16" s="84" t="str">
        <f>IFERROR(IF(USDA!AA16="","",USDA!AA16),"")</f>
        <v/>
      </c>
    </row>
    <row r="17" spans="1:3" x14ac:dyDescent="0.2">
      <c r="A17" s="83" t="str">
        <f>IF(USDA!A17="","",USDA!A17)</f>
        <v/>
      </c>
      <c r="B17" s="87" t="str">
        <f>IFERROR(IF(USDA!AB17="","",USDA!AB17),"")</f>
        <v/>
      </c>
      <c r="C17" s="84" t="str">
        <f>IFERROR(IF(USDA!AA17="","",USDA!AA17),"")</f>
        <v/>
      </c>
    </row>
    <row r="18" spans="1:3" x14ac:dyDescent="0.2">
      <c r="A18" s="83" t="str">
        <f>IF(USDA!A18="","",USDA!A18)</f>
        <v/>
      </c>
      <c r="B18" s="87" t="str">
        <f>IFERROR(IF(USDA!AB18="","",USDA!AB18),"")</f>
        <v/>
      </c>
      <c r="C18" s="84" t="str">
        <f>IFERROR(IF(USDA!AA18="","",USDA!AA18),"")</f>
        <v/>
      </c>
    </row>
    <row r="19" spans="1:3" x14ac:dyDescent="0.2">
      <c r="A19" s="83" t="str">
        <f>IF(USDA!A19="","",USDA!A19)</f>
        <v/>
      </c>
      <c r="B19" s="87" t="str">
        <f>IFERROR(IF(USDA!AB19="","",USDA!AB19),"")</f>
        <v/>
      </c>
      <c r="C19" s="84" t="str">
        <f>IFERROR(IF(USDA!AA19="","",USDA!AA19),"")</f>
        <v/>
      </c>
    </row>
    <row r="20" spans="1:3" x14ac:dyDescent="0.2">
      <c r="A20" s="83" t="str">
        <f>IF(USDA!A20="","",USDA!A20)</f>
        <v/>
      </c>
      <c r="B20" s="87" t="str">
        <f>IFERROR(IF(USDA!AB20="","",USDA!AB20),"")</f>
        <v/>
      </c>
      <c r="C20" s="84" t="str">
        <f>IFERROR(IF(USDA!AA20="","",USDA!AA20),"")</f>
        <v/>
      </c>
    </row>
    <row r="21" spans="1:3" x14ac:dyDescent="0.2">
      <c r="A21" s="83" t="str">
        <f>IF(USDA!A21="","",USDA!A21)</f>
        <v/>
      </c>
      <c r="B21" s="87" t="str">
        <f>IFERROR(IF(USDA!AB21="","",USDA!AB21),"")</f>
        <v/>
      </c>
      <c r="C21" s="84" t="str">
        <f>IFERROR(IF(USDA!AA21="","",USDA!AA21),"")</f>
        <v/>
      </c>
    </row>
    <row r="22" spans="1:3" x14ac:dyDescent="0.2">
      <c r="A22" s="83" t="str">
        <f>IF(USDA!A22="","",USDA!A22)</f>
        <v/>
      </c>
      <c r="B22" s="87" t="str">
        <f>IFERROR(IF(USDA!AB22="","",USDA!AB22),"")</f>
        <v/>
      </c>
      <c r="C22" s="84" t="str">
        <f>IFERROR(IF(USDA!AA22="","",USDA!AA22),"")</f>
        <v/>
      </c>
    </row>
    <row r="23" spans="1:3" x14ac:dyDescent="0.2">
      <c r="A23" s="83" t="str">
        <f>IF(USDA!A23="","",USDA!A23)</f>
        <v/>
      </c>
      <c r="B23" s="87" t="str">
        <f>IFERROR(IF(USDA!AB23="","",USDA!AB23),"")</f>
        <v/>
      </c>
      <c r="C23" s="84" t="str">
        <f>IFERROR(IF(USDA!AA23="","",USDA!AA23),"")</f>
        <v/>
      </c>
    </row>
    <row r="24" spans="1:3" x14ac:dyDescent="0.2">
      <c r="A24" s="83" t="str">
        <f>IF(USDA!A24="","",USDA!A24)</f>
        <v/>
      </c>
      <c r="B24" s="87" t="str">
        <f>IFERROR(IF(USDA!AB24="","",USDA!AB24),"")</f>
        <v/>
      </c>
      <c r="C24" s="84" t="str">
        <f>IFERROR(IF(USDA!AA24="","",USDA!AA24),"")</f>
        <v/>
      </c>
    </row>
    <row r="25" spans="1:3" x14ac:dyDescent="0.2">
      <c r="A25" s="83" t="str">
        <f>IF(USDA!A25="","",USDA!A25)</f>
        <v/>
      </c>
      <c r="B25" s="87" t="str">
        <f>IFERROR(IF(USDA!AB25="","",USDA!AB25),"")</f>
        <v/>
      </c>
      <c r="C25" s="84" t="str">
        <f>IFERROR(IF(USDA!AA25="","",USDA!AA25),"")</f>
        <v/>
      </c>
    </row>
  </sheetData>
  <pageMargins left="0.7" right="0.7" top="0.75" bottom="0.75" header="0.3" footer="0.3"/>
  <pageSetup paperSize="9" orientation="portrait" r:id="rId1"/>
</worksheet>
</file>

<file path=customUI/_rels/customUI14.xml.rels><?xml version="1.0" encoding="UTF-8" standalone="yes"?>
<Relationships xmlns="http://schemas.openxmlformats.org/package/2006/relationships"><Relationship Id="number6" Type="http://schemas.openxmlformats.org/officeDocument/2006/relationships/image" Target="images/number6.png"/><Relationship Id="number1" Type="http://schemas.openxmlformats.org/officeDocument/2006/relationships/image" Target="images/number1.png"/><Relationship Id="number0" Type="http://schemas.openxmlformats.org/officeDocument/2006/relationships/image" Target="images/number0.png"/><Relationship Id="number5" Type="http://schemas.openxmlformats.org/officeDocument/2006/relationships/image" Target="images/number5.png"/><Relationship Id="number4" Type="http://schemas.openxmlformats.org/officeDocument/2006/relationships/image" Target="images/number4.png"/><Relationship Id="number9" Type="http://schemas.openxmlformats.org/officeDocument/2006/relationships/image" Target="images/number9.png"/><Relationship Id="number3" Type="http://schemas.openxmlformats.org/officeDocument/2006/relationships/image" Target="images/number3.png"/><Relationship Id="number8" Type="http://schemas.openxmlformats.org/officeDocument/2006/relationships/image" Target="images/number8.png"/><Relationship Id="humedad" Type="http://schemas.openxmlformats.org/officeDocument/2006/relationships/image" Target="images/humedad.png"/><Relationship Id="number7" Type="http://schemas.openxmlformats.org/officeDocument/2006/relationships/image" Target="images/number7.png"/><Relationship Id="number2" Type="http://schemas.openxmlformats.org/officeDocument/2006/relationships/image" Target="images/number2.png"/></Relationships>
</file>

<file path=customUI/customUI14.xml><?xml version="1.0" encoding="utf-8"?>
<customUI xmlns="http://schemas.microsoft.com/office/2009/07/customui">
  <ribbon>
    <tabs>
      <tab id="Capsulas" label="Cápsulas" insertBeforeMso="TabHome">
        <group id="customGroup" label="Teclado">
          <button id="boton7" size="normal" image="number7" onAction="Modulo5.Cmd7_Click"/>
          <button id="boton4" size="normal" image="number4" onAction="Modulo5.Cmd4_Click"/>
          <button id="boton1" size="normal" image="number1" onAction="Modulo5.Cmd1_Click"/>
          <button id="boton8" size="normal" image="number8" onAction="Modulo5.Cmd8_Click"/>
          <button id="boton5" size="normal" image="number5" onAction="Modulo5.Cmd5_Click"/>
          <button id="boton2" size="normal" image="number2" onAction="Modulo5.Cmd2_Click"/>
          <button id="boton9" size="normal" image="number9" onAction="Modulo5.Cmd9_Click"/>
          <button id="boton6" size="normal" image="number6" onAction="Modulo5.Cmd6_Click"/>
          <button id="boton3" size="normal" image="number3" onAction="Modulo5.Cmd3_Click"/>
          <button id="boton0" size="normal" image="number0" onAction="Modulo5.Cmd0_Click"/>
        </group>
        <group id="customGroup2" label="Buscar y Borrar">
          <button id="Buscar" label="Buscar" size="large" imageMso="FilePrintPreview" onAction="Modulo1.BuscarCapsula"/>
          <button id="Borrar" label="Borrar" size="large" imageMso="InkEraseMode" onAction="Modulo5.CmdClear_Click"/>
        </group>
        <group id="customGroup3" label="Capturar Humedad y MO">
          <button id="CapturarFC" label="Capturar Humedad y MO" size="large" image="humedad" onAction="Modulo5.importarFC_Click"/>
        </group>
        <group id="customGroup4">
          <button id="MostrarFormulario" label="Mostrar Control de muestra" size="large" imageMso="ControlLayoutRemove" onAction="Modulo5.MostrarFormulario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12</vt:i4>
      </vt:variant>
      <vt:variant>
        <vt:lpstr>Rangos con nombre</vt:lpstr>
      </vt:variant>
      <vt:variant>
        <vt:i4>2</vt:i4>
      </vt:variant>
    </vt:vector>
  </HeadingPairs>
  <TitlesOfParts>
    <vt:vector size="14" baseType="lpstr">
      <vt:lpstr>USDA</vt:lpstr>
      <vt:lpstr>BIPEA</vt:lpstr>
      <vt:lpstr>USDA completa</vt:lpstr>
      <vt:lpstr>WEPAL</vt:lpstr>
      <vt:lpstr>ISSS</vt:lpstr>
      <vt:lpstr>Calculations</vt:lpstr>
      <vt:lpstr>Datos</vt:lpstr>
      <vt:lpstr>TARAS DE REFERENCIA</vt:lpstr>
      <vt:lpstr>ARCILLA</vt:lpstr>
      <vt:lpstr>LIMO</vt:lpstr>
      <vt:lpstr>ARENA</vt:lpstr>
      <vt:lpstr>CLASIFICACION</vt:lpstr>
      <vt:lpstr>BIPEA!Área_de_impresión</vt:lpstr>
      <vt:lpstr>USDA!Área_de_impresión</vt:lpstr>
    </vt:vector>
  </TitlesOfParts>
  <Company>Xunta de Galicia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usuario</cp:lastModifiedBy>
  <cp:lastPrinted>2017-05-12T10:15:48Z</cp:lastPrinted>
  <dcterms:created xsi:type="dcterms:W3CDTF">2007-07-02T09:05:15Z</dcterms:created>
  <dcterms:modified xsi:type="dcterms:W3CDTF">2018-10-01T11:30:04Z</dcterms:modified>
</cp:coreProperties>
</file>