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fcef6bc6ed4456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56" yWindow="2796" windowWidth="15192" windowHeight="6228"/>
  </bookViews>
  <sheets>
    <sheet name="EG" sheetId="50" r:id="rId1"/>
    <sheet name="Datos" sheetId="51" r:id="rId2"/>
  </sheets>
  <functionGroups builtInGroupCount="17"/>
  <definedNames>
    <definedName name="_xlnm._FilterDatabase" localSheetId="1" hidden="1">Datos!#REF!</definedName>
    <definedName name="_xlnm.Print_Area" localSheetId="0">Tabla2[#All]</definedName>
  </definedNames>
  <calcPr calcId="145621"/>
</workbook>
</file>

<file path=xl/calcChain.xml><?xml version="1.0" encoding="utf-8"?>
<calcChain xmlns="http://schemas.openxmlformats.org/spreadsheetml/2006/main">
  <c r="H2" i="50" l="1"/>
  <c r="H3" i="50"/>
  <c r="H4" i="50"/>
  <c r="H5" i="50"/>
  <c r="H6" i="50"/>
  <c r="H7" i="50"/>
  <c r="H8" i="50"/>
  <c r="H9" i="50"/>
  <c r="H10" i="50"/>
  <c r="H11" i="50"/>
  <c r="H12" i="50"/>
  <c r="H13" i="50"/>
  <c r="H14" i="50"/>
  <c r="H15" i="50"/>
  <c r="H16" i="50"/>
  <c r="H17" i="50"/>
  <c r="H18" i="50"/>
  <c r="H19" i="50"/>
  <c r="H20" i="50"/>
  <c r="H21" i="50"/>
  <c r="H22" i="50"/>
  <c r="H23" i="50"/>
  <c r="H24" i="50"/>
  <c r="H25" i="50"/>
  <c r="H26" i="50"/>
  <c r="H27" i="50"/>
  <c r="H28" i="50"/>
  <c r="H29" i="50"/>
  <c r="H30" i="50"/>
  <c r="H31" i="50"/>
  <c r="H32" i="50"/>
  <c r="H33" i="50"/>
  <c r="H34" i="50"/>
  <c r="H35" i="50"/>
  <c r="H36" i="50"/>
  <c r="H37" i="50"/>
  <c r="H38" i="50"/>
  <c r="H39" i="50"/>
  <c r="H40" i="50"/>
  <c r="H41" i="50"/>
  <c r="H42" i="50"/>
  <c r="H43" i="50"/>
  <c r="G2" i="50"/>
  <c r="G3" i="50"/>
  <c r="G4" i="50"/>
  <c r="G5" i="50"/>
  <c r="G6" i="50"/>
  <c r="G7" i="50"/>
  <c r="G8" i="50"/>
  <c r="G9" i="50"/>
  <c r="G10" i="50"/>
  <c r="G11" i="50"/>
  <c r="G12" i="50"/>
  <c r="G13" i="50"/>
  <c r="G14" i="50"/>
  <c r="G15" i="50"/>
  <c r="G16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F5" i="50" l="1"/>
  <c r="F2" i="50"/>
  <c r="F3" i="50"/>
  <c r="F4" i="50"/>
  <c r="F6" i="50"/>
  <c r="F7" i="50"/>
  <c r="F8" i="50"/>
  <c r="F9" i="50"/>
  <c r="F10" i="50"/>
  <c r="F11" i="50"/>
  <c r="F12" i="50"/>
  <c r="F13" i="50"/>
  <c r="F14" i="50"/>
  <c r="F15" i="50"/>
  <c r="F16" i="50"/>
  <c r="F17" i="50"/>
  <c r="F18" i="50"/>
  <c r="F19" i="50"/>
  <c r="F20" i="50"/>
  <c r="F21" i="50"/>
  <c r="F22" i="50"/>
  <c r="F23" i="50"/>
  <c r="F24" i="50"/>
  <c r="F25" i="50"/>
  <c r="F26" i="50"/>
  <c r="F27" i="50"/>
  <c r="F28" i="50"/>
  <c r="F29" i="50"/>
  <c r="F30" i="50"/>
  <c r="F31" i="50"/>
  <c r="F32" i="50"/>
  <c r="F33" i="50"/>
  <c r="F34" i="50"/>
  <c r="F35" i="50"/>
  <c r="F36" i="50"/>
  <c r="F37" i="50"/>
  <c r="F38" i="50"/>
  <c r="F39" i="50"/>
  <c r="F40" i="50"/>
  <c r="F41" i="50"/>
  <c r="F42" i="50"/>
  <c r="F43" i="50"/>
</calcChain>
</file>

<file path=xl/sharedStrings.xml><?xml version="1.0" encoding="utf-8"?>
<sst xmlns="http://schemas.openxmlformats.org/spreadsheetml/2006/main" count="17" uniqueCount="17">
  <si>
    <t>MUESTRA</t>
  </si>
  <si>
    <t>FECHA</t>
  </si>
  <si>
    <t>Analista</t>
  </si>
  <si>
    <t>EG g/100 g
(010)</t>
  </si>
  <si>
    <t>Id Atr.</t>
  </si>
  <si>
    <t>Atr.</t>
  </si>
  <si>
    <t>E. Gruesos
g</t>
  </si>
  <si>
    <t>Tierra fina
(&lt; 2 mm)
g</t>
  </si>
  <si>
    <t>DATOS DE CONEXIÓN</t>
  </si>
  <si>
    <t>Com Port</t>
  </si>
  <si>
    <t>Baud Rate</t>
  </si>
  <si>
    <t>Parity</t>
  </si>
  <si>
    <t>N</t>
  </si>
  <si>
    <t>Data Bits</t>
  </si>
  <si>
    <t>Stop Bits</t>
  </si>
  <si>
    <t>Cerrado</t>
  </si>
  <si>
    <t>Límite de cuantificación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</si>
</sst>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name val="Arial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2">
    <xf numFmtId="0" fontId="0" fillId="0" borderId="0" xfId="0"/>
    <xf numFmtId="14" fontId="0" fillId="0" borderId="1" xfId="0" applyNumberForma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7" xfId="1" applyBorder="1" applyAlignment="1" applyProtection="1">
      <alignment horizontal="center"/>
      <protection locked="0"/>
    </xf>
    <xf numFmtId="14" fontId="3" fillId="0" borderId="6" xfId="1" applyNumberFormat="1" applyBorder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/>
    <xf numFmtId="49" fontId="3" fillId="0" borderId="6" xfId="1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3" fillId="0" borderId="1" xfId="1" applyNumberFormat="1" applyBorder="1" applyAlignment="1" applyProtection="1">
      <alignment horizontal="center"/>
      <protection locked="0"/>
    </xf>
    <xf numFmtId="1" fontId="3" fillId="0" borderId="1" xfId="0" applyNumberFormat="1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 vertical="center"/>
    </xf>
    <xf numFmtId="1" fontId="0" fillId="0" borderId="0" xfId="0" applyNumberFormat="1" applyAlignment="1" applyProtection="1">
      <alignment horizontal="center"/>
    </xf>
    <xf numFmtId="164" fontId="0" fillId="0" borderId="0" xfId="0" applyNumberFormat="1" applyProtection="1"/>
    <xf numFmtId="1" fontId="1" fillId="2" borderId="5" xfId="0" applyNumberFormat="1" applyFont="1" applyFill="1" applyBorder="1" applyAlignment="1" applyProtection="1">
      <alignment horizontal="center" vertical="center" wrapText="1"/>
    </xf>
    <xf numFmtId="2" fontId="3" fillId="0" borderId="1" xfId="1" applyNumberFormat="1" applyBorder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3" fillId="0" borderId="6" xfId="1" applyNumberFormat="1" applyBorder="1" applyAlignment="1" applyProtection="1">
      <alignment horizontal="center"/>
      <protection locked="0"/>
    </xf>
    <xf numFmtId="0" fontId="3" fillId="0" borderId="1" xfId="1" applyNumberForma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 vertical="center"/>
    </xf>
    <xf numFmtId="14" fontId="2" fillId="2" borderId="2" xfId="0" applyNumberFormat="1" applyFont="1" applyFill="1" applyBorder="1" applyAlignment="1" applyProtection="1">
      <alignment horizontal="center" vertical="center"/>
    </xf>
    <xf numFmtId="49" fontId="2" fillId="2" borderId="2" xfId="0" applyNumberFormat="1" applyFont="1" applyFill="1" applyBorder="1" applyAlignment="1" applyProtection="1">
      <alignment horizontal="center" vertical="center"/>
    </xf>
    <xf numFmtId="2" fontId="2" fillId="2" borderId="8" xfId="0" applyNumberFormat="1" applyFont="1" applyFill="1" applyBorder="1" applyAlignment="1" applyProtection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0" fillId="0" borderId="1" xfId="0" applyBorder="1"/>
  </cellXfs>
  <cellStyles count="2">
    <cellStyle name="Normal" xfId="0" builtinId="0"/>
    <cellStyle name="Normal 2" xfId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5" tint="0.599963377788628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a2" displayName="Tabla2" ref="A1:H43" totalsRowShown="0" headerRowDxfId="12" dataDxfId="10" headerRowBorderDxfId="11" tableBorderDxfId="9" totalsRowBorderDxfId="8">
  <autoFilter ref="A1:H43"/>
  <tableColumns count="8">
    <tableColumn id="1" name="MUESTRA" dataDxfId="7"/>
    <tableColumn id="2" name="FECHA" dataDxfId="6"/>
    <tableColumn id="12" name="Analista" dataDxfId="5"/>
    <tableColumn id="4" name="E. Gruesos_x000a_g" dataDxfId="4"/>
    <tableColumn id="14" name="Tierra fina_x000a_(&lt; 2 mm)_x000a_g" dataDxfId="3" dataCellStyle="Normal 2"/>
    <tableColumn id="6" name="Id Atr." dataDxfId="2" dataCellStyle="Normal 2">
      <calculatedColumnFormula>IF(Tabla2[[#This Row],[Atr.]]="&lt;","003","")</calculatedColumnFormula>
    </tableColumn>
    <tableColumn id="5" name="Atr." dataDxfId="1" dataCellStyle="Normal 2">
      <calculatedColumnFormula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calculatedColumnFormula>
    </tableColumn>
    <tableColumn id="9" name="EG g/100 g_x000a_(010)" dataDxfId="0">
      <calculatedColumnFormula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43"/>
  <sheetViews>
    <sheetView tabSelected="1" zoomScaleNormal="100" workbookViewId="0">
      <selection activeCell="A2" sqref="A2"/>
    </sheetView>
  </sheetViews>
  <sheetFormatPr baseColWidth="10" defaultColWidth="11.44140625" defaultRowHeight="13.2" x14ac:dyDescent="0.25"/>
  <cols>
    <col min="1" max="1" width="14.33203125" style="3" bestFit="1" customWidth="1"/>
    <col min="2" max="2" width="11.44140625" style="4" bestFit="1" customWidth="1"/>
    <col min="3" max="3" width="11.44140625" style="11" customWidth="1"/>
    <col min="4" max="4" width="14.44140625" style="7" customWidth="1"/>
    <col min="5" max="5" width="12.109375" style="7" customWidth="1"/>
    <col min="6" max="6" width="12.109375" style="7" hidden="1" customWidth="1"/>
    <col min="7" max="7" width="8" style="7" customWidth="1"/>
    <col min="8" max="8" width="20.109375" style="15" bestFit="1" customWidth="1"/>
    <col min="9" max="9" width="12" style="16" bestFit="1" customWidth="1"/>
    <col min="10" max="10" width="12.33203125" style="8" bestFit="1" customWidth="1"/>
    <col min="11" max="16384" width="11.44140625" style="8"/>
  </cols>
  <sheetData>
    <row r="1" spans="1:13" s="14" customFormat="1" ht="38.25" customHeight="1" x14ac:dyDescent="0.25">
      <c r="A1" s="25" t="s">
        <v>0</v>
      </c>
      <c r="B1" s="26" t="s">
        <v>1</v>
      </c>
      <c r="C1" s="27" t="s">
        <v>2</v>
      </c>
      <c r="D1" s="28" t="s">
        <v>6</v>
      </c>
      <c r="E1" s="28" t="s">
        <v>7</v>
      </c>
      <c r="F1" s="28" t="s">
        <v>4</v>
      </c>
      <c r="G1" s="28" t="s">
        <v>5</v>
      </c>
      <c r="H1" s="17" t="s">
        <v>3</v>
      </c>
    </row>
    <row r="2" spans="1:13" x14ac:dyDescent="0.25">
      <c r="A2" s="5"/>
      <c r="B2" s="6"/>
      <c r="C2" s="9"/>
      <c r="D2" s="22"/>
      <c r="E2" s="23"/>
      <c r="F2" s="12" t="str">
        <f>IF(Tabla2[[#This Row],[Atr.]]="&lt;","003","")</f>
        <v/>
      </c>
      <c r="G2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" s="8"/>
    </row>
    <row r="3" spans="1:13" x14ac:dyDescent="0.25">
      <c r="A3" s="5"/>
      <c r="B3" s="6"/>
      <c r="C3" s="9"/>
      <c r="D3" s="22"/>
      <c r="E3" s="23"/>
      <c r="F3" s="12" t="str">
        <f>IF(Tabla2[[#This Row],[Atr.]]="&lt;","003","")</f>
        <v/>
      </c>
      <c r="G3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" s="8"/>
    </row>
    <row r="4" spans="1:13" x14ac:dyDescent="0.25">
      <c r="A4" s="5"/>
      <c r="B4" s="6"/>
      <c r="C4" s="9"/>
      <c r="D4" s="22"/>
      <c r="E4" s="23"/>
      <c r="F4" s="12" t="str">
        <f>IF(Tabla2[[#This Row],[Atr.]]="&lt;","003","")</f>
        <v/>
      </c>
      <c r="G4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4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4" s="8"/>
    </row>
    <row r="5" spans="1:13" x14ac:dyDescent="0.25">
      <c r="A5" s="5"/>
      <c r="B5" s="6"/>
      <c r="C5" s="9"/>
      <c r="D5" s="22"/>
      <c r="E5" s="23"/>
      <c r="F5" s="12" t="str">
        <f>IF(Tabla2[[#This Row],[Atr.]]="&lt;","003","")</f>
        <v/>
      </c>
      <c r="G5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5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5" s="8"/>
    </row>
    <row r="6" spans="1:13" x14ac:dyDescent="0.25">
      <c r="A6" s="5"/>
      <c r="B6" s="6"/>
      <c r="C6" s="9"/>
      <c r="D6" s="22"/>
      <c r="E6" s="23"/>
      <c r="F6" s="12" t="str">
        <f>IF(Tabla2[[#This Row],[Atr.]]="&lt;","003","")</f>
        <v/>
      </c>
      <c r="G6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6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6" s="8"/>
    </row>
    <row r="7" spans="1:13" x14ac:dyDescent="0.25">
      <c r="A7" s="5"/>
      <c r="B7" s="6"/>
      <c r="C7" s="9"/>
      <c r="D7" s="23"/>
      <c r="E7" s="23"/>
      <c r="F7" s="12" t="str">
        <f>IF(Tabla2[[#This Row],[Atr.]]="&lt;","003","")</f>
        <v/>
      </c>
      <c r="G7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7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7" s="8"/>
    </row>
    <row r="8" spans="1:13" x14ac:dyDescent="0.25">
      <c r="A8" s="5"/>
      <c r="B8" s="6"/>
      <c r="C8" s="9"/>
      <c r="D8" s="22"/>
      <c r="E8" s="23"/>
      <c r="F8" s="12" t="str">
        <f>IF(Tabla2[[#This Row],[Atr.]]="&lt;","003","")</f>
        <v/>
      </c>
      <c r="G8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8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8" s="8"/>
    </row>
    <row r="9" spans="1:13" x14ac:dyDescent="0.25">
      <c r="A9" s="5"/>
      <c r="B9" s="6"/>
      <c r="C9" s="9"/>
      <c r="D9" s="22"/>
      <c r="E9" s="23"/>
      <c r="F9" s="12" t="str">
        <f>IF(Tabla2[[#This Row],[Atr.]]="&lt;","003","")</f>
        <v/>
      </c>
      <c r="G9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9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9" s="8"/>
      <c r="M9" s="21" t="s">
        <v>15</v>
      </c>
    </row>
    <row r="10" spans="1:13" x14ac:dyDescent="0.25">
      <c r="A10" s="5"/>
      <c r="B10" s="6"/>
      <c r="C10" s="9"/>
      <c r="D10" s="22"/>
      <c r="E10" s="23"/>
      <c r="F10" s="12" t="str">
        <f>IF(Tabla2[[#This Row],[Atr.]]="&lt;","003","")</f>
        <v/>
      </c>
      <c r="G10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0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0" s="8"/>
    </row>
    <row r="11" spans="1:13" x14ac:dyDescent="0.25">
      <c r="A11" s="5"/>
      <c r="B11" s="6"/>
      <c r="C11" s="9"/>
      <c r="D11" s="22"/>
      <c r="E11" s="23"/>
      <c r="F11" s="12" t="str">
        <f>IF(Tabla2[[#This Row],[Atr.]]="&lt;","003","")</f>
        <v/>
      </c>
      <c r="G11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1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1" s="8"/>
      <c r="M11"/>
    </row>
    <row r="12" spans="1:13" x14ac:dyDescent="0.25">
      <c r="A12" s="5"/>
      <c r="B12" s="6"/>
      <c r="C12" s="9"/>
      <c r="D12" s="22"/>
      <c r="E12" s="23"/>
      <c r="F12" s="12" t="str">
        <f>IF(Tabla2[[#This Row],[Atr.]]="&lt;","003","")</f>
        <v/>
      </c>
      <c r="G12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2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2" s="8"/>
    </row>
    <row r="13" spans="1:13" x14ac:dyDescent="0.25">
      <c r="A13" s="5"/>
      <c r="B13" s="6"/>
      <c r="C13" s="9"/>
      <c r="D13" s="22"/>
      <c r="E13" s="23"/>
      <c r="F13" s="12" t="str">
        <f>IF(Tabla2[[#This Row],[Atr.]]="&lt;","003","")</f>
        <v/>
      </c>
      <c r="G13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3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3" s="8"/>
    </row>
    <row r="14" spans="1:13" x14ac:dyDescent="0.25">
      <c r="A14" s="5"/>
      <c r="B14" s="6"/>
      <c r="C14" s="9"/>
      <c r="D14" s="22"/>
      <c r="E14" s="23"/>
      <c r="F14" s="12" t="str">
        <f>IF(Tabla2[[#This Row],[Atr.]]="&lt;","003","")</f>
        <v/>
      </c>
      <c r="G14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4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4" s="8"/>
    </row>
    <row r="15" spans="1:13" x14ac:dyDescent="0.25">
      <c r="A15" s="2"/>
      <c r="B15" s="1"/>
      <c r="C15" s="10"/>
      <c r="D15" s="24"/>
      <c r="E15" s="23"/>
      <c r="F15" s="12" t="str">
        <f>IF(Tabla2[[#This Row],[Atr.]]="&lt;","003","")</f>
        <v/>
      </c>
      <c r="G15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5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5" s="8"/>
    </row>
    <row r="16" spans="1:13" x14ac:dyDescent="0.25">
      <c r="A16" s="2"/>
      <c r="B16" s="1"/>
      <c r="C16" s="10"/>
      <c r="D16" s="24"/>
      <c r="E16" s="23"/>
      <c r="F16" s="12" t="str">
        <f>IF(Tabla2[[#This Row],[Atr.]]="&lt;","003","")</f>
        <v/>
      </c>
      <c r="G16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6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6" s="8"/>
    </row>
    <row r="17" spans="1:9" x14ac:dyDescent="0.25">
      <c r="A17" s="2"/>
      <c r="B17" s="1"/>
      <c r="C17" s="10"/>
      <c r="D17" s="24"/>
      <c r="E17" s="23"/>
      <c r="F17" s="12" t="str">
        <f>IF(Tabla2[[#This Row],[Atr.]]="&lt;","003","")</f>
        <v/>
      </c>
      <c r="G17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7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7" s="8"/>
    </row>
    <row r="18" spans="1:9" x14ac:dyDescent="0.25">
      <c r="A18" s="2"/>
      <c r="B18" s="1"/>
      <c r="C18" s="10"/>
      <c r="D18" s="24"/>
      <c r="E18" s="23"/>
      <c r="F18" s="12" t="str">
        <f>IF(Tabla2[[#This Row],[Atr.]]="&lt;","003","")</f>
        <v/>
      </c>
      <c r="G18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8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8" s="8"/>
    </row>
    <row r="19" spans="1:9" x14ac:dyDescent="0.25">
      <c r="A19" s="2"/>
      <c r="B19" s="1"/>
      <c r="C19" s="10"/>
      <c r="D19" s="24"/>
      <c r="E19" s="23"/>
      <c r="F19" s="12" t="str">
        <f>IF(Tabla2[[#This Row],[Atr.]]="&lt;","003","")</f>
        <v/>
      </c>
      <c r="G19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19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19" s="8"/>
    </row>
    <row r="20" spans="1:9" x14ac:dyDescent="0.25">
      <c r="A20" s="2"/>
      <c r="B20" s="1"/>
      <c r="C20" s="10"/>
      <c r="D20" s="24"/>
      <c r="E20" s="23"/>
      <c r="F20" s="12" t="str">
        <f>IF(Tabla2[[#This Row],[Atr.]]="&lt;","003","")</f>
        <v/>
      </c>
      <c r="G20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0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0" s="8"/>
    </row>
    <row r="21" spans="1:9" ht="12.75" customHeight="1" x14ac:dyDescent="0.25">
      <c r="A21" s="2"/>
      <c r="B21" s="1"/>
      <c r="C21" s="10"/>
      <c r="D21" s="24"/>
      <c r="E21" s="23"/>
      <c r="F21" s="12" t="str">
        <f>IF(Tabla2[[#This Row],[Atr.]]="&lt;","003","")</f>
        <v/>
      </c>
      <c r="G21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1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1" s="8"/>
    </row>
    <row r="22" spans="1:9" x14ac:dyDescent="0.25">
      <c r="A22" s="2"/>
      <c r="B22" s="1"/>
      <c r="C22" s="10"/>
      <c r="D22" s="24"/>
      <c r="E22" s="23"/>
      <c r="F22" s="12" t="str">
        <f>IF(Tabla2[[#This Row],[Atr.]]="&lt;","003","")</f>
        <v/>
      </c>
      <c r="G22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2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2" s="8"/>
    </row>
    <row r="23" spans="1:9" x14ac:dyDescent="0.25">
      <c r="A23" s="2"/>
      <c r="B23" s="1"/>
      <c r="C23" s="10"/>
      <c r="D23" s="24"/>
      <c r="E23" s="23"/>
      <c r="F23" s="12" t="str">
        <f>IF(Tabla2[[#This Row],[Atr.]]="&lt;","003","")</f>
        <v/>
      </c>
      <c r="G23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3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3" s="8"/>
    </row>
    <row r="24" spans="1:9" x14ac:dyDescent="0.25">
      <c r="A24" s="2"/>
      <c r="B24" s="1"/>
      <c r="C24" s="10"/>
      <c r="D24" s="24"/>
      <c r="E24" s="23"/>
      <c r="F24" s="12" t="str">
        <f>IF(Tabla2[[#This Row],[Atr.]]="&lt;","003","")</f>
        <v/>
      </c>
      <c r="G24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4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4" s="8"/>
    </row>
    <row r="25" spans="1:9" x14ac:dyDescent="0.25">
      <c r="A25" s="2"/>
      <c r="B25" s="1"/>
      <c r="C25" s="10"/>
      <c r="D25" s="24"/>
      <c r="E25" s="23"/>
      <c r="F25" s="12" t="str">
        <f>IF(Tabla2[[#This Row],[Atr.]]="&lt;","003","")</f>
        <v/>
      </c>
      <c r="G25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5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5" s="8"/>
    </row>
    <row r="26" spans="1:9" x14ac:dyDescent="0.25">
      <c r="A26" s="2"/>
      <c r="B26" s="1"/>
      <c r="C26" s="10"/>
      <c r="D26" s="24"/>
      <c r="E26" s="23"/>
      <c r="F26" s="12" t="str">
        <f>IF(Tabla2[[#This Row],[Atr.]]="&lt;","003","")</f>
        <v/>
      </c>
      <c r="G26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6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6" s="8"/>
    </row>
    <row r="27" spans="1:9" x14ac:dyDescent="0.25">
      <c r="A27" s="2"/>
      <c r="B27" s="1"/>
      <c r="C27" s="10"/>
      <c r="D27" s="24"/>
      <c r="E27" s="23"/>
      <c r="F27" s="12" t="str">
        <f>IF(Tabla2[[#This Row],[Atr.]]="&lt;","003","")</f>
        <v/>
      </c>
      <c r="G27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7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7" s="8"/>
    </row>
    <row r="28" spans="1:9" x14ac:dyDescent="0.25">
      <c r="A28" s="2"/>
      <c r="B28" s="1"/>
      <c r="C28" s="10"/>
      <c r="D28" s="24"/>
      <c r="E28" s="23"/>
      <c r="F28" s="12" t="str">
        <f>IF(Tabla2[[#This Row],[Atr.]]="&lt;","003","")</f>
        <v/>
      </c>
      <c r="G28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8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8" s="8"/>
    </row>
    <row r="29" spans="1:9" x14ac:dyDescent="0.25">
      <c r="A29" s="2"/>
      <c r="B29" s="1"/>
      <c r="C29" s="10"/>
      <c r="D29" s="24"/>
      <c r="E29" s="23"/>
      <c r="F29" s="12" t="str">
        <f>IF(Tabla2[[#This Row],[Atr.]]="&lt;","003","")</f>
        <v/>
      </c>
      <c r="G29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29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29" s="8"/>
    </row>
    <row r="30" spans="1:9" x14ac:dyDescent="0.25">
      <c r="A30" s="2"/>
      <c r="B30" s="1"/>
      <c r="C30" s="10"/>
      <c r="D30" s="24"/>
      <c r="E30" s="23"/>
      <c r="F30" s="12" t="str">
        <f>IF(Tabla2[[#This Row],[Atr.]]="&lt;","003","")</f>
        <v/>
      </c>
      <c r="G30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0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0" s="8"/>
    </row>
    <row r="31" spans="1:9" x14ac:dyDescent="0.25">
      <c r="A31" s="2"/>
      <c r="B31" s="1"/>
      <c r="C31" s="10"/>
      <c r="D31" s="24"/>
      <c r="E31" s="23"/>
      <c r="F31" s="12" t="str">
        <f>IF(Tabla2[[#This Row],[Atr.]]="&lt;","003","")</f>
        <v/>
      </c>
      <c r="G31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1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1" s="8"/>
    </row>
    <row r="32" spans="1:9" x14ac:dyDescent="0.25">
      <c r="A32" s="2"/>
      <c r="B32" s="1"/>
      <c r="C32" s="10"/>
      <c r="D32" s="24"/>
      <c r="E32" s="23"/>
      <c r="F32" s="12" t="str">
        <f>IF(Tabla2[[#This Row],[Atr.]]="&lt;","003","")</f>
        <v/>
      </c>
      <c r="G32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2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2" s="8"/>
    </row>
    <row r="33" spans="1:9" x14ac:dyDescent="0.25">
      <c r="A33" s="2"/>
      <c r="B33" s="1"/>
      <c r="C33" s="10"/>
      <c r="D33" s="24"/>
      <c r="E33" s="23"/>
      <c r="F33" s="12" t="str">
        <f>IF(Tabla2[[#This Row],[Atr.]]="&lt;","003","")</f>
        <v/>
      </c>
      <c r="G33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3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3" s="8"/>
    </row>
    <row r="34" spans="1:9" x14ac:dyDescent="0.25">
      <c r="A34" s="2"/>
      <c r="B34" s="1"/>
      <c r="C34" s="10"/>
      <c r="D34" s="24"/>
      <c r="E34" s="23"/>
      <c r="F34" s="12" t="str">
        <f>IF(Tabla2[[#This Row],[Atr.]]="&lt;","003","")</f>
        <v/>
      </c>
      <c r="G34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4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4" s="8"/>
    </row>
    <row r="35" spans="1:9" x14ac:dyDescent="0.25">
      <c r="A35" s="2"/>
      <c r="B35" s="1"/>
      <c r="C35" s="10"/>
      <c r="D35" s="24"/>
      <c r="E35" s="23"/>
      <c r="F35" s="12" t="str">
        <f>IF(Tabla2[[#This Row],[Atr.]]="&lt;","003","")</f>
        <v/>
      </c>
      <c r="G35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5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5" s="8"/>
    </row>
    <row r="36" spans="1:9" x14ac:dyDescent="0.25">
      <c r="A36" s="2"/>
      <c r="B36" s="1"/>
      <c r="C36" s="10"/>
      <c r="D36" s="24"/>
      <c r="E36" s="23"/>
      <c r="F36" s="12" t="str">
        <f>IF(Tabla2[[#This Row],[Atr.]]="&lt;","003","")</f>
        <v/>
      </c>
      <c r="G36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6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6" s="8"/>
    </row>
    <row r="37" spans="1:9" x14ac:dyDescent="0.25">
      <c r="A37" s="2"/>
      <c r="B37" s="1"/>
      <c r="C37" s="10"/>
      <c r="D37" s="24"/>
      <c r="E37" s="23"/>
      <c r="F37" s="12" t="str">
        <f>IF(Tabla2[[#This Row],[Atr.]]="&lt;","003","")</f>
        <v/>
      </c>
      <c r="G37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7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7" s="8"/>
    </row>
    <row r="38" spans="1:9" x14ac:dyDescent="0.25">
      <c r="A38" s="2"/>
      <c r="B38" s="1"/>
      <c r="C38" s="10"/>
      <c r="D38" s="24"/>
      <c r="E38" s="23"/>
      <c r="F38" s="12" t="str">
        <f>IF(Tabla2[[#This Row],[Atr.]]="&lt;","003","")</f>
        <v/>
      </c>
      <c r="G38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8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8" s="8"/>
    </row>
    <row r="39" spans="1:9" x14ac:dyDescent="0.25">
      <c r="A39" s="2"/>
      <c r="B39" s="1"/>
      <c r="C39" s="10"/>
      <c r="D39" s="24"/>
      <c r="E39" s="23"/>
      <c r="F39" s="12" t="str">
        <f>IF(Tabla2[[#This Row],[Atr.]]="&lt;","003","")</f>
        <v/>
      </c>
      <c r="G39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39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39" s="8"/>
    </row>
    <row r="40" spans="1:9" x14ac:dyDescent="0.25">
      <c r="A40" s="2"/>
      <c r="B40" s="1"/>
      <c r="C40" s="10"/>
      <c r="D40" s="24"/>
      <c r="E40" s="23"/>
      <c r="F40" s="12" t="str">
        <f>IF(Tabla2[[#This Row],[Atr.]]="&lt;","003","")</f>
        <v/>
      </c>
      <c r="G40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40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40" s="8"/>
    </row>
    <row r="41" spans="1:9" x14ac:dyDescent="0.25">
      <c r="A41" s="2"/>
      <c r="B41" s="1"/>
      <c r="C41" s="10"/>
      <c r="D41" s="24"/>
      <c r="E41" s="23"/>
      <c r="F41" s="12" t="str">
        <f>IF(Tabla2[[#This Row],[Atr.]]="&lt;","003","")</f>
        <v/>
      </c>
      <c r="G41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41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41" s="8"/>
    </row>
    <row r="42" spans="1:9" x14ac:dyDescent="0.25">
      <c r="A42" s="2"/>
      <c r="B42" s="1"/>
      <c r="C42" s="10"/>
      <c r="D42" s="24"/>
      <c r="E42" s="23"/>
      <c r="F42" s="12" t="str">
        <f>IF(Tabla2[[#This Row],[Atr.]]="&lt;","003","")</f>
        <v/>
      </c>
      <c r="G42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42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42" s="8"/>
    </row>
    <row r="43" spans="1:9" x14ac:dyDescent="0.25">
      <c r="A43" s="2"/>
      <c r="B43" s="1"/>
      <c r="C43" s="10"/>
      <c r="D43" s="24"/>
      <c r="E43" s="23"/>
      <c r="F43" s="12" t="str">
        <f>IF(Tabla2[[#This Row],[Atr.]]="&lt;","003","")</f>
        <v/>
      </c>
      <c r="G43" s="18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g]])&lt;Datos!$E$2,"&lt;",""))</f>
        <v/>
      </c>
      <c r="H43" s="13" t="str">
        <f>IF(OR(Tabla2[[#This Row],[MUESTRA]]="",Tabla2[[#This Row],[FECHA]]="",Tabla2[[#This Row],[Analista]]="",Tabla2[[#This Row],[E. Gruesos
g]]="",Tabla2[[#This Row],[Tierra fina
(&lt; 2 mm)
g]]=""),"",IF((Tabla2[[#This Row],[E. Gruesos
g]]*100)/(Tabla2[[#This Row],[E. Gruesos
g]]+Tabla2[[#This Row],[Tierra fina
(&lt; 2 mm)
g]])&lt;Datos!$E$2,Datos!$E$2,(Tabla2[[#This Row],[E. Gruesos
g]]*100)/(Tabla2[[#This Row],[E. Gruesos
g]]+Tabla2[[#This Row],[Tierra fina
(&lt; 2 mm)
g]])))</f>
        <v/>
      </c>
      <c r="I43" s="8"/>
    </row>
  </sheetData>
  <sheetProtection password="D1D1" sheet="1" objects="1" scenarios="1" formatCells="0" formatColumns="0" formatRows="0" selectLockedCells="1" autoFilter="0"/>
  <protectedRanges>
    <protectedRange sqref="M9" name="Rango1"/>
  </protectedRanges>
  <pageMargins left="0.74803149606299213" right="0.74803149606299213" top="0.98425196850393704" bottom="0.98425196850393704" header="0" footer="0"/>
  <pageSetup paperSize="9" scale="95" fitToHeight="50" orientation="portrait" r:id="rId1"/>
  <headerFooter alignWithMargins="0">
    <oddHeader>&amp;L&amp;"Arial,Negrita"&amp;24LAFIGA&amp;C&amp;"Arial,Negrita"Hoja de cálculo de Elementos Gruesos
Hoja 2 de 2&amp;R&amp;"Arial,Negrita"PE/LAFIGA/SU08
&amp;D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6"/>
  <sheetViews>
    <sheetView workbookViewId="0">
      <selection activeCell="D11" sqref="D11"/>
    </sheetView>
  </sheetViews>
  <sheetFormatPr baseColWidth="10" defaultRowHeight="13.2" x14ac:dyDescent="0.25"/>
  <cols>
    <col min="5" max="5" width="21.6640625" bestFit="1" customWidth="1"/>
  </cols>
  <sheetData>
    <row r="1" spans="1:5" x14ac:dyDescent="0.25">
      <c r="A1" s="29" t="s">
        <v>8</v>
      </c>
      <c r="B1" s="29"/>
      <c r="E1" s="30" t="s">
        <v>16</v>
      </c>
    </row>
    <row r="2" spans="1:5" x14ac:dyDescent="0.25">
      <c r="A2" s="19" t="s">
        <v>9</v>
      </c>
      <c r="B2" s="20">
        <v>6</v>
      </c>
      <c r="E2" s="31">
        <v>0</v>
      </c>
    </row>
    <row r="3" spans="1:5" x14ac:dyDescent="0.25">
      <c r="A3" s="19" t="s">
        <v>10</v>
      </c>
      <c r="B3" s="20">
        <v>9600</v>
      </c>
    </row>
    <row r="4" spans="1:5" x14ac:dyDescent="0.25">
      <c r="A4" s="19" t="s">
        <v>11</v>
      </c>
      <c r="B4" s="20" t="s">
        <v>12</v>
      </c>
    </row>
    <row r="5" spans="1:5" x14ac:dyDescent="0.25">
      <c r="A5" s="19" t="s">
        <v>13</v>
      </c>
      <c r="B5" s="20">
        <v>8</v>
      </c>
    </row>
    <row r="6" spans="1:5" x14ac:dyDescent="0.25">
      <c r="A6" s="19" t="s">
        <v>14</v>
      </c>
      <c r="B6" s="20">
        <v>1</v>
      </c>
    </row>
  </sheetData>
  <mergeCells count="1">
    <mergeCell ref="A1:B1"/>
  </mergeCells>
  <dataValidations count="3">
    <dataValidation type="list" allowBlank="1" showInputMessage="1" showErrorMessage="1" sqref="B4">
      <formula1>"N,O,E"</formula1>
    </dataValidation>
    <dataValidation type="list" allowBlank="1" showInputMessage="1" showErrorMessage="1" sqref="B2">
      <formula1>"1,2,3,4,5,6,7,8,9"</formula1>
    </dataValidation>
    <dataValidation type="list" allowBlank="1" showInputMessage="1" showErrorMessage="1" sqref="B3">
      <formula1>"1200,2400,4800,9600,19200,38400"</formula1>
    </dataValidation>
  </dataValidations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apsulas" label="Captura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EG</vt:lpstr>
      <vt:lpstr>Datos</vt:lpstr>
      <vt:lpstr>EG!Área_de_impresión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keywords>IT-15.13.06</cp:keywords>
  <cp:lastModifiedBy>ms1</cp:lastModifiedBy>
  <cp:lastPrinted>2017-11-20T12:40:44Z</cp:lastPrinted>
  <dcterms:created xsi:type="dcterms:W3CDTF">2010-01-18T16:18:30Z</dcterms:created>
  <dcterms:modified xsi:type="dcterms:W3CDTF">2021-10-28T08:11:47Z</dcterms:modified>
</cp:coreProperties>
</file>