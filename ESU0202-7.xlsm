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17fd8dd8d0843ae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540" windowWidth="14376" windowHeight="4116"/>
  </bookViews>
  <sheets>
    <sheet name="CE" sheetId="50" r:id="rId1"/>
    <sheet name="Datos" sheetId="51" r:id="rId2"/>
    <sheet name="NecesidadesCE" sheetId="52" r:id="rId3"/>
  </sheets>
  <functionGroups builtInGroupCount="17"/>
  <definedNames>
    <definedName name="_xlnm._FilterDatabase" localSheetId="1" hidden="1">Datos!$F$1:$F$3</definedName>
    <definedName name="_xlnm.Print_Area" localSheetId="0">CE!$A$1:$O$79</definedName>
  </definedNames>
  <calcPr calcId="145621"/>
</workbook>
</file>

<file path=xl/calcChain.xml><?xml version="1.0" encoding="utf-8"?>
<calcChain xmlns="http://schemas.openxmlformats.org/spreadsheetml/2006/main">
  <c r="K3" i="50" l="1"/>
  <c r="K4" i="50"/>
  <c r="K5" i="50"/>
  <c r="K6" i="50"/>
  <c r="K7" i="50"/>
  <c r="K8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K46" i="50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K2" i="50"/>
  <c r="C3" i="50" l="1"/>
  <c r="C4" i="50"/>
  <c r="C5" i="50"/>
  <c r="C6" i="50"/>
  <c r="C7" i="50"/>
  <c r="C8" i="50"/>
  <c r="C9" i="50"/>
  <c r="C10" i="50"/>
  <c r="C11" i="50"/>
  <c r="C12" i="50"/>
  <c r="C13" i="50"/>
  <c r="C14" i="50"/>
  <c r="C15" i="50"/>
  <c r="C16" i="50"/>
  <c r="C17" i="50"/>
  <c r="C18" i="50"/>
  <c r="C19" i="50"/>
  <c r="C20" i="50"/>
  <c r="C21" i="50"/>
  <c r="C22" i="50"/>
  <c r="C23" i="50"/>
  <c r="C24" i="50"/>
  <c r="C25" i="50"/>
  <c r="C26" i="50"/>
  <c r="C27" i="50"/>
  <c r="C28" i="50"/>
  <c r="C29" i="50"/>
  <c r="C30" i="50"/>
  <c r="C31" i="50"/>
  <c r="C32" i="50"/>
  <c r="C33" i="50"/>
  <c r="C34" i="50"/>
  <c r="C35" i="50"/>
  <c r="C36" i="50"/>
  <c r="C37" i="50"/>
  <c r="C38" i="50"/>
  <c r="C39" i="50"/>
  <c r="C40" i="50"/>
  <c r="C41" i="50"/>
  <c r="C42" i="50"/>
  <c r="C43" i="50"/>
  <c r="C44" i="50"/>
  <c r="C45" i="50"/>
  <c r="C46" i="50"/>
  <c r="C47" i="50"/>
  <c r="C48" i="50"/>
  <c r="C49" i="50"/>
  <c r="C50" i="50"/>
  <c r="C51" i="50"/>
  <c r="C52" i="50"/>
  <c r="C53" i="50"/>
  <c r="C54" i="50"/>
  <c r="C55" i="50"/>
  <c r="C56" i="50"/>
  <c r="C57" i="50"/>
  <c r="C58" i="50"/>
  <c r="C59" i="50"/>
  <c r="C60" i="50"/>
  <c r="C2" i="50"/>
  <c r="B3" i="50" l="1"/>
  <c r="M3" i="50" s="1"/>
  <c r="B4" i="50"/>
  <c r="M4" i="50" s="1"/>
  <c r="B5" i="50"/>
  <c r="M5" i="50" s="1"/>
  <c r="B6" i="50"/>
  <c r="M6" i="50" s="1"/>
  <c r="B7" i="50"/>
  <c r="M7" i="50" s="1"/>
  <c r="B8" i="50"/>
  <c r="B9" i="50"/>
  <c r="B10" i="50"/>
  <c r="M10" i="50" s="1"/>
  <c r="B11" i="50"/>
  <c r="B12" i="50"/>
  <c r="B13" i="50"/>
  <c r="B14" i="50"/>
  <c r="M14" i="50" s="1"/>
  <c r="B15" i="50"/>
  <c r="B16" i="50"/>
  <c r="B17" i="50"/>
  <c r="B18" i="50"/>
  <c r="M18" i="50" s="1"/>
  <c r="B19" i="50"/>
  <c r="B20" i="50"/>
  <c r="B21" i="50"/>
  <c r="M21" i="50" s="1"/>
  <c r="B22" i="50"/>
  <c r="M22" i="50" s="1"/>
  <c r="B23" i="50"/>
  <c r="B24" i="50"/>
  <c r="B25" i="50"/>
  <c r="M25" i="50" s="1"/>
  <c r="B26" i="50"/>
  <c r="M26" i="50" s="1"/>
  <c r="B27" i="50"/>
  <c r="M27" i="50" s="1"/>
  <c r="B28" i="50"/>
  <c r="B29" i="50"/>
  <c r="M29" i="50" s="1"/>
  <c r="B30" i="50"/>
  <c r="M30" i="50" s="1"/>
  <c r="B31" i="50"/>
  <c r="M31" i="50" s="1"/>
  <c r="B32" i="50"/>
  <c r="M32" i="50" s="1"/>
  <c r="B33" i="50"/>
  <c r="M33" i="50" s="1"/>
  <c r="B34" i="50"/>
  <c r="M34" i="50" s="1"/>
  <c r="B35" i="50"/>
  <c r="M35" i="50" s="1"/>
  <c r="B36" i="50"/>
  <c r="M36" i="50" s="1"/>
  <c r="B37" i="50"/>
  <c r="M37" i="50" s="1"/>
  <c r="B38" i="50"/>
  <c r="M38" i="50" s="1"/>
  <c r="B39" i="50"/>
  <c r="M39" i="50" s="1"/>
  <c r="B40" i="50"/>
  <c r="M40" i="50" s="1"/>
  <c r="B41" i="50"/>
  <c r="M41" i="50" s="1"/>
  <c r="B42" i="50"/>
  <c r="M42" i="50" s="1"/>
  <c r="B43" i="50"/>
  <c r="M43" i="50" s="1"/>
  <c r="B44" i="50"/>
  <c r="M44" i="50" s="1"/>
  <c r="B45" i="50"/>
  <c r="M45" i="50" s="1"/>
  <c r="B46" i="50"/>
  <c r="M46" i="50" s="1"/>
  <c r="B47" i="50"/>
  <c r="M47" i="50" s="1"/>
  <c r="B48" i="50"/>
  <c r="M48" i="50" s="1"/>
  <c r="B49" i="50"/>
  <c r="M49" i="50" s="1"/>
  <c r="B50" i="50"/>
  <c r="M50" i="50" s="1"/>
  <c r="B51" i="50"/>
  <c r="M51" i="50" s="1"/>
  <c r="B52" i="50"/>
  <c r="M52" i="50" s="1"/>
  <c r="B53" i="50"/>
  <c r="M53" i="50" s="1"/>
  <c r="B54" i="50"/>
  <c r="M54" i="50" s="1"/>
  <c r="B55" i="50"/>
  <c r="M55" i="50" s="1"/>
  <c r="B56" i="50"/>
  <c r="M56" i="50" s="1"/>
  <c r="B57" i="50"/>
  <c r="M57" i="50" s="1"/>
  <c r="B58" i="50"/>
  <c r="M58" i="50" s="1"/>
  <c r="B59" i="50"/>
  <c r="M59" i="50" s="1"/>
  <c r="B60" i="50"/>
  <c r="M60" i="50" s="1"/>
  <c r="B2" i="50"/>
  <c r="M2" i="50" s="1"/>
  <c r="M19" i="50"/>
  <c r="M23" i="50"/>
  <c r="M15" i="50"/>
  <c r="M17" i="50"/>
  <c r="M12" i="50"/>
  <c r="M11" i="50"/>
  <c r="M20" i="50"/>
  <c r="M24" i="50"/>
  <c r="M28" i="50"/>
  <c r="M9" i="50"/>
  <c r="M13" i="50"/>
  <c r="M16" i="50"/>
  <c r="M8" i="50"/>
  <c r="A3" i="52" l="1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2" i="52"/>
  <c r="B3" i="52" l="1"/>
  <c r="C3" i="52" s="1"/>
  <c r="B4" i="52"/>
  <c r="C4" i="52" s="1"/>
  <c r="B6" i="52"/>
  <c r="C6" i="52" s="1"/>
  <c r="B7" i="52"/>
  <c r="C7" i="52" s="1"/>
  <c r="L8" i="50"/>
  <c r="L9" i="50"/>
  <c r="L10" i="50"/>
  <c r="L11" i="50"/>
  <c r="L12" i="50"/>
  <c r="L13" i="50"/>
  <c r="L19" i="50"/>
  <c r="L20" i="50"/>
  <c r="L23" i="50"/>
  <c r="L27" i="50"/>
  <c r="L33" i="50"/>
  <c r="L39" i="50"/>
  <c r="L43" i="50"/>
  <c r="L49" i="50"/>
  <c r="L51" i="50"/>
  <c r="L55" i="50"/>
  <c r="L60" i="50"/>
  <c r="L15" i="50"/>
  <c r="L16" i="50"/>
  <c r="L17" i="50"/>
  <c r="L24" i="50"/>
  <c r="L31" i="50"/>
  <c r="L32" i="50"/>
  <c r="L35" i="50"/>
  <c r="L40" i="50"/>
  <c r="L44" i="50"/>
  <c r="L47" i="50"/>
  <c r="L48" i="50"/>
  <c r="L56" i="50"/>
  <c r="L59" i="50"/>
  <c r="L2" i="50" l="1"/>
  <c r="L45" i="50"/>
  <c r="L29" i="50"/>
  <c r="L28" i="50"/>
  <c r="L54" i="50"/>
  <c r="L46" i="50"/>
  <c r="L38" i="50"/>
  <c r="L30" i="50"/>
  <c r="L22" i="50"/>
  <c r="L37" i="50"/>
  <c r="L21" i="50"/>
  <c r="L58" i="50"/>
  <c r="L50" i="50"/>
  <c r="L42" i="50"/>
  <c r="L34" i="50"/>
  <c r="L26" i="50"/>
  <c r="L18" i="50"/>
  <c r="L14" i="50"/>
  <c r="L53" i="50"/>
  <c r="L57" i="50"/>
  <c r="L52" i="50"/>
  <c r="L41" i="50"/>
  <c r="L36" i="50"/>
  <c r="L25" i="50"/>
  <c r="L4" i="50"/>
  <c r="L5" i="50"/>
  <c r="B5" i="52"/>
  <c r="C5" i="52" s="1"/>
  <c r="L6" i="50"/>
  <c r="L7" i="50"/>
  <c r="L3" i="50"/>
  <c r="B8" i="52" l="1"/>
  <c r="C8" i="52" s="1"/>
  <c r="B9" i="52"/>
  <c r="C9" i="52" s="1"/>
  <c r="B20" i="52"/>
  <c r="C20" i="52" s="1"/>
  <c r="B56" i="52"/>
  <c r="C56" i="52" s="1"/>
  <c r="B41" i="52"/>
  <c r="C41" i="52" s="1"/>
  <c r="B52" i="52"/>
  <c r="C52" i="52" s="1"/>
  <c r="B43" i="52"/>
  <c r="C43" i="52" s="1"/>
  <c r="B26" i="52"/>
  <c r="C26" i="52" s="1"/>
  <c r="B17" i="52"/>
  <c r="C17" i="52" s="1"/>
  <c r="B37" i="52"/>
  <c r="C37" i="52" s="1"/>
  <c r="B57" i="52"/>
  <c r="C57" i="52" s="1"/>
  <c r="B39" i="52"/>
  <c r="C39" i="52" s="1"/>
  <c r="B27" i="52"/>
  <c r="C27" i="52" s="1"/>
  <c r="B23" i="52"/>
  <c r="C23" i="52" s="1"/>
  <c r="B50" i="52"/>
  <c r="C50" i="52" s="1"/>
  <c r="B32" i="52"/>
  <c r="C32" i="52" s="1"/>
  <c r="B22" i="52"/>
  <c r="C22" i="52" s="1"/>
  <c r="B10" i="52"/>
  <c r="C10" i="52" s="1"/>
  <c r="B25" i="52"/>
  <c r="C25" i="52" s="1"/>
  <c r="B44" i="52"/>
  <c r="C44" i="52" s="1"/>
  <c r="B55" i="52"/>
  <c r="C55" i="52" s="1"/>
  <c r="B40" i="52"/>
  <c r="C40" i="52" s="1"/>
  <c r="B11" i="52"/>
  <c r="C11" i="52" s="1"/>
  <c r="B42" i="52"/>
  <c r="C42" i="52" s="1"/>
  <c r="B48" i="52"/>
  <c r="C48" i="52" s="1"/>
  <c r="B35" i="52"/>
  <c r="C35" i="52" s="1"/>
  <c r="B21" i="52"/>
  <c r="C21" i="52" s="1"/>
  <c r="B15" i="52"/>
  <c r="C15" i="52" s="1"/>
  <c r="B29" i="52"/>
  <c r="C29" i="52" s="1"/>
  <c r="B47" i="52"/>
  <c r="C47" i="52" s="1"/>
  <c r="B60" i="52"/>
  <c r="C60" i="52" s="1"/>
  <c r="B38" i="52"/>
  <c r="C38" i="52" s="1"/>
  <c r="B58" i="52"/>
  <c r="C58" i="52" s="1"/>
  <c r="B45" i="52"/>
  <c r="C45" i="52" s="1"/>
  <c r="B34" i="52"/>
  <c r="C34" i="52" s="1"/>
  <c r="B16" i="52"/>
  <c r="C16" i="52" s="1"/>
  <c r="B12" i="52"/>
  <c r="C12" i="52" s="1"/>
  <c r="B28" i="52"/>
  <c r="C28" i="52" s="1"/>
  <c r="B49" i="52"/>
  <c r="C49" i="52" s="1"/>
  <c r="B24" i="52"/>
  <c r="C24" i="52" s="1"/>
  <c r="B54" i="52"/>
  <c r="C54" i="52" s="1"/>
  <c r="B46" i="52"/>
  <c r="C46" i="52" s="1"/>
  <c r="B31" i="52"/>
  <c r="C31" i="52" s="1"/>
  <c r="B19" i="52"/>
  <c r="C19" i="52" s="1"/>
  <c r="B14" i="52"/>
  <c r="C14" i="52" s="1"/>
  <c r="B33" i="52"/>
  <c r="C33" i="52" s="1"/>
  <c r="B51" i="52"/>
  <c r="C51" i="52" s="1"/>
  <c r="B59" i="52"/>
  <c r="C59" i="52" s="1"/>
  <c r="B30" i="52"/>
  <c r="C30" i="52" s="1"/>
  <c r="B18" i="52"/>
  <c r="C18" i="52" s="1"/>
  <c r="B13" i="52"/>
  <c r="C13" i="52" s="1"/>
  <c r="B36" i="52"/>
  <c r="C36" i="52" s="1"/>
  <c r="B53" i="52"/>
  <c r="C53" i="52" s="1"/>
  <c r="B2" i="52"/>
  <c r="C2" i="52" s="1"/>
</calcChain>
</file>

<file path=xl/sharedStrings.xml><?xml version="1.0" encoding="utf-8"?>
<sst xmlns="http://schemas.openxmlformats.org/spreadsheetml/2006/main" count="195" uniqueCount="64">
  <si>
    <t>MUESTRA</t>
  </si>
  <si>
    <t>FECHA</t>
  </si>
  <si>
    <t>Analista</t>
  </si>
  <si>
    <t>Tipo</t>
  </si>
  <si>
    <t>Descripción</t>
  </si>
  <si>
    <t>P</t>
  </si>
  <si>
    <t>M</t>
  </si>
  <si>
    <t>B</t>
  </si>
  <si>
    <t>Patrón</t>
  </si>
  <si>
    <t>Muestra</t>
  </si>
  <si>
    <t>Blanco</t>
  </si>
  <si>
    <t>Promedio
Blancos</t>
  </si>
  <si>
    <t>Blanco 1</t>
  </si>
  <si>
    <t>Blanco 2</t>
  </si>
  <si>
    <t>CE a 25ºC dS/m
(034)</t>
  </si>
  <si>
    <t>Temperatura ºC</t>
  </si>
  <si>
    <t>Com Port</t>
  </si>
  <si>
    <t>Baud Rate</t>
  </si>
  <si>
    <t>Parity</t>
  </si>
  <si>
    <t>N</t>
  </si>
  <si>
    <t>Data Bits</t>
  </si>
  <si>
    <t>Stop Bits</t>
  </si>
  <si>
    <t>DATOS DE CONEXIÓN</t>
  </si>
  <si>
    <t>DATOS DE CALIBRACIÓN</t>
  </si>
  <si>
    <t>CE Medida</t>
  </si>
  <si>
    <t>Tiempo de estabilización</t>
  </si>
  <si>
    <t>UNIDADES CE</t>
  </si>
  <si>
    <t>Posición</t>
  </si>
  <si>
    <t>_x000D_</t>
  </si>
  <si>
    <t>OCULTA</t>
  </si>
  <si>
    <t>Cerrado</t>
  </si>
  <si>
    <t>Nombre Patrones</t>
  </si>
  <si>
    <t>CE Medida
µS/cm</t>
  </si>
  <si>
    <t>CE</t>
  </si>
  <si>
    <t>Evaluación ()</t>
  </si>
  <si>
    <t>Balanza</t>
  </si>
  <si>
    <t>Fecha</t>
  </si>
  <si>
    <t>Firma</t>
  </si>
  <si>
    <t>Tª agua</t>
  </si>
  <si>
    <t>Pesada muestras</t>
  </si>
  <si>
    <t>Medida de CE</t>
  </si>
  <si>
    <t>Balanzas</t>
  </si>
  <si>
    <t>SU120</t>
  </si>
  <si>
    <t>SU143</t>
  </si>
  <si>
    <t>UNIDADES
/cm</t>
  </si>
  <si>
    <t>us</t>
  </si>
  <si>
    <t>ms</t>
  </si>
  <si>
    <t>Conductivi.</t>
  </si>
  <si>
    <t>Conductivímetros</t>
  </si>
  <si>
    <t>SU025</t>
  </si>
  <si>
    <t>SU131</t>
  </si>
  <si>
    <t>P-50 I</t>
  </si>
  <si>
    <t>P-147 I</t>
  </si>
  <si>
    <t>P-500 I</t>
  </si>
  <si>
    <t>P-1413 I</t>
  </si>
  <si>
    <t>P-50 F</t>
  </si>
  <si>
    <t>P-147 F</t>
  </si>
  <si>
    <t>P-500 F</t>
  </si>
  <si>
    <t>P-1413 F</t>
  </si>
  <si>
    <t>R-</t>
  </si>
  <si>
    <t>Pat. Conduc.</t>
  </si>
  <si>
    <t>Patrones</t>
  </si>
  <si>
    <t>Comercial</t>
  </si>
  <si>
    <t>Laboratorio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</si>
</sst>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0"/>
      <name val="Arial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3" fillId="0" borderId="0"/>
    <xf numFmtId="0" fontId="7" fillId="4" borderId="0" applyNumberFormat="0" applyBorder="0" applyAlignment="0" applyProtection="0"/>
  </cellStyleXfs>
  <cellXfs count="38">
    <xf numFmtId="0" fontId="0" fillId="0" borderId="0" xfId="0"/>
    <xf numFmtId="0" fontId="3" fillId="0" borderId="0" xfId="0" applyFont="1"/>
    <xf numFmtId="0" fontId="0" fillId="0" borderId="0" xfId="0" applyAlignment="1" applyProtection="1">
      <alignment horizontal="center"/>
    </xf>
    <xf numFmtId="0" fontId="5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/>
    </xf>
    <xf numFmtId="0" fontId="2" fillId="2" borderId="7" xfId="0" applyNumberFormat="1" applyFont="1" applyFill="1" applyBorder="1" applyAlignment="1">
      <alignment horizontal="center" vertical="center"/>
    </xf>
    <xf numFmtId="0" fontId="2" fillId="2" borderId="5" xfId="0" applyNumberFormat="1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/>
    </xf>
    <xf numFmtId="0" fontId="1" fillId="0" borderId="5" xfId="1" applyNumberFormat="1" applyFont="1" applyBorder="1" applyAlignment="1">
      <alignment horizontal="center" wrapText="1"/>
    </xf>
    <xf numFmtId="0" fontId="0" fillId="0" borderId="0" xfId="0" applyNumberFormat="1" applyAlignment="1" applyProtection="1">
      <alignment horizontal="center"/>
    </xf>
    <xf numFmtId="0" fontId="1" fillId="0" borderId="5" xfId="1" applyNumberFormat="1" applyFont="1" applyBorder="1" applyAlignment="1" applyProtection="1">
      <alignment horizontal="center" vertical="center"/>
      <protection locked="0"/>
    </xf>
    <xf numFmtId="0" fontId="1" fillId="0" borderId="5" xfId="1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NumberFormat="1" applyAlignment="1" applyProtection="1">
      <alignment horizontal="center" vertical="center"/>
    </xf>
    <xf numFmtId="0" fontId="1" fillId="0" borderId="1" xfId="1" applyNumberFormat="1" applyFont="1" applyBorder="1" applyAlignment="1" applyProtection="1">
      <alignment horizontal="center"/>
      <protection locked="0"/>
    </xf>
    <xf numFmtId="0" fontId="5" fillId="0" borderId="1" xfId="0" applyFont="1" applyBorder="1"/>
    <xf numFmtId="0" fontId="1" fillId="0" borderId="5" xfId="1" applyNumberFormat="1" applyFont="1" applyBorder="1" applyAlignment="1" applyProtection="1">
      <alignment horizontal="center" vertical="center"/>
    </xf>
    <xf numFmtId="0" fontId="6" fillId="4" borderId="1" xfId="2" applyFont="1" applyBorder="1"/>
    <xf numFmtId="0" fontId="0" fillId="0" borderId="1" xfId="0" applyBorder="1"/>
    <xf numFmtId="0" fontId="8" fillId="0" borderId="0" xfId="0" applyFont="1" applyBorder="1" applyProtection="1">
      <protection locked="0"/>
    </xf>
    <xf numFmtId="14" fontId="1" fillId="0" borderId="1" xfId="1" applyNumberFormat="1" applyFont="1" applyBorder="1" applyAlignment="1" applyProtection="1">
      <alignment horizontal="center"/>
      <protection locked="0"/>
    </xf>
    <xf numFmtId="1" fontId="1" fillId="0" borderId="1" xfId="1" applyNumberFormat="1" applyFont="1" applyBorder="1" applyAlignment="1" applyProtection="1">
      <alignment horizontal="center"/>
      <protection locked="0"/>
    </xf>
    <xf numFmtId="14" fontId="1" fillId="0" borderId="5" xfId="1" applyNumberFormat="1" applyFont="1" applyBorder="1" applyAlignment="1" applyProtection="1">
      <alignment horizontal="center"/>
    </xf>
    <xf numFmtId="0" fontId="2" fillId="0" borderId="1" xfId="1" applyNumberFormat="1" applyFont="1" applyBorder="1" applyAlignment="1" applyProtection="1">
      <alignment horizontal="center"/>
    </xf>
    <xf numFmtId="2" fontId="1" fillId="0" borderId="5" xfId="1" applyNumberFormat="1" applyFont="1" applyBorder="1" applyAlignment="1" applyProtection="1">
      <alignment horizontal="center"/>
    </xf>
    <xf numFmtId="0" fontId="3" fillId="0" borderId="1" xfId="0" applyFont="1" applyBorder="1"/>
    <xf numFmtId="0" fontId="5" fillId="0" borderId="3" xfId="0" applyNumberFormat="1" applyFont="1" applyBorder="1" applyAlignment="1" applyProtection="1"/>
    <xf numFmtId="0" fontId="5" fillId="0" borderId="6" xfId="0" applyNumberFormat="1" applyFont="1" applyBorder="1" applyAlignment="1" applyProtection="1"/>
    <xf numFmtId="164" fontId="1" fillId="0" borderId="1" xfId="0" applyNumberFormat="1" applyFont="1" applyBorder="1" applyAlignment="1">
      <alignment horizontal="center"/>
    </xf>
    <xf numFmtId="0" fontId="2" fillId="2" borderId="3" xfId="0" applyNumberFormat="1" applyFont="1" applyFill="1" applyBorder="1" applyAlignment="1" applyProtection="1">
      <alignment horizontal="center" vertical="center"/>
    </xf>
    <xf numFmtId="0" fontId="2" fillId="2" borderId="2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6" xfId="0" applyNumberFormat="1" applyFont="1" applyBorder="1" applyAlignment="1" applyProtection="1">
      <alignment horizontal="center"/>
    </xf>
    <xf numFmtId="0" fontId="5" fillId="0" borderId="2" xfId="0" applyNumberFormat="1" applyFont="1" applyBorder="1" applyAlignment="1" applyProtection="1">
      <alignment horizontal="center"/>
    </xf>
    <xf numFmtId="0" fontId="5" fillId="0" borderId="1" xfId="0" applyFont="1" applyBorder="1" applyAlignment="1">
      <alignment horizontal="center"/>
    </xf>
  </cellXfs>
  <cellStyles count="3">
    <cellStyle name="60% - Énfasis2" xfId="2" builtinId="36"/>
    <cellStyle name="Normal" xfId="0" builtinId="0"/>
    <cellStyle name="Normal 2" xfId="1"/>
  </cellStyles>
  <dxfs count="16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  <dxf>
      <font>
        <color auto="1"/>
      </font>
      <fill>
        <patternFill>
          <bgColor rgb="FFFF757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colors>
    <mruColors>
      <color rgb="FFFF7575"/>
      <color rgb="FFFF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1:B4" totalsRowShown="0" headerRowDxfId="15" dataDxfId="14">
  <autoFilter ref="A1:B4"/>
  <tableColumns count="2">
    <tableColumn id="1" name="Tipo" dataDxfId="13"/>
    <tableColumn id="2" name="Descripció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F1:F3" totalsRowShown="0" headerRowDxfId="11" dataDxfId="10">
  <autoFilter ref="F1:F3"/>
  <tableColumns count="1">
    <tableColumn id="1" name="UNIDADES C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79"/>
  <sheetViews>
    <sheetView tabSelected="1" zoomScaleNormal="100" workbookViewId="0">
      <selection activeCell="A8" sqref="A8"/>
    </sheetView>
  </sheetViews>
  <sheetFormatPr baseColWidth="10" defaultColWidth="11.44140625" defaultRowHeight="13.2" x14ac:dyDescent="0.25"/>
  <cols>
    <col min="1" max="1" width="14.33203125" style="11" bestFit="1" customWidth="1"/>
    <col min="2" max="3" width="11.44140625" style="11" hidden="1" customWidth="1"/>
    <col min="4" max="4" width="11.44140625" style="11" customWidth="1"/>
    <col min="5" max="5" width="11.44140625" style="16" customWidth="1"/>
    <col min="6" max="6" width="14.44140625" style="16" bestFit="1" customWidth="1"/>
    <col min="7" max="9" width="14.44140625" style="16" customWidth="1"/>
    <col min="10" max="10" width="4.6640625" style="11" hidden="1" customWidth="1"/>
    <col min="11" max="11" width="10.33203125" style="11" customWidth="1"/>
    <col min="12" max="12" width="12.109375" style="11" customWidth="1"/>
    <col min="13" max="13" width="20.109375" style="2" bestFit="1" customWidth="1"/>
    <col min="14" max="14" width="13" style="15" customWidth="1"/>
    <col min="15" max="16384" width="11.44140625" style="15"/>
  </cols>
  <sheetData>
    <row r="1" spans="1:15" s="14" customFormat="1" ht="38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27</v>
      </c>
      <c r="F1" s="8" t="s">
        <v>24</v>
      </c>
      <c r="G1" s="9" t="s">
        <v>44</v>
      </c>
      <c r="H1" s="9" t="s">
        <v>15</v>
      </c>
      <c r="I1" s="9" t="s">
        <v>25</v>
      </c>
      <c r="J1" s="9" t="s">
        <v>29</v>
      </c>
      <c r="K1" s="9" t="s">
        <v>32</v>
      </c>
      <c r="L1" s="9" t="s">
        <v>11</v>
      </c>
      <c r="M1" s="5" t="s">
        <v>14</v>
      </c>
    </row>
    <row r="2" spans="1:15" x14ac:dyDescent="0.25">
      <c r="A2" s="13" t="s">
        <v>51</v>
      </c>
      <c r="B2" s="25" t="str">
        <f>IF($O$14="","",$O$14)</f>
        <v/>
      </c>
      <c r="C2" s="27" t="str">
        <f>IF($O$15="","",$O$15)</f>
        <v/>
      </c>
      <c r="D2" s="13" t="s">
        <v>5</v>
      </c>
      <c r="E2" s="12"/>
      <c r="F2" s="12"/>
      <c r="G2" s="12"/>
      <c r="H2" s="12"/>
      <c r="I2" s="12"/>
      <c r="J2" s="13"/>
      <c r="K2" s="19" t="str">
        <f>IF(F2="","",IF(OR(G2="",G2="us"),F2,F2*1000))</f>
        <v/>
      </c>
      <c r="L2" s="10" t="str">
        <f>IF(K2="","",IF(D2="B",AVERAGEIF(D:D,"B",K:K),""))</f>
        <v/>
      </c>
      <c r="M2" s="6" t="str">
        <f>IF(OR(A2="",B2="",C2="",D2="",K2=""),"",IF(D2="B",K2/1000,IF(D2="P","",IF(K2&lt;99.5,MEDIAPAR((K2)/1000,3),FIXED(MEDIAPAR((K2)/1000,2),2)))))</f>
        <v/>
      </c>
    </row>
    <row r="3" spans="1:15" x14ac:dyDescent="0.25">
      <c r="A3" s="13" t="s">
        <v>52</v>
      </c>
      <c r="B3" s="25" t="str">
        <f t="shared" ref="B3:B60" si="0">IF($O$14="","",$O$14)</f>
        <v/>
      </c>
      <c r="C3" s="27" t="str">
        <f t="shared" ref="C3:C60" si="1">IF($O$15="","",$O$15)</f>
        <v/>
      </c>
      <c r="D3" s="13" t="s">
        <v>5</v>
      </c>
      <c r="E3" s="12"/>
      <c r="F3" s="12"/>
      <c r="G3" s="12"/>
      <c r="H3" s="12"/>
      <c r="I3" s="12"/>
      <c r="J3" s="13" t="s">
        <v>28</v>
      </c>
      <c r="K3" s="19" t="str">
        <f t="shared" ref="K3:K60" si="2">IF(F3="","",IF(OR(G3="",G3="us"),F3,F3*1000))</f>
        <v/>
      </c>
      <c r="L3" s="10" t="str">
        <f t="shared" ref="L3:L60" si="3">IF(K3="","",IF(D3="B",AVERAGEIF(D:D,"B",K:K),""))</f>
        <v/>
      </c>
      <c r="M3" s="6" t="str">
        <f>IF(OR(A3="",B3="",C3="",D3="",K3=""),"",IF(D3="B",K3/1000,IF(D3="P","",IF(K3&lt;99.5,MEDIAPAR((K3)/1000,3),FIXED(MEDIAPAR((K3)/1000,2),2)))))</f>
        <v/>
      </c>
    </row>
    <row r="4" spans="1:15" x14ac:dyDescent="0.25">
      <c r="A4" s="13" t="s">
        <v>53</v>
      </c>
      <c r="B4" s="25" t="str">
        <f t="shared" si="0"/>
        <v/>
      </c>
      <c r="C4" s="27" t="str">
        <f t="shared" si="1"/>
        <v/>
      </c>
      <c r="D4" s="13" t="s">
        <v>5</v>
      </c>
      <c r="E4" s="12"/>
      <c r="F4" s="12"/>
      <c r="G4" s="12"/>
      <c r="H4" s="12"/>
      <c r="I4" s="12"/>
      <c r="J4" s="13" t="s">
        <v>28</v>
      </c>
      <c r="K4" s="19" t="str">
        <f t="shared" si="2"/>
        <v/>
      </c>
      <c r="L4" s="10" t="str">
        <f t="shared" si="3"/>
        <v/>
      </c>
      <c r="M4" s="6" t="str">
        <f>IF(OR(A4="",B4="",C4="",D4="",K4=""),"",IF(D4="B",K4/1000,IF(D4="P","",IF(K4&lt;99.5,MEDIAPAR((K4)/1000,3),FIXED(MEDIAPAR((K4)/1000,2),2)))))</f>
        <v/>
      </c>
    </row>
    <row r="5" spans="1:15" x14ac:dyDescent="0.25">
      <c r="A5" s="13" t="s">
        <v>54</v>
      </c>
      <c r="B5" s="25" t="str">
        <f t="shared" si="0"/>
        <v/>
      </c>
      <c r="C5" s="27" t="str">
        <f t="shared" si="1"/>
        <v/>
      </c>
      <c r="D5" s="13" t="s">
        <v>5</v>
      </c>
      <c r="E5" s="12"/>
      <c r="F5" s="12"/>
      <c r="G5" s="12"/>
      <c r="H5" s="12"/>
      <c r="I5" s="12"/>
      <c r="J5" s="13" t="s">
        <v>28</v>
      </c>
      <c r="K5" s="19" t="str">
        <f t="shared" si="2"/>
        <v/>
      </c>
      <c r="L5" s="10" t="str">
        <f t="shared" si="3"/>
        <v/>
      </c>
      <c r="M5" s="6" t="str">
        <f>IF(OR(A5="",B5="",C5="",D5="",K5=""),"",IF(D5="B",K5/1000,IF(D5="P","",IF(K5&lt;99.5,MEDIAPAR((K5)/1000,3),FIXED(MEDIAPAR((K5)/1000,2),2)))))</f>
        <v/>
      </c>
    </row>
    <row r="6" spans="1:15" x14ac:dyDescent="0.25">
      <c r="A6" s="13" t="s">
        <v>12</v>
      </c>
      <c r="B6" s="25" t="str">
        <f t="shared" si="0"/>
        <v/>
      </c>
      <c r="C6" s="27" t="str">
        <f t="shared" si="1"/>
        <v/>
      </c>
      <c r="D6" s="13" t="s">
        <v>7</v>
      </c>
      <c r="E6" s="12"/>
      <c r="F6" s="12"/>
      <c r="G6" s="12"/>
      <c r="H6" s="12"/>
      <c r="I6" s="12"/>
      <c r="J6" s="13" t="s">
        <v>28</v>
      </c>
      <c r="K6" s="19" t="str">
        <f t="shared" si="2"/>
        <v/>
      </c>
      <c r="L6" s="10" t="str">
        <f t="shared" si="3"/>
        <v/>
      </c>
      <c r="M6" s="6" t="str">
        <f>IF(OR(A6="",B6="",C6="",D6="",K6=""),"",IF(D6="B",K6/1000,IF(D6="P","",IF(K6&lt;99.5,MEDIAPAR((K6)/1000,3),FIXED(MEDIAPAR((K6)/1000,2),2)))))</f>
        <v/>
      </c>
    </row>
    <row r="7" spans="1:15" x14ac:dyDescent="0.25">
      <c r="A7" s="13" t="s">
        <v>13</v>
      </c>
      <c r="B7" s="25" t="str">
        <f t="shared" si="0"/>
        <v/>
      </c>
      <c r="C7" s="27" t="str">
        <f t="shared" si="1"/>
        <v/>
      </c>
      <c r="D7" s="13" t="s">
        <v>7</v>
      </c>
      <c r="E7" s="12"/>
      <c r="F7" s="12"/>
      <c r="G7" s="12"/>
      <c r="H7" s="12"/>
      <c r="I7" s="12"/>
      <c r="J7" s="13" t="s">
        <v>28</v>
      </c>
      <c r="K7" s="19" t="str">
        <f t="shared" si="2"/>
        <v/>
      </c>
      <c r="L7" s="10" t="str">
        <f t="shared" si="3"/>
        <v/>
      </c>
      <c r="M7" s="6" t="str">
        <f>IF(OR(A7="",B7="",C7="",D7="",K7=""),"",IF(D7="B",K7/1000,IF(D7="P","",IF(K7&lt;99.5,MEDIAPAR((K7)/1000,3),FIXED(MEDIAPAR((K7)/1000,2),2)))))</f>
        <v/>
      </c>
    </row>
    <row r="8" spans="1:15" x14ac:dyDescent="0.25">
      <c r="A8" s="13"/>
      <c r="B8" s="25" t="str">
        <f t="shared" si="0"/>
        <v/>
      </c>
      <c r="C8" s="27" t="str">
        <f t="shared" si="1"/>
        <v/>
      </c>
      <c r="D8" s="13" t="s">
        <v>6</v>
      </c>
      <c r="E8" s="12"/>
      <c r="F8" s="12"/>
      <c r="G8" s="12"/>
      <c r="H8" s="12"/>
      <c r="I8" s="12"/>
      <c r="J8" s="13" t="s">
        <v>28</v>
      </c>
      <c r="K8" s="19" t="str">
        <f t="shared" si="2"/>
        <v/>
      </c>
      <c r="L8" s="10" t="str">
        <f t="shared" si="3"/>
        <v/>
      </c>
      <c r="M8" s="6" t="str">
        <f>IF(OR(A8="",B8="",C8="",D8="",K8=""),"",IF(D8="B",K8/1000,IF(D8="P","",IF(K8&lt;99.5,MEDIAPAR((K8)/1000,3),FIXED(MEDIAPAR((K8)/1000,2),2)))))</f>
        <v/>
      </c>
    </row>
    <row r="9" spans="1:15" x14ac:dyDescent="0.25">
      <c r="A9" s="13"/>
      <c r="B9" s="25" t="str">
        <f t="shared" si="0"/>
        <v/>
      </c>
      <c r="C9" s="27" t="str">
        <f t="shared" si="1"/>
        <v/>
      </c>
      <c r="D9" s="13" t="s">
        <v>6</v>
      </c>
      <c r="E9" s="12"/>
      <c r="F9" s="12"/>
      <c r="G9" s="12"/>
      <c r="H9" s="12"/>
      <c r="I9" s="12"/>
      <c r="J9" s="13" t="s">
        <v>28</v>
      </c>
      <c r="K9" s="19" t="str">
        <f t="shared" si="2"/>
        <v/>
      </c>
      <c r="L9" s="10" t="str">
        <f t="shared" si="3"/>
        <v/>
      </c>
      <c r="M9" s="6" t="str">
        <f>IF(OR(A9="",B9="",C9="",D9="",K9=""),"",IF(D9="B",K9/1000,IF(D9="P","",IF(K9&lt;99.5,MEDIAPAR((K9)/1000,3),FIXED(MEDIAPAR((K9)/1000,2),2)))))</f>
        <v/>
      </c>
      <c r="O9" s="22" t="s">
        <v>30</v>
      </c>
    </row>
    <row r="10" spans="1:15" x14ac:dyDescent="0.25">
      <c r="A10" s="13"/>
      <c r="B10" s="25" t="str">
        <f t="shared" si="0"/>
        <v/>
      </c>
      <c r="C10" s="27" t="str">
        <f t="shared" si="1"/>
        <v/>
      </c>
      <c r="D10" s="13" t="s">
        <v>6</v>
      </c>
      <c r="E10" s="12"/>
      <c r="F10" s="12"/>
      <c r="G10" s="12"/>
      <c r="H10" s="12"/>
      <c r="I10" s="12"/>
      <c r="J10" s="13" t="s">
        <v>28</v>
      </c>
      <c r="K10" s="19" t="str">
        <f t="shared" si="2"/>
        <v/>
      </c>
      <c r="L10" s="10" t="str">
        <f t="shared" si="3"/>
        <v/>
      </c>
      <c r="M10" s="6" t="str">
        <f>IF(OR(A10="",B10="",C10="",D10="",K10=""),"",IF(D10="B",K10/1000,IF(D10="P","",IF(K10&lt;99.5,MEDIAPAR((K10)/1000,3),FIXED(MEDIAPAR((K10)/1000,2),2)))))</f>
        <v/>
      </c>
    </row>
    <row r="11" spans="1:15" x14ac:dyDescent="0.25">
      <c r="A11" s="13"/>
      <c r="B11" s="25" t="str">
        <f t="shared" si="0"/>
        <v/>
      </c>
      <c r="C11" s="27" t="str">
        <f t="shared" si="1"/>
        <v/>
      </c>
      <c r="D11" s="13" t="s">
        <v>6</v>
      </c>
      <c r="E11" s="12"/>
      <c r="F11" s="12"/>
      <c r="G11" s="12"/>
      <c r="H11" s="12"/>
      <c r="I11" s="12"/>
      <c r="J11" s="13" t="s">
        <v>28</v>
      </c>
      <c r="K11" s="19" t="str">
        <f t="shared" si="2"/>
        <v/>
      </c>
      <c r="L11" s="10" t="str">
        <f t="shared" si="3"/>
        <v/>
      </c>
      <c r="M11" s="6" t="str">
        <f>IF(OR(A11="",B11="",C11="",D11="",K11=""),"",IF(D11="B",K11/1000,IF(D11="P","",IF(K11&lt;99.5,MEDIAPAR((K11)/1000,3),FIXED(MEDIAPAR((K11)/1000,2),2)))))</f>
        <v/>
      </c>
    </row>
    <row r="12" spans="1:15" x14ac:dyDescent="0.25">
      <c r="A12" s="13"/>
      <c r="B12" s="25" t="str">
        <f t="shared" si="0"/>
        <v/>
      </c>
      <c r="C12" s="27" t="str">
        <f t="shared" si="1"/>
        <v/>
      </c>
      <c r="D12" s="13" t="s">
        <v>6</v>
      </c>
      <c r="E12" s="12"/>
      <c r="F12" s="12"/>
      <c r="G12" s="12"/>
      <c r="H12" s="12"/>
      <c r="I12" s="12"/>
      <c r="J12" s="13" t="s">
        <v>28</v>
      </c>
      <c r="K12" s="19" t="str">
        <f t="shared" si="2"/>
        <v/>
      </c>
      <c r="L12" s="10" t="str">
        <f t="shared" si="3"/>
        <v/>
      </c>
      <c r="M12" s="6" t="str">
        <f>IF(OR(A12="",B12="",C12="",D12="",K12=""),"",IF(D12="B",K12/1000,IF(D12="P","",IF(K12&lt;99.5,MEDIAPAR((K12)/1000,3),FIXED(MEDIAPAR((K12)/1000,2),2)))))</f>
        <v/>
      </c>
      <c r="N12" s="32" t="s">
        <v>39</v>
      </c>
      <c r="O12" s="33"/>
    </row>
    <row r="13" spans="1:15" x14ac:dyDescent="0.25">
      <c r="A13" s="13"/>
      <c r="B13" s="25" t="str">
        <f t="shared" si="0"/>
        <v/>
      </c>
      <c r="C13" s="27" t="str">
        <f t="shared" si="1"/>
        <v/>
      </c>
      <c r="D13" s="13" t="s">
        <v>6</v>
      </c>
      <c r="E13" s="12"/>
      <c r="F13" s="12"/>
      <c r="G13" s="12"/>
      <c r="H13" s="12"/>
      <c r="I13" s="12"/>
      <c r="J13" s="13" t="s">
        <v>28</v>
      </c>
      <c r="K13" s="19" t="str">
        <f t="shared" si="2"/>
        <v/>
      </c>
      <c r="L13" s="10" t="str">
        <f t="shared" si="3"/>
        <v/>
      </c>
      <c r="M13" s="6" t="str">
        <f>IF(OR(A13="",B13="",C13="",D13="",K13=""),"",IF(D13="B",K13/1000,IF(D13="P","",IF(K13&lt;99.5,MEDIAPAR((K13)/1000,3),FIXED(MEDIAPAR((K13)/1000,2),2)))))</f>
        <v/>
      </c>
      <c r="N13" s="26" t="s">
        <v>35</v>
      </c>
      <c r="O13" s="17"/>
    </row>
    <row r="14" spans="1:15" x14ac:dyDescent="0.25">
      <c r="A14" s="13"/>
      <c r="B14" s="25" t="str">
        <f t="shared" si="0"/>
        <v/>
      </c>
      <c r="C14" s="27" t="str">
        <f t="shared" si="1"/>
        <v/>
      </c>
      <c r="D14" s="13" t="s">
        <v>6</v>
      </c>
      <c r="E14" s="12"/>
      <c r="F14" s="12"/>
      <c r="G14" s="12"/>
      <c r="H14" s="12"/>
      <c r="I14" s="12"/>
      <c r="J14" s="13" t="s">
        <v>28</v>
      </c>
      <c r="K14" s="19" t="str">
        <f t="shared" si="2"/>
        <v/>
      </c>
      <c r="L14" s="10" t="str">
        <f t="shared" si="3"/>
        <v/>
      </c>
      <c r="M14" s="6" t="str">
        <f>IF(OR(A14="",B14="",C14="",D14="",K14=""),"",IF(D14="B",K14/1000,IF(D14="P","",IF(K14&lt;99.5,MEDIAPAR((K14)/1000,3),FIXED(MEDIAPAR((K14)/1000,2),2)))))</f>
        <v/>
      </c>
      <c r="N14" s="26" t="s">
        <v>36</v>
      </c>
      <c r="O14" s="23"/>
    </row>
    <row r="15" spans="1:15" x14ac:dyDescent="0.25">
      <c r="A15" s="13"/>
      <c r="B15" s="25" t="str">
        <f t="shared" si="0"/>
        <v/>
      </c>
      <c r="C15" s="27" t="str">
        <f t="shared" si="1"/>
        <v/>
      </c>
      <c r="D15" s="13" t="s">
        <v>6</v>
      </c>
      <c r="E15" s="12"/>
      <c r="F15" s="12"/>
      <c r="G15" s="12"/>
      <c r="H15" s="12"/>
      <c r="I15" s="12"/>
      <c r="J15" s="13" t="s">
        <v>28</v>
      </c>
      <c r="K15" s="19" t="str">
        <f t="shared" si="2"/>
        <v/>
      </c>
      <c r="L15" s="10" t="str">
        <f t="shared" si="3"/>
        <v/>
      </c>
      <c r="M15" s="6" t="str">
        <f>IF(OR(A15="",B15="",C15="",D15="",K15=""),"",IF(D15="B",K15/1000,IF(D15="P","",IF(K15&lt;99.5,MEDIAPAR((K15)/1000,3),FIXED(MEDIAPAR((K15)/1000,2),2)))))</f>
        <v/>
      </c>
      <c r="N15" s="26" t="s">
        <v>2</v>
      </c>
      <c r="O15" s="17"/>
    </row>
    <row r="16" spans="1:15" x14ac:dyDescent="0.25">
      <c r="A16" s="13"/>
      <c r="B16" s="25" t="str">
        <f t="shared" si="0"/>
        <v/>
      </c>
      <c r="C16" s="27" t="str">
        <f t="shared" si="1"/>
        <v/>
      </c>
      <c r="D16" s="13" t="s">
        <v>6</v>
      </c>
      <c r="E16" s="12"/>
      <c r="F16" s="12"/>
      <c r="G16" s="12"/>
      <c r="H16" s="12"/>
      <c r="I16" s="12"/>
      <c r="J16" s="13" t="s">
        <v>28</v>
      </c>
      <c r="K16" s="19" t="str">
        <f t="shared" si="2"/>
        <v/>
      </c>
      <c r="L16" s="10" t="str">
        <f t="shared" si="3"/>
        <v/>
      </c>
      <c r="M16" s="6" t="str">
        <f>IF(OR(A16="",B16="",C16="",D16="",K16=""),"",IF(D16="B",K16/1000,IF(D16="P","",IF(K16&lt;99.5,MEDIAPAR((K16)/1000,3),FIXED(MEDIAPAR((K16)/1000,2),2)))))</f>
        <v/>
      </c>
      <c r="N16" s="26" t="s">
        <v>37</v>
      </c>
      <c r="O16" s="17"/>
    </row>
    <row r="17" spans="1:15" x14ac:dyDescent="0.25">
      <c r="A17" s="13"/>
      <c r="B17" s="25" t="str">
        <f t="shared" si="0"/>
        <v/>
      </c>
      <c r="C17" s="27" t="str">
        <f t="shared" si="1"/>
        <v/>
      </c>
      <c r="D17" s="13" t="s">
        <v>6</v>
      </c>
      <c r="E17" s="12"/>
      <c r="F17" s="12"/>
      <c r="G17" s="12"/>
      <c r="H17" s="12"/>
      <c r="I17" s="12"/>
      <c r="J17" s="13" t="s">
        <v>28</v>
      </c>
      <c r="K17" s="19" t="str">
        <f t="shared" si="2"/>
        <v/>
      </c>
      <c r="L17" s="10" t="str">
        <f t="shared" si="3"/>
        <v/>
      </c>
      <c r="M17" s="6" t="str">
        <f>IF(OR(A17="",B17="",C17="",D17="",K17=""),"",IF(D17="B",K17/1000,IF(D17="P","",IF(K17&lt;99.5,MEDIAPAR((K17)/1000,3),FIXED(MEDIAPAR((K17)/1000,2),2)))))</f>
        <v/>
      </c>
      <c r="N17" s="32" t="s">
        <v>40</v>
      </c>
      <c r="O17" s="33"/>
    </row>
    <row r="18" spans="1:15" x14ac:dyDescent="0.25">
      <c r="A18" s="13"/>
      <c r="B18" s="25" t="str">
        <f t="shared" si="0"/>
        <v/>
      </c>
      <c r="C18" s="27" t="str">
        <f t="shared" si="1"/>
        <v/>
      </c>
      <c r="D18" s="13" t="s">
        <v>6</v>
      </c>
      <c r="E18" s="12"/>
      <c r="F18" s="12"/>
      <c r="G18" s="12"/>
      <c r="H18" s="12"/>
      <c r="I18" s="12"/>
      <c r="J18" s="13" t="s">
        <v>28</v>
      </c>
      <c r="K18" s="19" t="str">
        <f t="shared" si="2"/>
        <v/>
      </c>
      <c r="L18" s="10" t="str">
        <f t="shared" si="3"/>
        <v/>
      </c>
      <c r="M18" s="6" t="str">
        <f>IF(OR(A18="",B18="",C18="",D18="",K18=""),"",IF(D18="B",K18/1000,IF(D18="P","",IF(K18&lt;99.5,MEDIAPAR((K18)/1000,3),FIXED(MEDIAPAR((K18)/1000,2),2)))))</f>
        <v/>
      </c>
      <c r="N18" s="26" t="s">
        <v>38</v>
      </c>
      <c r="O18" s="24"/>
    </row>
    <row r="19" spans="1:15" x14ac:dyDescent="0.25">
      <c r="A19" s="13"/>
      <c r="B19" s="25" t="str">
        <f t="shared" si="0"/>
        <v/>
      </c>
      <c r="C19" s="27" t="str">
        <f t="shared" si="1"/>
        <v/>
      </c>
      <c r="D19" s="13" t="s">
        <v>6</v>
      </c>
      <c r="E19" s="12"/>
      <c r="F19" s="12"/>
      <c r="G19" s="12"/>
      <c r="H19" s="12"/>
      <c r="I19" s="12"/>
      <c r="J19" s="13" t="s">
        <v>28</v>
      </c>
      <c r="K19" s="19" t="str">
        <f t="shared" si="2"/>
        <v/>
      </c>
      <c r="L19" s="10" t="str">
        <f t="shared" si="3"/>
        <v/>
      </c>
      <c r="M19" s="6" t="str">
        <f>IF(OR(A19="",B19="",C19="",D19="",K19=""),"",IF(D19="B",K19/1000,IF(D19="P","",IF(K19&lt;99.5,MEDIAPAR((K19)/1000,3),FIXED(MEDIAPAR((K19)/1000,2),2)))))</f>
        <v/>
      </c>
      <c r="N19" s="26" t="s">
        <v>47</v>
      </c>
      <c r="O19" s="23"/>
    </row>
    <row r="20" spans="1:15" x14ac:dyDescent="0.25">
      <c r="A20" s="13"/>
      <c r="B20" s="25" t="str">
        <f t="shared" si="0"/>
        <v/>
      </c>
      <c r="C20" s="27" t="str">
        <f t="shared" si="1"/>
        <v/>
      </c>
      <c r="D20" s="13" t="s">
        <v>6</v>
      </c>
      <c r="E20" s="12"/>
      <c r="F20" s="12"/>
      <c r="G20" s="12"/>
      <c r="H20" s="12"/>
      <c r="I20" s="12"/>
      <c r="J20" s="13" t="s">
        <v>28</v>
      </c>
      <c r="K20" s="19" t="str">
        <f t="shared" si="2"/>
        <v/>
      </c>
      <c r="L20" s="10" t="str">
        <f t="shared" si="3"/>
        <v/>
      </c>
      <c r="M20" s="6" t="str">
        <f>IF(OR(A20="",B20="",C20="",D20="",K20=""),"",IF(D20="B",K20/1000,IF(D20="P","",IF(K20&lt;99.5,MEDIAPAR((K20)/1000,3),FIXED(MEDIAPAR((K20)/1000,2),2)))))</f>
        <v/>
      </c>
      <c r="N20" s="26" t="s">
        <v>60</v>
      </c>
      <c r="O20" s="23"/>
    </row>
    <row r="21" spans="1:15" ht="12.75" customHeight="1" x14ac:dyDescent="0.25">
      <c r="A21" s="13"/>
      <c r="B21" s="25" t="str">
        <f t="shared" si="0"/>
        <v/>
      </c>
      <c r="C21" s="27" t="str">
        <f t="shared" si="1"/>
        <v/>
      </c>
      <c r="D21" s="13" t="s">
        <v>6</v>
      </c>
      <c r="E21" s="12"/>
      <c r="F21" s="12"/>
      <c r="G21" s="12"/>
      <c r="H21" s="12"/>
      <c r="I21" s="12"/>
      <c r="J21" s="13" t="s">
        <v>28</v>
      </c>
      <c r="K21" s="19" t="str">
        <f t="shared" si="2"/>
        <v/>
      </c>
      <c r="L21" s="10" t="str">
        <f t="shared" si="3"/>
        <v/>
      </c>
      <c r="M21" s="6" t="str">
        <f>IF(OR(A21="",B21="",C21="",D21="",K21=""),"",IF(D21="B",K21/1000,IF(D21="P","",IF(K21&lt;99.5,MEDIAPAR((K21)/1000,3),FIXED(MEDIAPAR((K21)/1000,2),2)))))</f>
        <v/>
      </c>
      <c r="N21" s="26" t="s">
        <v>36</v>
      </c>
      <c r="O21" s="23"/>
    </row>
    <row r="22" spans="1:15" x14ac:dyDescent="0.25">
      <c r="A22" s="13"/>
      <c r="B22" s="25" t="str">
        <f t="shared" si="0"/>
        <v/>
      </c>
      <c r="C22" s="27" t="str">
        <f t="shared" si="1"/>
        <v/>
      </c>
      <c r="D22" s="13" t="s">
        <v>6</v>
      </c>
      <c r="E22" s="12"/>
      <c r="F22" s="12"/>
      <c r="G22" s="12"/>
      <c r="H22" s="12"/>
      <c r="I22" s="12"/>
      <c r="J22" s="13" t="s">
        <v>28</v>
      </c>
      <c r="K22" s="19" t="str">
        <f t="shared" si="2"/>
        <v/>
      </c>
      <c r="L22" s="10" t="str">
        <f t="shared" si="3"/>
        <v/>
      </c>
      <c r="M22" s="6" t="str">
        <f>IF(OR(A22="",B22="",C22="",D22="",K22=""),"",IF(D22="B",K22/1000,IF(D22="P","",IF(K22&lt;99.5,MEDIAPAR((K22)/1000,3),FIXED(MEDIAPAR((K22)/1000,2),2)))))</f>
        <v/>
      </c>
      <c r="N22" s="26" t="s">
        <v>2</v>
      </c>
      <c r="O22" s="17"/>
    </row>
    <row r="23" spans="1:15" x14ac:dyDescent="0.25">
      <c r="A23" s="13"/>
      <c r="B23" s="25" t="str">
        <f t="shared" si="0"/>
        <v/>
      </c>
      <c r="C23" s="27" t="str">
        <f t="shared" si="1"/>
        <v/>
      </c>
      <c r="D23" s="13" t="s">
        <v>6</v>
      </c>
      <c r="E23" s="12"/>
      <c r="F23" s="12"/>
      <c r="G23" s="12"/>
      <c r="H23" s="12"/>
      <c r="I23" s="12"/>
      <c r="J23" s="13" t="s">
        <v>28</v>
      </c>
      <c r="K23" s="19" t="str">
        <f t="shared" si="2"/>
        <v/>
      </c>
      <c r="L23" s="10" t="str">
        <f t="shared" si="3"/>
        <v/>
      </c>
      <c r="M23" s="6" t="str">
        <f>IF(OR(A23="",B23="",C23="",D23="",K23=""),"",IF(D23="B",K23/1000,IF(D23="P","",IF(K23&lt;99.5,MEDIAPAR((K23)/1000,3),FIXED(MEDIAPAR((K23)/1000,2),2)))))</f>
        <v/>
      </c>
      <c r="N23" s="26" t="s">
        <v>37</v>
      </c>
      <c r="O23" s="17"/>
    </row>
    <row r="24" spans="1:15" x14ac:dyDescent="0.25">
      <c r="A24" s="13"/>
      <c r="B24" s="25" t="str">
        <f t="shared" si="0"/>
        <v/>
      </c>
      <c r="C24" s="27" t="str">
        <f t="shared" si="1"/>
        <v/>
      </c>
      <c r="D24" s="13" t="s">
        <v>6</v>
      </c>
      <c r="E24" s="12"/>
      <c r="F24" s="12"/>
      <c r="G24" s="12"/>
      <c r="H24" s="12"/>
      <c r="I24" s="12"/>
      <c r="J24" s="13" t="s">
        <v>28</v>
      </c>
      <c r="K24" s="19" t="str">
        <f t="shared" si="2"/>
        <v/>
      </c>
      <c r="L24" s="10" t="str">
        <f t="shared" si="3"/>
        <v/>
      </c>
      <c r="M24" s="6" t="str">
        <f>IF(OR(A24="",B24="",C24="",D24="",K24=""),"",IF(D24="B",K24/1000,IF(D24="P","",IF(K24&lt;99.5,MEDIAPAR((K24)/1000,3),FIXED(MEDIAPAR((K24)/1000,2),2)))))</f>
        <v/>
      </c>
    </row>
    <row r="25" spans="1:15" x14ac:dyDescent="0.25">
      <c r="A25" s="13"/>
      <c r="B25" s="25" t="str">
        <f t="shared" si="0"/>
        <v/>
      </c>
      <c r="C25" s="27" t="str">
        <f t="shared" si="1"/>
        <v/>
      </c>
      <c r="D25" s="13" t="s">
        <v>6</v>
      </c>
      <c r="E25" s="12"/>
      <c r="F25" s="12"/>
      <c r="G25" s="12"/>
      <c r="H25" s="12"/>
      <c r="I25" s="12"/>
      <c r="J25" s="13" t="s">
        <v>28</v>
      </c>
      <c r="K25" s="19" t="str">
        <f t="shared" si="2"/>
        <v/>
      </c>
      <c r="L25" s="10" t="str">
        <f t="shared" si="3"/>
        <v/>
      </c>
      <c r="M25" s="6" t="str">
        <f>IF(OR(A25="",B25="",C25="",D25="",K25=""),"",IF(D25="B",K25/1000,IF(D25="P","",IF(K25&lt;99.5,MEDIAPAR((K25)/1000,3),FIXED(MEDIAPAR((K25)/1000,2),2)))))</f>
        <v/>
      </c>
    </row>
    <row r="26" spans="1:15" x14ac:dyDescent="0.25">
      <c r="A26" s="13"/>
      <c r="B26" s="25" t="str">
        <f t="shared" si="0"/>
        <v/>
      </c>
      <c r="C26" s="27" t="str">
        <f t="shared" si="1"/>
        <v/>
      </c>
      <c r="D26" s="13" t="s">
        <v>6</v>
      </c>
      <c r="E26" s="12"/>
      <c r="F26" s="12"/>
      <c r="G26" s="12"/>
      <c r="H26" s="12"/>
      <c r="I26" s="12"/>
      <c r="J26" s="13" t="s">
        <v>28</v>
      </c>
      <c r="K26" s="19" t="str">
        <f t="shared" si="2"/>
        <v/>
      </c>
      <c r="L26" s="10" t="str">
        <f t="shared" si="3"/>
        <v/>
      </c>
      <c r="M26" s="6" t="str">
        <f>IF(OR(A26="",B26="",C26="",D26="",K26=""),"",IF(D26="B",K26/1000,IF(D26="P","",IF(K26&lt;99.5,MEDIAPAR((K26)/1000,3),FIXED(MEDIAPAR((K26)/1000,2),2)))))</f>
        <v/>
      </c>
    </row>
    <row r="27" spans="1:15" x14ac:dyDescent="0.25">
      <c r="A27" s="13"/>
      <c r="B27" s="25" t="str">
        <f t="shared" si="0"/>
        <v/>
      </c>
      <c r="C27" s="27" t="str">
        <f t="shared" si="1"/>
        <v/>
      </c>
      <c r="D27" s="13" t="s">
        <v>6</v>
      </c>
      <c r="E27" s="12"/>
      <c r="F27" s="12"/>
      <c r="G27" s="12"/>
      <c r="H27" s="12"/>
      <c r="I27" s="12"/>
      <c r="J27" s="13" t="s">
        <v>28</v>
      </c>
      <c r="K27" s="19" t="str">
        <f t="shared" si="2"/>
        <v/>
      </c>
      <c r="L27" s="10" t="str">
        <f t="shared" si="3"/>
        <v/>
      </c>
      <c r="M27" s="6" t="str">
        <f>IF(OR(A27="",B27="",C27="",D27="",K27=""),"",IF(D27="B",K27/1000,IF(D27="P","",IF(K27&lt;99.5,MEDIAPAR((K27)/1000,3),FIXED(MEDIAPAR((K27)/1000,2),2)))))</f>
        <v/>
      </c>
    </row>
    <row r="28" spans="1:15" x14ac:dyDescent="0.25">
      <c r="A28" s="13"/>
      <c r="B28" s="25" t="str">
        <f t="shared" si="0"/>
        <v/>
      </c>
      <c r="C28" s="27" t="str">
        <f t="shared" si="1"/>
        <v/>
      </c>
      <c r="D28" s="13" t="s">
        <v>6</v>
      </c>
      <c r="E28" s="12"/>
      <c r="F28" s="12"/>
      <c r="G28" s="12"/>
      <c r="H28" s="12"/>
      <c r="I28" s="12"/>
      <c r="J28" s="13" t="s">
        <v>28</v>
      </c>
      <c r="K28" s="19" t="str">
        <f t="shared" si="2"/>
        <v/>
      </c>
      <c r="L28" s="10" t="str">
        <f t="shared" si="3"/>
        <v/>
      </c>
      <c r="M28" s="6" t="str">
        <f>IF(OR(A28="",B28="",C28="",D28="",K28=""),"",IF(D28="B",K28/1000,IF(D28="P","",IF(K28&lt;99.5,MEDIAPAR((K28)/1000,3),FIXED(MEDIAPAR((K28)/1000,2),2)))))</f>
        <v/>
      </c>
    </row>
    <row r="29" spans="1:15" x14ac:dyDescent="0.25">
      <c r="A29" s="13"/>
      <c r="B29" s="25" t="str">
        <f t="shared" si="0"/>
        <v/>
      </c>
      <c r="C29" s="27" t="str">
        <f t="shared" si="1"/>
        <v/>
      </c>
      <c r="D29" s="13" t="s">
        <v>6</v>
      </c>
      <c r="E29" s="12"/>
      <c r="F29" s="12"/>
      <c r="G29" s="12"/>
      <c r="H29" s="12"/>
      <c r="I29" s="12"/>
      <c r="J29" s="13" t="s">
        <v>28</v>
      </c>
      <c r="K29" s="19" t="str">
        <f t="shared" si="2"/>
        <v/>
      </c>
      <c r="L29" s="10" t="str">
        <f t="shared" si="3"/>
        <v/>
      </c>
      <c r="M29" s="6" t="str">
        <f>IF(OR(A29="",B29="",C29="",D29="",K29=""),"",IF(D29="B",K29/1000,IF(D29="P","",IF(K29&lt;99.5,MEDIAPAR((K29)/1000,3),FIXED(MEDIAPAR((K29)/1000,2),2)))))</f>
        <v/>
      </c>
    </row>
    <row r="30" spans="1:15" x14ac:dyDescent="0.25">
      <c r="A30" s="13"/>
      <c r="B30" s="25" t="str">
        <f t="shared" si="0"/>
        <v/>
      </c>
      <c r="C30" s="27" t="str">
        <f t="shared" si="1"/>
        <v/>
      </c>
      <c r="D30" s="13" t="s">
        <v>6</v>
      </c>
      <c r="E30" s="12"/>
      <c r="F30" s="12"/>
      <c r="G30" s="12"/>
      <c r="H30" s="12"/>
      <c r="I30" s="12"/>
      <c r="J30" s="13" t="s">
        <v>28</v>
      </c>
      <c r="K30" s="19" t="str">
        <f t="shared" si="2"/>
        <v/>
      </c>
      <c r="L30" s="10" t="str">
        <f t="shared" si="3"/>
        <v/>
      </c>
      <c r="M30" s="6" t="str">
        <f>IF(OR(A30="",B30="",C30="",D30="",K30=""),"",IF(D30="B",K30/1000,IF(D30="P","",IF(K30&lt;99.5,MEDIAPAR((K30)/1000,3),FIXED(MEDIAPAR((K30)/1000,2),2)))))</f>
        <v/>
      </c>
    </row>
    <row r="31" spans="1:15" x14ac:dyDescent="0.25">
      <c r="A31" s="13"/>
      <c r="B31" s="25" t="str">
        <f t="shared" si="0"/>
        <v/>
      </c>
      <c r="C31" s="27" t="str">
        <f t="shared" si="1"/>
        <v/>
      </c>
      <c r="D31" s="13" t="s">
        <v>6</v>
      </c>
      <c r="E31" s="12"/>
      <c r="F31" s="12"/>
      <c r="G31" s="12"/>
      <c r="H31" s="12"/>
      <c r="I31" s="12"/>
      <c r="J31" s="13" t="s">
        <v>28</v>
      </c>
      <c r="K31" s="19" t="str">
        <f t="shared" si="2"/>
        <v/>
      </c>
      <c r="L31" s="10" t="str">
        <f t="shared" si="3"/>
        <v/>
      </c>
      <c r="M31" s="6" t="str">
        <f>IF(OR(A31="",B31="",C31="",D31="",K31=""),"",IF(D31="B",K31/1000,IF(D31="P","",IF(K31&lt;99.5,MEDIAPAR((K31)/1000,3),FIXED(MEDIAPAR((K31)/1000,2),2)))))</f>
        <v/>
      </c>
    </row>
    <row r="32" spans="1:15" x14ac:dyDescent="0.25">
      <c r="A32" s="13"/>
      <c r="B32" s="25" t="str">
        <f t="shared" si="0"/>
        <v/>
      </c>
      <c r="C32" s="27" t="str">
        <f t="shared" si="1"/>
        <v/>
      </c>
      <c r="D32" s="13" t="s">
        <v>6</v>
      </c>
      <c r="E32" s="12"/>
      <c r="F32" s="12"/>
      <c r="G32" s="12"/>
      <c r="H32" s="12"/>
      <c r="I32" s="12"/>
      <c r="J32" s="13" t="s">
        <v>28</v>
      </c>
      <c r="K32" s="19" t="str">
        <f t="shared" si="2"/>
        <v/>
      </c>
      <c r="L32" s="10" t="str">
        <f t="shared" si="3"/>
        <v/>
      </c>
      <c r="M32" s="6" t="str">
        <f>IF(OR(A32="",B32="",C32="",D32="",K32=""),"",IF(D32="B",K32/1000,IF(D32="P","",IF(K32&lt;99.5,MEDIAPAR((K32)/1000,3),FIXED(MEDIAPAR((K32)/1000,2),2)))))</f>
        <v/>
      </c>
    </row>
    <row r="33" spans="1:13" x14ac:dyDescent="0.25">
      <c r="A33" s="13"/>
      <c r="B33" s="25" t="str">
        <f t="shared" si="0"/>
        <v/>
      </c>
      <c r="C33" s="27" t="str">
        <f t="shared" si="1"/>
        <v/>
      </c>
      <c r="D33" s="13" t="s">
        <v>6</v>
      </c>
      <c r="E33" s="12"/>
      <c r="F33" s="12"/>
      <c r="G33" s="12"/>
      <c r="H33" s="12"/>
      <c r="I33" s="12"/>
      <c r="J33" s="13" t="s">
        <v>28</v>
      </c>
      <c r="K33" s="19" t="str">
        <f t="shared" si="2"/>
        <v/>
      </c>
      <c r="L33" s="10" t="str">
        <f t="shared" si="3"/>
        <v/>
      </c>
      <c r="M33" s="6" t="str">
        <f>IF(OR(A33="",B33="",C33="",D33="",K33=""),"",IF(D33="B",K33/1000,IF(D33="P","",IF(K33&lt;99.5,MEDIAPAR((K33)/1000,3),FIXED(MEDIAPAR((K33)/1000,2),2)))))</f>
        <v/>
      </c>
    </row>
    <row r="34" spans="1:13" x14ac:dyDescent="0.25">
      <c r="A34" s="13"/>
      <c r="B34" s="25" t="str">
        <f t="shared" si="0"/>
        <v/>
      </c>
      <c r="C34" s="27" t="str">
        <f t="shared" si="1"/>
        <v/>
      </c>
      <c r="D34" s="13" t="s">
        <v>6</v>
      </c>
      <c r="E34" s="12"/>
      <c r="F34" s="12"/>
      <c r="G34" s="12"/>
      <c r="H34" s="12"/>
      <c r="I34" s="12"/>
      <c r="J34" s="13" t="s">
        <v>28</v>
      </c>
      <c r="K34" s="19" t="str">
        <f t="shared" si="2"/>
        <v/>
      </c>
      <c r="L34" s="10" t="str">
        <f t="shared" si="3"/>
        <v/>
      </c>
      <c r="M34" s="6" t="str">
        <f>IF(OR(A34="",B34="",C34="",D34="",K34=""),"",IF(D34="B",K34/1000,IF(D34="P","",IF(K34&lt;99.5,MEDIAPAR((K34)/1000,3),FIXED(MEDIAPAR((K34)/1000,2),2)))))</f>
        <v/>
      </c>
    </row>
    <row r="35" spans="1:13" x14ac:dyDescent="0.25">
      <c r="A35" s="13"/>
      <c r="B35" s="25" t="str">
        <f t="shared" si="0"/>
        <v/>
      </c>
      <c r="C35" s="27" t="str">
        <f t="shared" si="1"/>
        <v/>
      </c>
      <c r="D35" s="13" t="s">
        <v>6</v>
      </c>
      <c r="E35" s="12"/>
      <c r="F35" s="12"/>
      <c r="G35" s="12"/>
      <c r="H35" s="12"/>
      <c r="I35" s="12"/>
      <c r="J35" s="13" t="s">
        <v>28</v>
      </c>
      <c r="K35" s="19" t="str">
        <f t="shared" si="2"/>
        <v/>
      </c>
      <c r="L35" s="10" t="str">
        <f t="shared" si="3"/>
        <v/>
      </c>
      <c r="M35" s="6" t="str">
        <f>IF(OR(A35="",B35="",C35="",D35="",K35=""),"",IF(D35="B",K35/1000,IF(D35="P","",IF(K35&lt;99.5,MEDIAPAR((K35)/1000,3),FIXED(MEDIAPAR((K35)/1000,2),2)))))</f>
        <v/>
      </c>
    </row>
    <row r="36" spans="1:13" x14ac:dyDescent="0.25">
      <c r="A36" s="13"/>
      <c r="B36" s="25" t="str">
        <f t="shared" si="0"/>
        <v/>
      </c>
      <c r="C36" s="27" t="str">
        <f t="shared" si="1"/>
        <v/>
      </c>
      <c r="D36" s="13" t="s">
        <v>6</v>
      </c>
      <c r="E36" s="12"/>
      <c r="F36" s="12"/>
      <c r="G36" s="12"/>
      <c r="H36" s="12"/>
      <c r="I36" s="12"/>
      <c r="J36" s="13" t="s">
        <v>28</v>
      </c>
      <c r="K36" s="19" t="str">
        <f t="shared" si="2"/>
        <v/>
      </c>
      <c r="L36" s="10" t="str">
        <f t="shared" si="3"/>
        <v/>
      </c>
      <c r="M36" s="6" t="str">
        <f>IF(OR(A36="",B36="",C36="",D36="",K36=""),"",IF(D36="B",K36/1000,IF(D36="P","",IF(K36&lt;99.5,MEDIAPAR((K36)/1000,3),FIXED(MEDIAPAR((K36)/1000,2),2)))))</f>
        <v/>
      </c>
    </row>
    <row r="37" spans="1:13" x14ac:dyDescent="0.25">
      <c r="A37" s="13"/>
      <c r="B37" s="25" t="str">
        <f t="shared" si="0"/>
        <v/>
      </c>
      <c r="C37" s="27" t="str">
        <f t="shared" si="1"/>
        <v/>
      </c>
      <c r="D37" s="13" t="s">
        <v>6</v>
      </c>
      <c r="E37" s="12"/>
      <c r="F37" s="12"/>
      <c r="G37" s="12"/>
      <c r="H37" s="12"/>
      <c r="I37" s="12"/>
      <c r="J37" s="13" t="s">
        <v>28</v>
      </c>
      <c r="K37" s="19" t="str">
        <f t="shared" si="2"/>
        <v/>
      </c>
      <c r="L37" s="10" t="str">
        <f t="shared" si="3"/>
        <v/>
      </c>
      <c r="M37" s="6" t="str">
        <f>IF(OR(A37="",B37="",C37="",D37="",K37=""),"",IF(D37="B",K37/1000,IF(D37="P","",IF(K37&lt;99.5,MEDIAPAR((K37)/1000,3),FIXED(MEDIAPAR((K37)/1000,2),2)))))</f>
        <v/>
      </c>
    </row>
    <row r="38" spans="1:13" x14ac:dyDescent="0.25">
      <c r="A38" s="13"/>
      <c r="B38" s="25" t="str">
        <f t="shared" si="0"/>
        <v/>
      </c>
      <c r="C38" s="27" t="str">
        <f t="shared" si="1"/>
        <v/>
      </c>
      <c r="D38" s="13" t="s">
        <v>6</v>
      </c>
      <c r="E38" s="12"/>
      <c r="F38" s="12"/>
      <c r="G38" s="12"/>
      <c r="H38" s="12"/>
      <c r="I38" s="12"/>
      <c r="J38" s="13" t="s">
        <v>28</v>
      </c>
      <c r="K38" s="19" t="str">
        <f t="shared" si="2"/>
        <v/>
      </c>
      <c r="L38" s="10" t="str">
        <f t="shared" si="3"/>
        <v/>
      </c>
      <c r="M38" s="6" t="str">
        <f>IF(OR(A38="",B38="",C38="",D38="",K38=""),"",IF(D38="B",K38/1000,IF(D38="P","",IF(K38&lt;99.5,MEDIAPAR((K38)/1000,3),FIXED(MEDIAPAR((K38)/1000,2),2)))))</f>
        <v/>
      </c>
    </row>
    <row r="39" spans="1:13" x14ac:dyDescent="0.25">
      <c r="A39" s="13"/>
      <c r="B39" s="25" t="str">
        <f t="shared" si="0"/>
        <v/>
      </c>
      <c r="C39" s="27" t="str">
        <f t="shared" si="1"/>
        <v/>
      </c>
      <c r="D39" s="13" t="s">
        <v>6</v>
      </c>
      <c r="E39" s="12"/>
      <c r="F39" s="12"/>
      <c r="G39" s="12"/>
      <c r="H39" s="12"/>
      <c r="I39" s="12"/>
      <c r="J39" s="13" t="s">
        <v>28</v>
      </c>
      <c r="K39" s="19" t="str">
        <f t="shared" si="2"/>
        <v/>
      </c>
      <c r="L39" s="10" t="str">
        <f t="shared" si="3"/>
        <v/>
      </c>
      <c r="M39" s="6" t="str">
        <f>IF(OR(A39="",B39="",C39="",D39="",K39=""),"",IF(D39="B",K39/1000,IF(D39="P","",IF(K39&lt;99.5,MEDIAPAR((K39)/1000,3),FIXED(MEDIAPAR((K39)/1000,2),2)))))</f>
        <v/>
      </c>
    </row>
    <row r="40" spans="1:13" x14ac:dyDescent="0.25">
      <c r="A40" s="13"/>
      <c r="B40" s="25" t="str">
        <f t="shared" si="0"/>
        <v/>
      </c>
      <c r="C40" s="27" t="str">
        <f t="shared" si="1"/>
        <v/>
      </c>
      <c r="D40" s="13" t="s">
        <v>6</v>
      </c>
      <c r="E40" s="12"/>
      <c r="F40" s="12"/>
      <c r="G40" s="12"/>
      <c r="H40" s="12"/>
      <c r="I40" s="12"/>
      <c r="J40" s="13" t="s">
        <v>28</v>
      </c>
      <c r="K40" s="19" t="str">
        <f t="shared" si="2"/>
        <v/>
      </c>
      <c r="L40" s="10" t="str">
        <f t="shared" si="3"/>
        <v/>
      </c>
      <c r="M40" s="6" t="str">
        <f>IF(OR(A40="",B40="",C40="",D40="",K40=""),"",IF(D40="B",K40/1000,IF(D40="P","",IF(K40&lt;99.5,MEDIAPAR((K40)/1000,3),FIXED(MEDIAPAR((K40)/1000,2),2)))))</f>
        <v/>
      </c>
    </row>
    <row r="41" spans="1:13" x14ac:dyDescent="0.25">
      <c r="A41" s="13"/>
      <c r="B41" s="25" t="str">
        <f t="shared" si="0"/>
        <v/>
      </c>
      <c r="C41" s="27" t="str">
        <f t="shared" si="1"/>
        <v/>
      </c>
      <c r="D41" s="13" t="s">
        <v>6</v>
      </c>
      <c r="E41" s="12"/>
      <c r="F41" s="12"/>
      <c r="G41" s="12"/>
      <c r="H41" s="12"/>
      <c r="I41" s="12"/>
      <c r="J41" s="13" t="s">
        <v>28</v>
      </c>
      <c r="K41" s="19" t="str">
        <f t="shared" si="2"/>
        <v/>
      </c>
      <c r="L41" s="10" t="str">
        <f t="shared" si="3"/>
        <v/>
      </c>
      <c r="M41" s="6" t="str">
        <f>IF(OR(A41="",B41="",C41="",D41="",K41=""),"",IF(D41="B",K41/1000,IF(D41="P","",IF(K41&lt;99.5,MEDIAPAR((K41)/1000,3),FIXED(MEDIAPAR((K41)/1000,2),2)))))</f>
        <v/>
      </c>
    </row>
    <row r="42" spans="1:13" x14ac:dyDescent="0.25">
      <c r="A42" s="13"/>
      <c r="B42" s="25" t="str">
        <f t="shared" si="0"/>
        <v/>
      </c>
      <c r="C42" s="27" t="str">
        <f t="shared" si="1"/>
        <v/>
      </c>
      <c r="D42" s="13" t="s">
        <v>6</v>
      </c>
      <c r="E42" s="12"/>
      <c r="F42" s="12"/>
      <c r="G42" s="12"/>
      <c r="H42" s="12"/>
      <c r="I42" s="12"/>
      <c r="J42" s="13" t="s">
        <v>28</v>
      </c>
      <c r="K42" s="19" t="str">
        <f t="shared" si="2"/>
        <v/>
      </c>
      <c r="L42" s="10" t="str">
        <f t="shared" si="3"/>
        <v/>
      </c>
      <c r="M42" s="6" t="str">
        <f>IF(OR(A42="",B42="",C42="",D42="",K42=""),"",IF(D42="B",K42/1000,IF(D42="P","",IF(K42&lt;99.5,MEDIAPAR((K42)/1000,3),FIXED(MEDIAPAR((K42)/1000,2),2)))))</f>
        <v/>
      </c>
    </row>
    <row r="43" spans="1:13" x14ac:dyDescent="0.25">
      <c r="A43" s="13"/>
      <c r="B43" s="25" t="str">
        <f t="shared" si="0"/>
        <v/>
      </c>
      <c r="C43" s="27" t="str">
        <f t="shared" si="1"/>
        <v/>
      </c>
      <c r="D43" s="13" t="s">
        <v>6</v>
      </c>
      <c r="E43" s="12"/>
      <c r="F43" s="12"/>
      <c r="G43" s="12"/>
      <c r="H43" s="12"/>
      <c r="I43" s="12"/>
      <c r="J43" s="13" t="s">
        <v>28</v>
      </c>
      <c r="K43" s="19" t="str">
        <f t="shared" si="2"/>
        <v/>
      </c>
      <c r="L43" s="10" t="str">
        <f t="shared" si="3"/>
        <v/>
      </c>
      <c r="M43" s="6" t="str">
        <f>IF(OR(A43="",B43="",C43="",D43="",K43=""),"",IF(D43="B",K43/1000,IF(D43="P","",IF(K43&lt;99.5,MEDIAPAR((K43)/1000,3),FIXED(MEDIAPAR((K43)/1000,2),2)))))</f>
        <v/>
      </c>
    </row>
    <row r="44" spans="1:13" x14ac:dyDescent="0.25">
      <c r="A44" s="13"/>
      <c r="B44" s="25" t="str">
        <f t="shared" si="0"/>
        <v/>
      </c>
      <c r="C44" s="27" t="str">
        <f t="shared" si="1"/>
        <v/>
      </c>
      <c r="D44" s="13" t="s">
        <v>6</v>
      </c>
      <c r="E44" s="12"/>
      <c r="F44" s="12"/>
      <c r="G44" s="12"/>
      <c r="H44" s="12"/>
      <c r="I44" s="12"/>
      <c r="J44" s="13" t="s">
        <v>28</v>
      </c>
      <c r="K44" s="19" t="str">
        <f t="shared" si="2"/>
        <v/>
      </c>
      <c r="L44" s="10" t="str">
        <f t="shared" si="3"/>
        <v/>
      </c>
      <c r="M44" s="6" t="str">
        <f>IF(OR(A44="",B44="",C44="",D44="",K44=""),"",IF(D44="B",K44/1000,IF(D44="P","",IF(K44&lt;99.5,MEDIAPAR((K44)/1000,3),FIXED(MEDIAPAR((K44)/1000,2),2)))))</f>
        <v/>
      </c>
    </row>
    <row r="45" spans="1:13" x14ac:dyDescent="0.25">
      <c r="A45" s="13"/>
      <c r="B45" s="25" t="str">
        <f t="shared" si="0"/>
        <v/>
      </c>
      <c r="C45" s="27" t="str">
        <f t="shared" si="1"/>
        <v/>
      </c>
      <c r="D45" s="13" t="s">
        <v>6</v>
      </c>
      <c r="E45" s="12"/>
      <c r="F45" s="12"/>
      <c r="G45" s="12"/>
      <c r="H45" s="12"/>
      <c r="I45" s="12"/>
      <c r="J45" s="13" t="s">
        <v>28</v>
      </c>
      <c r="K45" s="19" t="str">
        <f t="shared" si="2"/>
        <v/>
      </c>
      <c r="L45" s="10" t="str">
        <f t="shared" si="3"/>
        <v/>
      </c>
      <c r="M45" s="6" t="str">
        <f>IF(OR(A45="",B45="",C45="",D45="",K45=""),"",IF(D45="B",K45/1000,IF(D45="P","",IF(K45&lt;99.5,MEDIAPAR((K45)/1000,3),FIXED(MEDIAPAR((K45)/1000,2),2)))))</f>
        <v/>
      </c>
    </row>
    <row r="46" spans="1:13" x14ac:dyDescent="0.25">
      <c r="A46" s="13"/>
      <c r="B46" s="25" t="str">
        <f t="shared" si="0"/>
        <v/>
      </c>
      <c r="C46" s="27" t="str">
        <f t="shared" si="1"/>
        <v/>
      </c>
      <c r="D46" s="13" t="s">
        <v>6</v>
      </c>
      <c r="E46" s="12"/>
      <c r="F46" s="12"/>
      <c r="G46" s="12"/>
      <c r="H46" s="12"/>
      <c r="I46" s="12"/>
      <c r="J46" s="13" t="s">
        <v>28</v>
      </c>
      <c r="K46" s="19" t="str">
        <f t="shared" si="2"/>
        <v/>
      </c>
      <c r="L46" s="10" t="str">
        <f t="shared" si="3"/>
        <v/>
      </c>
      <c r="M46" s="6" t="str">
        <f>IF(OR(A46="",B46="",C46="",D46="",K46=""),"",IF(D46="B",K46/1000,IF(D46="P","",IF(K46&lt;99.5,MEDIAPAR((K46)/1000,3),FIXED(MEDIAPAR((K46)/1000,2),2)))))</f>
        <v/>
      </c>
    </row>
    <row r="47" spans="1:13" x14ac:dyDescent="0.25">
      <c r="A47" s="13"/>
      <c r="B47" s="25" t="str">
        <f t="shared" si="0"/>
        <v/>
      </c>
      <c r="C47" s="27" t="str">
        <f t="shared" si="1"/>
        <v/>
      </c>
      <c r="D47" s="13" t="s">
        <v>6</v>
      </c>
      <c r="E47" s="12"/>
      <c r="F47" s="12"/>
      <c r="G47" s="12"/>
      <c r="H47" s="12"/>
      <c r="I47" s="12"/>
      <c r="J47" s="13" t="s">
        <v>28</v>
      </c>
      <c r="K47" s="19" t="str">
        <f t="shared" si="2"/>
        <v/>
      </c>
      <c r="L47" s="10" t="str">
        <f t="shared" si="3"/>
        <v/>
      </c>
      <c r="M47" s="6" t="str">
        <f>IF(OR(A47="",B47="",C47="",D47="",K47=""),"",IF(D47="B",K47/1000,IF(D47="P","",IF(K47&lt;99.5,MEDIAPAR((K47)/1000,3),FIXED(MEDIAPAR((K47)/1000,2),2)))))</f>
        <v/>
      </c>
    </row>
    <row r="48" spans="1:13" x14ac:dyDescent="0.25">
      <c r="A48" s="13"/>
      <c r="B48" s="25" t="str">
        <f t="shared" si="0"/>
        <v/>
      </c>
      <c r="C48" s="27" t="str">
        <f t="shared" si="1"/>
        <v/>
      </c>
      <c r="D48" s="13" t="s">
        <v>6</v>
      </c>
      <c r="E48" s="12"/>
      <c r="F48" s="12"/>
      <c r="G48" s="12"/>
      <c r="H48" s="12"/>
      <c r="I48" s="12"/>
      <c r="J48" s="13" t="s">
        <v>28</v>
      </c>
      <c r="K48" s="19" t="str">
        <f t="shared" si="2"/>
        <v/>
      </c>
      <c r="L48" s="10" t="str">
        <f t="shared" si="3"/>
        <v/>
      </c>
      <c r="M48" s="6" t="str">
        <f>IF(OR(A48="",B48="",C48="",D48="",K48=""),"",IF(D48="B",K48/1000,IF(D48="P","",IF(K48&lt;99.5,MEDIAPAR((K48)/1000,3),FIXED(MEDIAPAR((K48)/1000,2),2)))))</f>
        <v/>
      </c>
    </row>
    <row r="49" spans="1:13" x14ac:dyDescent="0.25">
      <c r="A49" s="13"/>
      <c r="B49" s="25" t="str">
        <f t="shared" si="0"/>
        <v/>
      </c>
      <c r="C49" s="27" t="str">
        <f t="shared" si="1"/>
        <v/>
      </c>
      <c r="D49" s="13" t="s">
        <v>6</v>
      </c>
      <c r="E49" s="12"/>
      <c r="F49" s="12"/>
      <c r="G49" s="12"/>
      <c r="H49" s="12"/>
      <c r="I49" s="12"/>
      <c r="J49" s="13" t="s">
        <v>28</v>
      </c>
      <c r="K49" s="19" t="str">
        <f t="shared" si="2"/>
        <v/>
      </c>
      <c r="L49" s="10" t="str">
        <f t="shared" si="3"/>
        <v/>
      </c>
      <c r="M49" s="6" t="str">
        <f>IF(OR(A49="",B49="",C49="",D49="",K49=""),"",IF(D49="B",K49/1000,IF(D49="P","",IF(K49&lt;99.5,MEDIAPAR((K49)/1000,3),FIXED(MEDIAPAR((K49)/1000,2),2)))))</f>
        <v/>
      </c>
    </row>
    <row r="50" spans="1:13" x14ac:dyDescent="0.25">
      <c r="A50" s="13" t="s">
        <v>59</v>
      </c>
      <c r="B50" s="25" t="str">
        <f t="shared" si="0"/>
        <v/>
      </c>
      <c r="C50" s="27" t="str">
        <f t="shared" si="1"/>
        <v/>
      </c>
      <c r="D50" s="13" t="s">
        <v>6</v>
      </c>
      <c r="E50" s="12"/>
      <c r="F50" s="12"/>
      <c r="G50" s="12"/>
      <c r="H50" s="12"/>
      <c r="I50" s="12"/>
      <c r="J50" s="13" t="s">
        <v>28</v>
      </c>
      <c r="K50" s="19" t="str">
        <f t="shared" si="2"/>
        <v/>
      </c>
      <c r="L50" s="10" t="str">
        <f t="shared" si="3"/>
        <v/>
      </c>
      <c r="M50" s="6" t="str">
        <f>IF(OR(A50="",B50="",C50="",D50="",K50=""),"",IF(D50="B",K50/1000,IF(D50="P","",IF(K50&lt;99.5,MEDIAPAR((K50)/1000,3),FIXED(MEDIAPAR((K50)/1000,2),2)))))</f>
        <v/>
      </c>
    </row>
    <row r="51" spans="1:13" x14ac:dyDescent="0.25">
      <c r="A51" s="13" t="s">
        <v>59</v>
      </c>
      <c r="B51" s="25" t="str">
        <f t="shared" si="0"/>
        <v/>
      </c>
      <c r="C51" s="27" t="str">
        <f t="shared" si="1"/>
        <v/>
      </c>
      <c r="D51" s="13" t="s">
        <v>6</v>
      </c>
      <c r="E51" s="12"/>
      <c r="F51" s="12"/>
      <c r="G51" s="12"/>
      <c r="H51" s="12"/>
      <c r="I51" s="12"/>
      <c r="J51" s="13" t="s">
        <v>28</v>
      </c>
      <c r="K51" s="19" t="str">
        <f t="shared" si="2"/>
        <v/>
      </c>
      <c r="L51" s="10" t="str">
        <f t="shared" si="3"/>
        <v/>
      </c>
      <c r="M51" s="6" t="str">
        <f>IF(OR(A51="",B51="",C51="",D51="",K51=""),"",IF(D51="B",K51/1000,IF(D51="P","",IF(K51&lt;99.5,MEDIAPAR((K51)/1000,3),FIXED(MEDIAPAR((K51)/1000,2),2)))))</f>
        <v/>
      </c>
    </row>
    <row r="52" spans="1:13" x14ac:dyDescent="0.25">
      <c r="A52" s="13" t="s">
        <v>59</v>
      </c>
      <c r="B52" s="25" t="str">
        <f t="shared" si="0"/>
        <v/>
      </c>
      <c r="C52" s="27" t="str">
        <f t="shared" si="1"/>
        <v/>
      </c>
      <c r="D52" s="13" t="s">
        <v>6</v>
      </c>
      <c r="E52" s="12"/>
      <c r="F52" s="12"/>
      <c r="G52" s="12"/>
      <c r="H52" s="12"/>
      <c r="I52" s="12"/>
      <c r="J52" s="13" t="s">
        <v>28</v>
      </c>
      <c r="K52" s="19" t="str">
        <f t="shared" si="2"/>
        <v/>
      </c>
      <c r="L52" s="10" t="str">
        <f t="shared" si="3"/>
        <v/>
      </c>
      <c r="M52" s="6" t="str">
        <f>IF(OR(A52="",B52="",C52="",D52="",K52=""),"",IF(D52="B",K52/1000,IF(D52="P","",IF(K52&lt;99.5,MEDIAPAR((K52)/1000,3),FIXED(MEDIAPAR((K52)/1000,2),2)))))</f>
        <v/>
      </c>
    </row>
    <row r="53" spans="1:13" x14ac:dyDescent="0.25">
      <c r="A53" s="13" t="s">
        <v>59</v>
      </c>
      <c r="B53" s="25" t="str">
        <f t="shared" si="0"/>
        <v/>
      </c>
      <c r="C53" s="27" t="str">
        <f t="shared" si="1"/>
        <v/>
      </c>
      <c r="D53" s="13" t="s">
        <v>6</v>
      </c>
      <c r="E53" s="12"/>
      <c r="F53" s="12"/>
      <c r="G53" s="12"/>
      <c r="H53" s="12"/>
      <c r="I53" s="12"/>
      <c r="J53" s="13" t="s">
        <v>28</v>
      </c>
      <c r="K53" s="19" t="str">
        <f t="shared" si="2"/>
        <v/>
      </c>
      <c r="L53" s="10" t="str">
        <f t="shared" si="3"/>
        <v/>
      </c>
      <c r="M53" s="6" t="str">
        <f>IF(OR(A53="",B53="",C53="",D53="",K53=""),"",IF(D53="B",K53/1000,IF(D53="P","",IF(K53&lt;99.5,MEDIAPAR((K53)/1000,3),FIXED(MEDIAPAR((K53)/1000,2),2)))))</f>
        <v/>
      </c>
    </row>
    <row r="54" spans="1:13" x14ac:dyDescent="0.25">
      <c r="A54" s="13" t="s">
        <v>59</v>
      </c>
      <c r="B54" s="25" t="str">
        <f t="shared" si="0"/>
        <v/>
      </c>
      <c r="C54" s="27" t="str">
        <f t="shared" si="1"/>
        <v/>
      </c>
      <c r="D54" s="13" t="s">
        <v>6</v>
      </c>
      <c r="E54" s="12"/>
      <c r="F54" s="12"/>
      <c r="G54" s="12"/>
      <c r="H54" s="12"/>
      <c r="I54" s="12"/>
      <c r="J54" s="13" t="s">
        <v>28</v>
      </c>
      <c r="K54" s="19" t="str">
        <f t="shared" si="2"/>
        <v/>
      </c>
      <c r="L54" s="10" t="str">
        <f t="shared" si="3"/>
        <v/>
      </c>
      <c r="M54" s="6" t="str">
        <f>IF(OR(A54="",B54="",C54="",D54="",K54=""),"",IF(D54="B",K54/1000,IF(D54="P","",IF(K54&lt;99.5,MEDIAPAR((K54)/1000,3),FIXED(MEDIAPAR((K54)/1000,2),2)))))</f>
        <v/>
      </c>
    </row>
    <row r="55" spans="1:13" x14ac:dyDescent="0.25">
      <c r="A55" s="13" t="s">
        <v>55</v>
      </c>
      <c r="B55" s="25" t="str">
        <f t="shared" si="0"/>
        <v/>
      </c>
      <c r="C55" s="27" t="str">
        <f t="shared" si="1"/>
        <v/>
      </c>
      <c r="D55" s="13" t="s">
        <v>5</v>
      </c>
      <c r="E55" s="12"/>
      <c r="F55" s="12"/>
      <c r="G55" s="12"/>
      <c r="H55" s="12"/>
      <c r="I55" s="12"/>
      <c r="J55" s="13" t="s">
        <v>28</v>
      </c>
      <c r="K55" s="19" t="str">
        <f t="shared" si="2"/>
        <v/>
      </c>
      <c r="L55" s="10" t="str">
        <f t="shared" si="3"/>
        <v/>
      </c>
      <c r="M55" s="6" t="str">
        <f>IF(OR(A55="",B55="",C55="",D55="",K55=""),"",IF(D55="B",K55/1000,IF(D55="P","",IF(K55&lt;99.5,MEDIAPAR((K55)/1000,3),FIXED(MEDIAPAR((K55)/1000,2),2)))))</f>
        <v/>
      </c>
    </row>
    <row r="56" spans="1:13" x14ac:dyDescent="0.25">
      <c r="A56" s="13" t="s">
        <v>56</v>
      </c>
      <c r="B56" s="25" t="str">
        <f t="shared" si="0"/>
        <v/>
      </c>
      <c r="C56" s="27" t="str">
        <f t="shared" si="1"/>
        <v/>
      </c>
      <c r="D56" s="13" t="s">
        <v>5</v>
      </c>
      <c r="E56" s="12"/>
      <c r="F56" s="12"/>
      <c r="G56" s="12"/>
      <c r="H56" s="12"/>
      <c r="I56" s="12"/>
      <c r="J56" s="13" t="s">
        <v>28</v>
      </c>
      <c r="K56" s="19" t="str">
        <f t="shared" si="2"/>
        <v/>
      </c>
      <c r="L56" s="10" t="str">
        <f t="shared" si="3"/>
        <v/>
      </c>
      <c r="M56" s="6" t="str">
        <f>IF(OR(A56="",B56="",C56="",D56="",K56=""),"",IF(D56="B",K56/1000,IF(D56="P","",IF(K56&lt;99.5,MEDIAPAR((K56)/1000,3),FIXED(MEDIAPAR((K56)/1000,2),2)))))</f>
        <v/>
      </c>
    </row>
    <row r="57" spans="1:13" x14ac:dyDescent="0.25">
      <c r="A57" s="13" t="s">
        <v>57</v>
      </c>
      <c r="B57" s="25" t="str">
        <f t="shared" si="0"/>
        <v/>
      </c>
      <c r="C57" s="27" t="str">
        <f t="shared" si="1"/>
        <v/>
      </c>
      <c r="D57" s="13" t="s">
        <v>5</v>
      </c>
      <c r="E57" s="12"/>
      <c r="F57" s="12"/>
      <c r="G57" s="12"/>
      <c r="H57" s="12"/>
      <c r="I57" s="12"/>
      <c r="J57" s="13" t="s">
        <v>28</v>
      </c>
      <c r="K57" s="19" t="str">
        <f t="shared" si="2"/>
        <v/>
      </c>
      <c r="L57" s="10" t="str">
        <f t="shared" si="3"/>
        <v/>
      </c>
      <c r="M57" s="6" t="str">
        <f>IF(OR(A57="",B57="",C57="",D57="",K57=""),"",IF(D57="B",K57/1000,IF(D57="P","",IF(K57&lt;99.5,MEDIAPAR((K57)/1000,3),FIXED(MEDIAPAR((K57)/1000,2),2)))))</f>
        <v/>
      </c>
    </row>
    <row r="58" spans="1:13" x14ac:dyDescent="0.25">
      <c r="A58" s="13" t="s">
        <v>58</v>
      </c>
      <c r="B58" s="25" t="str">
        <f t="shared" si="0"/>
        <v/>
      </c>
      <c r="C58" s="27" t="str">
        <f t="shared" si="1"/>
        <v/>
      </c>
      <c r="D58" s="13" t="s">
        <v>5</v>
      </c>
      <c r="E58" s="12"/>
      <c r="F58" s="12"/>
      <c r="G58" s="12"/>
      <c r="H58" s="12"/>
      <c r="I58" s="12"/>
      <c r="J58" s="13"/>
      <c r="K58" s="19" t="str">
        <f t="shared" si="2"/>
        <v/>
      </c>
      <c r="L58" s="10" t="str">
        <f t="shared" si="3"/>
        <v/>
      </c>
      <c r="M58" s="6" t="str">
        <f>IF(OR(A58="",B58="",C58="",D58="",K58=""),"",IF(D58="B",K58/1000,IF(D58="P","",IF(K58&lt;99.5,MEDIAPAR((K58)/1000,3),FIXED(MEDIAPAR((K58)/1000,2),2)))))</f>
        <v/>
      </c>
    </row>
    <row r="59" spans="1:13" x14ac:dyDescent="0.25">
      <c r="A59" s="13"/>
      <c r="B59" s="25" t="str">
        <f t="shared" si="0"/>
        <v/>
      </c>
      <c r="C59" s="27" t="str">
        <f t="shared" si="1"/>
        <v/>
      </c>
      <c r="D59" s="13" t="s">
        <v>6</v>
      </c>
      <c r="E59" s="12"/>
      <c r="F59" s="12"/>
      <c r="G59" s="12"/>
      <c r="H59" s="12"/>
      <c r="I59" s="12"/>
      <c r="J59" s="13"/>
      <c r="K59" s="19" t="str">
        <f t="shared" si="2"/>
        <v/>
      </c>
      <c r="L59" s="10" t="str">
        <f t="shared" si="3"/>
        <v/>
      </c>
      <c r="M59" s="6" t="str">
        <f>IF(OR(A59="",B59="",C59="",D59="",K59=""),"",IF(D59="B",K59/1000,IF(D59="P","",IF(K59&lt;99.5,MEDIAPAR((K59)/1000,3),FIXED(MEDIAPAR((K59)/1000,2),2)))))</f>
        <v/>
      </c>
    </row>
    <row r="60" spans="1:13" x14ac:dyDescent="0.25">
      <c r="A60" s="13"/>
      <c r="B60" s="25" t="str">
        <f t="shared" si="0"/>
        <v/>
      </c>
      <c r="C60" s="27" t="str">
        <f t="shared" si="1"/>
        <v/>
      </c>
      <c r="D60" s="13" t="s">
        <v>6</v>
      </c>
      <c r="E60" s="12"/>
      <c r="F60" s="12"/>
      <c r="G60" s="12"/>
      <c r="H60" s="12"/>
      <c r="I60" s="12"/>
      <c r="J60" s="13"/>
      <c r="K60" s="19" t="str">
        <f t="shared" si="2"/>
        <v/>
      </c>
      <c r="L60" s="10" t="str">
        <f t="shared" si="3"/>
        <v/>
      </c>
      <c r="M60" s="31" t="str">
        <f>IF(OR(A60="",B60="",C60="",D60="",K60=""),"",IF(D60="B",K60/1000,IF(D60="P","",IF(K60&lt;99.5,MEDIAPAR((K60)/1000,3),FIXED(MEDIAPAR((K60)/1000,2),2)))))</f>
        <v/>
      </c>
    </row>
    <row r="61" spans="1:13" x14ac:dyDescent="0.25">
      <c r="A61" s="29"/>
      <c r="B61" s="30"/>
      <c r="C61" s="30"/>
      <c r="D61" s="35" t="s">
        <v>23</v>
      </c>
      <c r="E61" s="35"/>
      <c r="F61" s="35"/>
      <c r="G61" s="35"/>
      <c r="H61" s="35"/>
      <c r="I61" s="35"/>
      <c r="J61" s="35"/>
      <c r="K61" s="35"/>
      <c r="L61" s="36"/>
    </row>
    <row r="62" spans="1:13" ht="12.75" customHeight="1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</row>
    <row r="63" spans="1:13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</row>
    <row r="64" spans="1:13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</row>
    <row r="65" spans="1:12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</row>
    <row r="66" spans="1:12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</row>
    <row r="67" spans="1:12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</row>
    <row r="68" spans="1:12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</row>
    <row r="69" spans="1:12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</row>
    <row r="70" spans="1:12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</row>
    <row r="71" spans="1:12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</row>
    <row r="72" spans="1:12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</row>
    <row r="73" spans="1:12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</row>
    <row r="74" spans="1:12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</row>
    <row r="75" spans="1:12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</row>
    <row r="76" spans="1:12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</row>
    <row r="77" spans="1:12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</row>
    <row r="78" spans="1:12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</row>
    <row r="79" spans="1:12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</row>
  </sheetData>
  <sheetProtection password="D1D1" sheet="1" objects="1" scenarios="1" formatCells="0" formatColumns="0" selectLockedCells="1" autoFilter="0"/>
  <mergeCells count="4">
    <mergeCell ref="N12:O12"/>
    <mergeCell ref="N17:O17"/>
    <mergeCell ref="A62:L79"/>
    <mergeCell ref="D61:L61"/>
  </mergeCells>
  <conditionalFormatting sqref="F2:F60">
    <cfRule type="expression" dxfId="8" priority="27">
      <formula>AND(OR(A2="P-1413 I",A2="P-1413 F"),NOT(AND(F2&lt;=1554,F2&gt;=1272)))</formula>
    </cfRule>
    <cfRule type="expression" dxfId="7" priority="28">
      <formula>AND(OR(A2="P-500 I",A2="P-500 F"),NOT(AND(F2&lt;=550,F2&gt;=450)))</formula>
    </cfRule>
    <cfRule type="expression" dxfId="6" priority="29">
      <formula>AND(OR(A2="P-147 I",A2="P-147 F"),NOT(AND(F2&lt;=162,F2&gt;=132)))</formula>
    </cfRule>
    <cfRule type="expression" dxfId="5" priority="30">
      <formula>AND(OR(A2="P-50 I",A2="P-50 F"),NOT(AND(F2&lt;=55,F2&gt;=45)))</formula>
    </cfRule>
    <cfRule type="containsBlanks" priority="4" stopIfTrue="1">
      <formula>LEN(TRIM(F2))=0</formula>
    </cfRule>
  </conditionalFormatting>
  <conditionalFormatting sqref="H2:H60">
    <cfRule type="cellIs" dxfId="4" priority="26" operator="notBetween">
      <formula>21.5</formula>
      <formula>28.4</formula>
    </cfRule>
    <cfRule type="containsBlanks" priority="3" stopIfTrue="1">
      <formula>LEN(TRIM(H2))=0</formula>
    </cfRule>
  </conditionalFormatting>
  <conditionalFormatting sqref="L2:L60">
    <cfRule type="cellIs" dxfId="3" priority="17" operator="greaterThan">
      <formula>14</formula>
    </cfRule>
    <cfRule type="containsBlanks" priority="2" stopIfTrue="1">
      <formula>LEN(TRIM(L2))=0</formula>
    </cfRule>
  </conditionalFormatting>
  <conditionalFormatting sqref="N13:O16 N17 N18:O23">
    <cfRule type="containsBlanks" priority="11" stopIfTrue="1">
      <formula>LEN(TRIM(N13))=0</formula>
    </cfRule>
  </conditionalFormatting>
  <conditionalFormatting sqref="N21:O23">
    <cfRule type="containsBlanks" priority="12" stopIfTrue="1">
      <formula>LEN(TRIM(N21))=0</formula>
    </cfRule>
  </conditionalFormatting>
  <conditionalFormatting sqref="O18">
    <cfRule type="cellIs" dxfId="2" priority="14" operator="notBetween">
      <formula>20</formula>
      <formula>25</formula>
    </cfRule>
  </conditionalFormatting>
  <conditionalFormatting sqref="A2:A60">
    <cfRule type="expression" dxfId="1" priority="7">
      <formula>IF(A2=MATCH("R-"&amp;A2,$A$2:$A$60,0),FALSE,TRUE)</formula>
    </cfRule>
    <cfRule type="containsBlanks" priority="5" stopIfTrue="1">
      <formula>LEN(TRIM(A2))=0</formula>
    </cfRule>
  </conditionalFormatting>
  <conditionalFormatting sqref="M2:M60">
    <cfRule type="expression" dxfId="0" priority="10">
      <formula>IF(A2=MATCH("R-"&amp;A2,$A$2:$A$60,0),FALSE,TRUE)</formula>
    </cfRule>
    <cfRule type="containsBlanks" priority="1" stopIfTrue="1">
      <formula>LEN(TRIM(M2))=0</formula>
    </cfRule>
  </conditionalFormatting>
  <pageMargins left="0.74803149606299213" right="0.74803149606299213" top="0.98425196850393704" bottom="0.98425196850393704" header="0" footer="0"/>
  <pageSetup paperSize="9" scale="54" fitToHeight="50" orientation="portrait" r:id="rId1"/>
  <headerFooter alignWithMargins="0">
    <oddHeader xml:space="preserve">&amp;L&amp;"Arial,Negrita"&amp;24LAFIGA&amp;C&amp;"Arial,Negrita"Hoja de cálculo de Conductividad Eléctrica&amp;R&amp;"Arial,Negrita"PE/LAFIGA/SU02
&amp;14Hoja:___________
Siguiente:___________&amp;10
</oddHeader>
    <oddFooter>&amp;L&amp;"Arial,Negrita"Observaciones
ESU0202-7</oddFooter>
  </headerFooter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Datos!$J$2:$J$3</xm:f>
          </x14:formula1>
          <xm:sqref>O13</xm:sqref>
        </x14:dataValidation>
        <x14:dataValidation type="list" allowBlank="1" showInputMessage="1" showErrorMessage="1">
          <x14:formula1>
            <xm:f>Datos!$A$2:$A$4</xm:f>
          </x14:formula1>
          <xm:sqref>D2:D60</xm:sqref>
        </x14:dataValidation>
        <x14:dataValidation type="list" allowBlank="1" showInputMessage="1" showErrorMessage="1">
          <x14:formula1>
            <xm:f>Datos!$F$2:$F$3</xm:f>
          </x14:formula1>
          <xm:sqref>G2:G60</xm:sqref>
        </x14:dataValidation>
        <x14:dataValidation type="list" allowBlank="1">
          <x14:formula1>
            <xm:f>Datos!$H$2:$H$9</xm:f>
          </x14:formula1>
          <xm:sqref>A2:A60</xm:sqref>
        </x14:dataValidation>
        <x14:dataValidation type="list" allowBlank="1" showInputMessage="1" showErrorMessage="1">
          <x14:formula1>
            <xm:f>Datos!$L$2:$L$3</xm:f>
          </x14:formula1>
          <xm:sqref>O19</xm:sqref>
        </x14:dataValidation>
        <x14:dataValidation type="list" allowBlank="1" showInputMessage="1" showErrorMessage="1">
          <x14:formula1>
            <xm:f>Datos!N2:N3</xm:f>
          </x14:formula1>
          <xm:sqref>O20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9"/>
  <sheetViews>
    <sheetView workbookViewId="0">
      <selection activeCell="N1" sqref="N1:N3"/>
    </sheetView>
  </sheetViews>
  <sheetFormatPr baseColWidth="10" defaultRowHeight="13.2" x14ac:dyDescent="0.25"/>
  <cols>
    <col min="2" max="2" width="13.5546875" customWidth="1"/>
    <col min="6" max="6" width="15.44140625" customWidth="1"/>
    <col min="8" max="8" width="16.44140625" bestFit="1" customWidth="1"/>
    <col min="12" max="12" width="16.5546875" bestFit="1" customWidth="1"/>
  </cols>
  <sheetData>
    <row r="1" spans="1:14" x14ac:dyDescent="0.25">
      <c r="A1" s="1" t="s">
        <v>3</v>
      </c>
      <c r="B1" s="1" t="s">
        <v>4</v>
      </c>
      <c r="C1" s="37" t="s">
        <v>22</v>
      </c>
      <c r="D1" s="37"/>
      <c r="F1" s="1" t="s">
        <v>26</v>
      </c>
      <c r="H1" s="18" t="s">
        <v>31</v>
      </c>
      <c r="J1" s="18" t="s">
        <v>41</v>
      </c>
      <c r="L1" s="18" t="s">
        <v>48</v>
      </c>
      <c r="N1" s="18" t="s">
        <v>61</v>
      </c>
    </row>
    <row r="2" spans="1:14" x14ac:dyDescent="0.25">
      <c r="A2" s="1" t="s">
        <v>5</v>
      </c>
      <c r="B2" s="1" t="s">
        <v>8</v>
      </c>
      <c r="C2" s="3" t="s">
        <v>16</v>
      </c>
      <c r="D2" s="4">
        <v>3</v>
      </c>
      <c r="F2" s="1" t="s">
        <v>45</v>
      </c>
      <c r="H2" s="17" t="s">
        <v>51</v>
      </c>
      <c r="J2" s="28" t="s">
        <v>42</v>
      </c>
      <c r="L2" s="28" t="s">
        <v>49</v>
      </c>
      <c r="N2" s="28" t="s">
        <v>62</v>
      </c>
    </row>
    <row r="3" spans="1:14" x14ac:dyDescent="0.25">
      <c r="A3" s="1" t="s">
        <v>6</v>
      </c>
      <c r="B3" s="1" t="s">
        <v>9</v>
      </c>
      <c r="C3" s="3" t="s">
        <v>17</v>
      </c>
      <c r="D3" s="4">
        <v>9600</v>
      </c>
      <c r="F3" s="1" t="s">
        <v>46</v>
      </c>
      <c r="H3" s="17" t="s">
        <v>52</v>
      </c>
      <c r="J3" s="28" t="s">
        <v>43</v>
      </c>
      <c r="L3" s="28" t="s">
        <v>50</v>
      </c>
      <c r="N3" s="28" t="s">
        <v>63</v>
      </c>
    </row>
    <row r="4" spans="1:14" x14ac:dyDescent="0.25">
      <c r="A4" s="1" t="s">
        <v>7</v>
      </c>
      <c r="B4" s="1" t="s">
        <v>10</v>
      </c>
      <c r="C4" s="3" t="s">
        <v>18</v>
      </c>
      <c r="D4" s="4" t="s">
        <v>19</v>
      </c>
      <c r="H4" s="17" t="s">
        <v>53</v>
      </c>
    </row>
    <row r="5" spans="1:14" x14ac:dyDescent="0.25">
      <c r="C5" s="3" t="s">
        <v>20</v>
      </c>
      <c r="D5" s="4">
        <v>8</v>
      </c>
      <c r="H5" s="17" t="s">
        <v>54</v>
      </c>
    </row>
    <row r="6" spans="1:14" x14ac:dyDescent="0.25">
      <c r="C6" s="3" t="s">
        <v>21</v>
      </c>
      <c r="D6" s="4">
        <v>2</v>
      </c>
      <c r="H6" s="17" t="s">
        <v>55</v>
      </c>
    </row>
    <row r="7" spans="1:14" x14ac:dyDescent="0.25">
      <c r="H7" s="17" t="s">
        <v>56</v>
      </c>
    </row>
    <row r="8" spans="1:14" x14ac:dyDescent="0.25">
      <c r="H8" s="17" t="s">
        <v>57</v>
      </c>
    </row>
    <row r="9" spans="1:14" x14ac:dyDescent="0.25">
      <c r="H9" s="17" t="s">
        <v>58</v>
      </c>
    </row>
  </sheetData>
  <mergeCells count="1">
    <mergeCell ref="C1:D1"/>
  </mergeCells>
  <dataValidations count="3">
    <dataValidation type="list" allowBlank="1" showInputMessage="1" showErrorMessage="1" sqref="D4">
      <formula1>"N,O,E"</formula1>
    </dataValidation>
    <dataValidation type="list" allowBlank="1" showInputMessage="1" showErrorMessage="1" sqref="D2">
      <formula1>"1,2,3,4,5"</formula1>
    </dataValidation>
    <dataValidation type="list" allowBlank="1" showInputMessage="1" showErrorMessage="1" sqref="D3">
      <formula1>"1200,2400,4800,9600,19200,38400"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60"/>
  <sheetViews>
    <sheetView workbookViewId="0">
      <selection activeCell="C2" sqref="C2"/>
    </sheetView>
  </sheetViews>
  <sheetFormatPr baseColWidth="10" defaultRowHeight="13.2" x14ac:dyDescent="0.25"/>
  <cols>
    <col min="3" max="3" width="24.6640625" bestFit="1" customWidth="1"/>
  </cols>
  <sheetData>
    <row r="1" spans="1:3" ht="14.4" x14ac:dyDescent="0.3">
      <c r="A1" s="20" t="s">
        <v>9</v>
      </c>
      <c r="B1" s="20" t="s">
        <v>33</v>
      </c>
      <c r="C1" s="20" t="s">
        <v>34</v>
      </c>
    </row>
    <row r="2" spans="1:3" x14ac:dyDescent="0.25">
      <c r="A2" s="21" t="str">
        <f>IF(CE!A2="","",CE!A2)</f>
        <v>P-50 I</v>
      </c>
      <c r="B2" s="21" t="str">
        <f>IF(CE!M2="","",CE!M2)</f>
        <v/>
      </c>
      <c r="C2" s="21" t="str">
        <f>IF(B2="","",IF(VALUE(B2)&lt;0.2,"No hay problemas de salinidad","Posible problema de salinidad"))</f>
        <v/>
      </c>
    </row>
    <row r="3" spans="1:3" x14ac:dyDescent="0.25">
      <c r="A3" s="21" t="str">
        <f>IF(CE!A3="","",CE!A3)</f>
        <v>P-147 I</v>
      </c>
      <c r="B3" s="21" t="str">
        <f>IF(CE!M3="","",CE!M3)</f>
        <v/>
      </c>
      <c r="C3" s="21" t="str">
        <f t="shared" ref="C3:C60" si="0">IF(B3="","",IF(VALUE(B3)&lt;0.2,"No hay problemas de salinidad","Posible problema de salinidad"))</f>
        <v/>
      </c>
    </row>
    <row r="4" spans="1:3" x14ac:dyDescent="0.25">
      <c r="A4" s="21" t="str">
        <f>IF(CE!A4="","",CE!A4)</f>
        <v>P-500 I</v>
      </c>
      <c r="B4" s="21" t="str">
        <f>IF(CE!M4="","",CE!M4)</f>
        <v/>
      </c>
      <c r="C4" s="21" t="str">
        <f t="shared" si="0"/>
        <v/>
      </c>
    </row>
    <row r="5" spans="1:3" x14ac:dyDescent="0.25">
      <c r="A5" s="21" t="str">
        <f>IF(CE!A5="","",CE!A5)</f>
        <v>P-1413 I</v>
      </c>
      <c r="B5" s="21" t="str">
        <f>IF(CE!M5="","",CE!M5)</f>
        <v/>
      </c>
      <c r="C5" s="21" t="str">
        <f t="shared" si="0"/>
        <v/>
      </c>
    </row>
    <row r="6" spans="1:3" x14ac:dyDescent="0.25">
      <c r="A6" s="21" t="str">
        <f>IF(CE!A6="","",CE!A6)</f>
        <v>Blanco 1</v>
      </c>
      <c r="B6" s="21" t="str">
        <f>IF(CE!M6="","",CE!M6)</f>
        <v/>
      </c>
      <c r="C6" s="21" t="str">
        <f t="shared" si="0"/>
        <v/>
      </c>
    </row>
    <row r="7" spans="1:3" x14ac:dyDescent="0.25">
      <c r="A7" s="21" t="str">
        <f>IF(CE!A7="","",CE!A7)</f>
        <v>Blanco 2</v>
      </c>
      <c r="B7" s="21" t="str">
        <f>IF(CE!M7="","",CE!M7)</f>
        <v/>
      </c>
      <c r="C7" s="21" t="str">
        <f t="shared" si="0"/>
        <v/>
      </c>
    </row>
    <row r="8" spans="1:3" x14ac:dyDescent="0.25">
      <c r="A8" s="21" t="str">
        <f>IF(CE!A8="","",CE!A8)</f>
        <v/>
      </c>
      <c r="B8" s="21" t="str">
        <f>IF(CE!M8="","",CE!M8)</f>
        <v/>
      </c>
      <c r="C8" s="21" t="str">
        <f t="shared" si="0"/>
        <v/>
      </c>
    </row>
    <row r="9" spans="1:3" x14ac:dyDescent="0.25">
      <c r="A9" s="21" t="str">
        <f>IF(CE!A9="","",CE!A9)</f>
        <v/>
      </c>
      <c r="B9" s="21" t="str">
        <f>IF(CE!M9="","",CE!M9)</f>
        <v/>
      </c>
      <c r="C9" s="21" t="str">
        <f t="shared" si="0"/>
        <v/>
      </c>
    </row>
    <row r="10" spans="1:3" x14ac:dyDescent="0.25">
      <c r="A10" s="21" t="str">
        <f>IF(CE!A10="","",CE!A10)</f>
        <v/>
      </c>
      <c r="B10" s="21" t="str">
        <f>IF(CE!M10="","",CE!M10)</f>
        <v/>
      </c>
      <c r="C10" s="21" t="str">
        <f t="shared" si="0"/>
        <v/>
      </c>
    </row>
    <row r="11" spans="1:3" x14ac:dyDescent="0.25">
      <c r="A11" s="21" t="str">
        <f>IF(CE!A11="","",CE!A11)</f>
        <v/>
      </c>
      <c r="B11" s="21" t="str">
        <f>IF(CE!M11="","",CE!M11)</f>
        <v/>
      </c>
      <c r="C11" s="21" t="str">
        <f t="shared" si="0"/>
        <v/>
      </c>
    </row>
    <row r="12" spans="1:3" x14ac:dyDescent="0.25">
      <c r="A12" s="21" t="str">
        <f>IF(CE!A12="","",CE!A12)</f>
        <v/>
      </c>
      <c r="B12" s="21" t="str">
        <f>IF(CE!M12="","",CE!M12)</f>
        <v/>
      </c>
      <c r="C12" s="21" t="str">
        <f t="shared" si="0"/>
        <v/>
      </c>
    </row>
    <row r="13" spans="1:3" x14ac:dyDescent="0.25">
      <c r="A13" s="21" t="str">
        <f>IF(CE!A13="","",CE!A13)</f>
        <v/>
      </c>
      <c r="B13" s="21" t="str">
        <f>IF(CE!M13="","",CE!M13)</f>
        <v/>
      </c>
      <c r="C13" s="21" t="str">
        <f t="shared" si="0"/>
        <v/>
      </c>
    </row>
    <row r="14" spans="1:3" x14ac:dyDescent="0.25">
      <c r="A14" s="21" t="str">
        <f>IF(CE!A14="","",CE!A14)</f>
        <v/>
      </c>
      <c r="B14" s="21" t="str">
        <f>IF(CE!M14="","",CE!M14)</f>
        <v/>
      </c>
      <c r="C14" s="21" t="str">
        <f t="shared" si="0"/>
        <v/>
      </c>
    </row>
    <row r="15" spans="1:3" x14ac:dyDescent="0.25">
      <c r="A15" s="21" t="str">
        <f>IF(CE!A15="","",CE!A15)</f>
        <v/>
      </c>
      <c r="B15" s="21" t="str">
        <f>IF(CE!M15="","",CE!M15)</f>
        <v/>
      </c>
      <c r="C15" s="21" t="str">
        <f t="shared" si="0"/>
        <v/>
      </c>
    </row>
    <row r="16" spans="1:3" x14ac:dyDescent="0.25">
      <c r="A16" s="21" t="str">
        <f>IF(CE!A16="","",CE!A16)</f>
        <v/>
      </c>
      <c r="B16" s="21" t="str">
        <f>IF(CE!M16="","",CE!M16)</f>
        <v/>
      </c>
      <c r="C16" s="21" t="str">
        <f t="shared" si="0"/>
        <v/>
      </c>
    </row>
    <row r="17" spans="1:3" x14ac:dyDescent="0.25">
      <c r="A17" s="21" t="str">
        <f>IF(CE!A17="","",CE!A17)</f>
        <v/>
      </c>
      <c r="B17" s="21" t="str">
        <f>IF(CE!M17="","",CE!M17)</f>
        <v/>
      </c>
      <c r="C17" s="21" t="str">
        <f t="shared" si="0"/>
        <v/>
      </c>
    </row>
    <row r="18" spans="1:3" x14ac:dyDescent="0.25">
      <c r="A18" s="21" t="str">
        <f>IF(CE!A18="","",CE!A18)</f>
        <v/>
      </c>
      <c r="B18" s="21" t="str">
        <f>IF(CE!M18="","",CE!M18)</f>
        <v/>
      </c>
      <c r="C18" s="21" t="str">
        <f t="shared" si="0"/>
        <v/>
      </c>
    </row>
    <row r="19" spans="1:3" x14ac:dyDescent="0.25">
      <c r="A19" s="21" t="str">
        <f>IF(CE!A19="","",CE!A19)</f>
        <v/>
      </c>
      <c r="B19" s="21" t="str">
        <f>IF(CE!M19="","",CE!M19)</f>
        <v/>
      </c>
      <c r="C19" s="21" t="str">
        <f t="shared" si="0"/>
        <v/>
      </c>
    </row>
    <row r="20" spans="1:3" x14ac:dyDescent="0.25">
      <c r="A20" s="21" t="str">
        <f>IF(CE!A20="","",CE!A20)</f>
        <v/>
      </c>
      <c r="B20" s="21" t="str">
        <f>IF(CE!M20="","",CE!M20)</f>
        <v/>
      </c>
      <c r="C20" s="21" t="str">
        <f t="shared" si="0"/>
        <v/>
      </c>
    </row>
    <row r="21" spans="1:3" x14ac:dyDescent="0.25">
      <c r="A21" s="21" t="str">
        <f>IF(CE!A21="","",CE!A21)</f>
        <v/>
      </c>
      <c r="B21" s="21" t="str">
        <f>IF(CE!M21="","",CE!M21)</f>
        <v/>
      </c>
      <c r="C21" s="21" t="str">
        <f t="shared" si="0"/>
        <v/>
      </c>
    </row>
    <row r="22" spans="1:3" x14ac:dyDescent="0.25">
      <c r="A22" s="21" t="str">
        <f>IF(CE!A22="","",CE!A22)</f>
        <v/>
      </c>
      <c r="B22" s="21" t="str">
        <f>IF(CE!M22="","",CE!M22)</f>
        <v/>
      </c>
      <c r="C22" s="21" t="str">
        <f t="shared" si="0"/>
        <v/>
      </c>
    </row>
    <row r="23" spans="1:3" x14ac:dyDescent="0.25">
      <c r="A23" s="21" t="str">
        <f>IF(CE!A23="","",CE!A23)</f>
        <v/>
      </c>
      <c r="B23" s="21" t="str">
        <f>IF(CE!M23="","",CE!M23)</f>
        <v/>
      </c>
      <c r="C23" s="21" t="str">
        <f t="shared" si="0"/>
        <v/>
      </c>
    </row>
    <row r="24" spans="1:3" x14ac:dyDescent="0.25">
      <c r="A24" s="21" t="str">
        <f>IF(CE!A24="","",CE!A24)</f>
        <v/>
      </c>
      <c r="B24" s="21" t="str">
        <f>IF(CE!M24="","",CE!M24)</f>
        <v/>
      </c>
      <c r="C24" s="21" t="str">
        <f t="shared" si="0"/>
        <v/>
      </c>
    </row>
    <row r="25" spans="1:3" x14ac:dyDescent="0.25">
      <c r="A25" s="21" t="str">
        <f>IF(CE!A25="","",CE!A25)</f>
        <v/>
      </c>
      <c r="B25" s="21" t="str">
        <f>IF(CE!M25="","",CE!M25)</f>
        <v/>
      </c>
      <c r="C25" s="21" t="str">
        <f t="shared" si="0"/>
        <v/>
      </c>
    </row>
    <row r="26" spans="1:3" x14ac:dyDescent="0.25">
      <c r="A26" s="21" t="str">
        <f>IF(CE!A26="","",CE!A26)</f>
        <v/>
      </c>
      <c r="B26" s="21" t="str">
        <f>IF(CE!M26="","",CE!M26)</f>
        <v/>
      </c>
      <c r="C26" s="21" t="str">
        <f t="shared" si="0"/>
        <v/>
      </c>
    </row>
    <row r="27" spans="1:3" x14ac:dyDescent="0.25">
      <c r="A27" s="21" t="str">
        <f>IF(CE!A27="","",CE!A27)</f>
        <v/>
      </c>
      <c r="B27" s="21" t="str">
        <f>IF(CE!M27="","",CE!M27)</f>
        <v/>
      </c>
      <c r="C27" s="21" t="str">
        <f t="shared" si="0"/>
        <v/>
      </c>
    </row>
    <row r="28" spans="1:3" x14ac:dyDescent="0.25">
      <c r="A28" s="21" t="str">
        <f>IF(CE!A28="","",CE!A28)</f>
        <v/>
      </c>
      <c r="B28" s="21" t="str">
        <f>IF(CE!M28="","",CE!M28)</f>
        <v/>
      </c>
      <c r="C28" s="21" t="str">
        <f t="shared" si="0"/>
        <v/>
      </c>
    </row>
    <row r="29" spans="1:3" x14ac:dyDescent="0.25">
      <c r="A29" s="21" t="str">
        <f>IF(CE!A29="","",CE!A29)</f>
        <v/>
      </c>
      <c r="B29" s="21" t="str">
        <f>IF(CE!M29="","",CE!M29)</f>
        <v/>
      </c>
      <c r="C29" s="21" t="str">
        <f t="shared" si="0"/>
        <v/>
      </c>
    </row>
    <row r="30" spans="1:3" x14ac:dyDescent="0.25">
      <c r="A30" s="21" t="str">
        <f>IF(CE!A30="","",CE!A30)</f>
        <v/>
      </c>
      <c r="B30" s="21" t="str">
        <f>IF(CE!M30="","",CE!M30)</f>
        <v/>
      </c>
      <c r="C30" s="21" t="str">
        <f t="shared" si="0"/>
        <v/>
      </c>
    </row>
    <row r="31" spans="1:3" x14ac:dyDescent="0.25">
      <c r="A31" s="21" t="str">
        <f>IF(CE!A31="","",CE!A31)</f>
        <v/>
      </c>
      <c r="B31" s="21" t="str">
        <f>IF(CE!M31="","",CE!M31)</f>
        <v/>
      </c>
      <c r="C31" s="21" t="str">
        <f t="shared" si="0"/>
        <v/>
      </c>
    </row>
    <row r="32" spans="1:3" x14ac:dyDescent="0.25">
      <c r="A32" s="21" t="str">
        <f>IF(CE!A32="","",CE!A32)</f>
        <v/>
      </c>
      <c r="B32" s="21" t="str">
        <f>IF(CE!M32="","",CE!M32)</f>
        <v/>
      </c>
      <c r="C32" s="21" t="str">
        <f t="shared" si="0"/>
        <v/>
      </c>
    </row>
    <row r="33" spans="1:3" x14ac:dyDescent="0.25">
      <c r="A33" s="21" t="str">
        <f>IF(CE!A33="","",CE!A33)</f>
        <v/>
      </c>
      <c r="B33" s="21" t="str">
        <f>IF(CE!M33="","",CE!M33)</f>
        <v/>
      </c>
      <c r="C33" s="21" t="str">
        <f t="shared" si="0"/>
        <v/>
      </c>
    </row>
    <row r="34" spans="1:3" x14ac:dyDescent="0.25">
      <c r="A34" s="21" t="str">
        <f>IF(CE!A34="","",CE!A34)</f>
        <v/>
      </c>
      <c r="B34" s="21" t="str">
        <f>IF(CE!M34="","",CE!M34)</f>
        <v/>
      </c>
      <c r="C34" s="21" t="str">
        <f t="shared" si="0"/>
        <v/>
      </c>
    </row>
    <row r="35" spans="1:3" x14ac:dyDescent="0.25">
      <c r="A35" s="21" t="str">
        <f>IF(CE!A35="","",CE!A35)</f>
        <v/>
      </c>
      <c r="B35" s="21" t="str">
        <f>IF(CE!M35="","",CE!M35)</f>
        <v/>
      </c>
      <c r="C35" s="21" t="str">
        <f t="shared" si="0"/>
        <v/>
      </c>
    </row>
    <row r="36" spans="1:3" x14ac:dyDescent="0.25">
      <c r="A36" s="21" t="str">
        <f>IF(CE!A36="","",CE!A36)</f>
        <v/>
      </c>
      <c r="B36" s="21" t="str">
        <f>IF(CE!M36="","",CE!M36)</f>
        <v/>
      </c>
      <c r="C36" s="21" t="str">
        <f t="shared" si="0"/>
        <v/>
      </c>
    </row>
    <row r="37" spans="1:3" x14ac:dyDescent="0.25">
      <c r="A37" s="21" t="str">
        <f>IF(CE!A37="","",CE!A37)</f>
        <v/>
      </c>
      <c r="B37" s="21" t="str">
        <f>IF(CE!M37="","",CE!M37)</f>
        <v/>
      </c>
      <c r="C37" s="21" t="str">
        <f t="shared" si="0"/>
        <v/>
      </c>
    </row>
    <row r="38" spans="1:3" x14ac:dyDescent="0.25">
      <c r="A38" s="21" t="str">
        <f>IF(CE!A38="","",CE!A38)</f>
        <v/>
      </c>
      <c r="B38" s="21" t="str">
        <f>IF(CE!M38="","",CE!M38)</f>
        <v/>
      </c>
      <c r="C38" s="21" t="str">
        <f t="shared" si="0"/>
        <v/>
      </c>
    </row>
    <row r="39" spans="1:3" x14ac:dyDescent="0.25">
      <c r="A39" s="21" t="str">
        <f>IF(CE!A39="","",CE!A39)</f>
        <v/>
      </c>
      <c r="B39" s="21" t="str">
        <f>IF(CE!M39="","",CE!M39)</f>
        <v/>
      </c>
      <c r="C39" s="21" t="str">
        <f t="shared" si="0"/>
        <v/>
      </c>
    </row>
    <row r="40" spans="1:3" x14ac:dyDescent="0.25">
      <c r="A40" s="21" t="str">
        <f>IF(CE!A40="","",CE!A40)</f>
        <v/>
      </c>
      <c r="B40" s="21" t="str">
        <f>IF(CE!M40="","",CE!M40)</f>
        <v/>
      </c>
      <c r="C40" s="21" t="str">
        <f t="shared" si="0"/>
        <v/>
      </c>
    </row>
    <row r="41" spans="1:3" x14ac:dyDescent="0.25">
      <c r="A41" s="21" t="str">
        <f>IF(CE!A41="","",CE!A41)</f>
        <v/>
      </c>
      <c r="B41" s="21" t="str">
        <f>IF(CE!M41="","",CE!M41)</f>
        <v/>
      </c>
      <c r="C41" s="21" t="str">
        <f t="shared" si="0"/>
        <v/>
      </c>
    </row>
    <row r="42" spans="1:3" x14ac:dyDescent="0.25">
      <c r="A42" s="21" t="str">
        <f>IF(CE!A42="","",CE!A42)</f>
        <v/>
      </c>
      <c r="B42" s="21" t="str">
        <f>IF(CE!M42="","",CE!M42)</f>
        <v/>
      </c>
      <c r="C42" s="21" t="str">
        <f t="shared" si="0"/>
        <v/>
      </c>
    </row>
    <row r="43" spans="1:3" x14ac:dyDescent="0.25">
      <c r="A43" s="21" t="str">
        <f>IF(CE!A43="","",CE!A43)</f>
        <v/>
      </c>
      <c r="B43" s="21" t="str">
        <f>IF(CE!M43="","",CE!M43)</f>
        <v/>
      </c>
      <c r="C43" s="21" t="str">
        <f t="shared" si="0"/>
        <v/>
      </c>
    </row>
    <row r="44" spans="1:3" x14ac:dyDescent="0.25">
      <c r="A44" s="21" t="str">
        <f>IF(CE!A44="","",CE!A44)</f>
        <v/>
      </c>
      <c r="B44" s="21" t="str">
        <f>IF(CE!M44="","",CE!M44)</f>
        <v/>
      </c>
      <c r="C44" s="21" t="str">
        <f t="shared" si="0"/>
        <v/>
      </c>
    </row>
    <row r="45" spans="1:3" x14ac:dyDescent="0.25">
      <c r="A45" s="21" t="str">
        <f>IF(CE!A45="","",CE!A45)</f>
        <v/>
      </c>
      <c r="B45" s="21" t="str">
        <f>IF(CE!M45="","",CE!M45)</f>
        <v/>
      </c>
      <c r="C45" s="21" t="str">
        <f t="shared" si="0"/>
        <v/>
      </c>
    </row>
    <row r="46" spans="1:3" x14ac:dyDescent="0.25">
      <c r="A46" s="21" t="str">
        <f>IF(CE!A46="","",CE!A46)</f>
        <v/>
      </c>
      <c r="B46" s="21" t="str">
        <f>IF(CE!M46="","",CE!M46)</f>
        <v/>
      </c>
      <c r="C46" s="21" t="str">
        <f t="shared" si="0"/>
        <v/>
      </c>
    </row>
    <row r="47" spans="1:3" x14ac:dyDescent="0.25">
      <c r="A47" s="21" t="str">
        <f>IF(CE!A47="","",CE!A47)</f>
        <v/>
      </c>
      <c r="B47" s="21" t="str">
        <f>IF(CE!M47="","",CE!M47)</f>
        <v/>
      </c>
      <c r="C47" s="21" t="str">
        <f t="shared" si="0"/>
        <v/>
      </c>
    </row>
    <row r="48" spans="1:3" x14ac:dyDescent="0.25">
      <c r="A48" s="21" t="str">
        <f>IF(CE!A48="","",CE!A48)</f>
        <v/>
      </c>
      <c r="B48" s="21" t="str">
        <f>IF(CE!M48="","",CE!M48)</f>
        <v/>
      </c>
      <c r="C48" s="21" t="str">
        <f t="shared" si="0"/>
        <v/>
      </c>
    </row>
    <row r="49" spans="1:3" x14ac:dyDescent="0.25">
      <c r="A49" s="21" t="str">
        <f>IF(CE!A49="","",CE!A49)</f>
        <v/>
      </c>
      <c r="B49" s="21" t="str">
        <f>IF(CE!M49="","",CE!M49)</f>
        <v/>
      </c>
      <c r="C49" s="21" t="str">
        <f t="shared" si="0"/>
        <v/>
      </c>
    </row>
    <row r="50" spans="1:3" x14ac:dyDescent="0.25">
      <c r="A50" s="21" t="str">
        <f>IF(CE!A50="","",CE!A50)</f>
        <v>R-</v>
      </c>
      <c r="B50" s="21" t="str">
        <f>IF(CE!M50="","",CE!M50)</f>
        <v/>
      </c>
      <c r="C50" s="21" t="str">
        <f t="shared" si="0"/>
        <v/>
      </c>
    </row>
    <row r="51" spans="1:3" x14ac:dyDescent="0.25">
      <c r="A51" s="21" t="str">
        <f>IF(CE!A51="","",CE!A51)</f>
        <v>R-</v>
      </c>
      <c r="B51" s="21" t="str">
        <f>IF(CE!M51="","",CE!M51)</f>
        <v/>
      </c>
      <c r="C51" s="21" t="str">
        <f t="shared" si="0"/>
        <v/>
      </c>
    </row>
    <row r="52" spans="1:3" x14ac:dyDescent="0.25">
      <c r="A52" s="21" t="str">
        <f>IF(CE!A52="","",CE!A52)</f>
        <v>R-</v>
      </c>
      <c r="B52" s="21" t="str">
        <f>IF(CE!M52="","",CE!M52)</f>
        <v/>
      </c>
      <c r="C52" s="21" t="str">
        <f t="shared" si="0"/>
        <v/>
      </c>
    </row>
    <row r="53" spans="1:3" x14ac:dyDescent="0.25">
      <c r="A53" s="21" t="str">
        <f>IF(CE!A53="","",CE!A53)</f>
        <v>R-</v>
      </c>
      <c r="B53" s="21" t="str">
        <f>IF(CE!M53="","",CE!M53)</f>
        <v/>
      </c>
      <c r="C53" s="21" t="str">
        <f t="shared" si="0"/>
        <v/>
      </c>
    </row>
    <row r="54" spans="1:3" x14ac:dyDescent="0.25">
      <c r="A54" s="21" t="str">
        <f>IF(CE!A54="","",CE!A54)</f>
        <v>R-</v>
      </c>
      <c r="B54" s="21" t="str">
        <f>IF(CE!M54="","",CE!M54)</f>
        <v/>
      </c>
      <c r="C54" s="21" t="str">
        <f t="shared" si="0"/>
        <v/>
      </c>
    </row>
    <row r="55" spans="1:3" x14ac:dyDescent="0.25">
      <c r="A55" s="21" t="str">
        <f>IF(CE!A55="","",CE!A55)</f>
        <v>P-50 F</v>
      </c>
      <c r="B55" s="21" t="str">
        <f>IF(CE!M55="","",CE!M55)</f>
        <v/>
      </c>
      <c r="C55" s="21" t="str">
        <f t="shared" si="0"/>
        <v/>
      </c>
    </row>
    <row r="56" spans="1:3" x14ac:dyDescent="0.25">
      <c r="A56" s="21" t="str">
        <f>IF(CE!A56="","",CE!A56)</f>
        <v>P-147 F</v>
      </c>
      <c r="B56" s="21" t="str">
        <f>IF(CE!M56="","",CE!M56)</f>
        <v/>
      </c>
      <c r="C56" s="21" t="str">
        <f t="shared" si="0"/>
        <v/>
      </c>
    </row>
    <row r="57" spans="1:3" x14ac:dyDescent="0.25">
      <c r="A57" s="21" t="str">
        <f>IF(CE!A57="","",CE!A57)</f>
        <v>P-500 F</v>
      </c>
      <c r="B57" s="21" t="str">
        <f>IF(CE!M57="","",CE!M57)</f>
        <v/>
      </c>
      <c r="C57" s="21" t="str">
        <f t="shared" si="0"/>
        <v/>
      </c>
    </row>
    <row r="58" spans="1:3" x14ac:dyDescent="0.25">
      <c r="A58" s="21" t="str">
        <f>IF(CE!A58="","",CE!A58)</f>
        <v>P-1413 F</v>
      </c>
      <c r="B58" s="21" t="str">
        <f>IF(CE!M58="","",CE!M58)</f>
        <v/>
      </c>
      <c r="C58" s="21" t="str">
        <f t="shared" si="0"/>
        <v/>
      </c>
    </row>
    <row r="59" spans="1:3" x14ac:dyDescent="0.25">
      <c r="A59" s="21" t="str">
        <f>IF(CE!A59="","",CE!A59)</f>
        <v/>
      </c>
      <c r="B59" s="21" t="str">
        <f>IF(CE!M59="","",CE!M59)</f>
        <v/>
      </c>
      <c r="C59" s="21" t="str">
        <f t="shared" si="0"/>
        <v/>
      </c>
    </row>
    <row r="60" spans="1:3" x14ac:dyDescent="0.25">
      <c r="A60" s="21" t="str">
        <f>IF(CE!A60="","",CE!A60)</f>
        <v/>
      </c>
      <c r="B60" s="21" t="str">
        <f>IF(CE!M60="","",CE!M60)</f>
        <v/>
      </c>
      <c r="C60" s="21" t="str">
        <f t="shared" si="0"/>
        <v/>
      </c>
    </row>
  </sheetData>
  <sheetProtection password="D1D1" sheet="1" objects="1" scenarios="1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Valorador" Type="http://schemas.openxmlformats.org/officeDocument/2006/relationships/image" Target="images/450.jpg"/></Relationships>
</file>

<file path=customUI/customUI14.xml><?xml version="1.0" encoding="utf-8"?>
<customUI xmlns="http://schemas.microsoft.com/office/2009/07/customui">
  <ribbon>
    <tabs>
      <tab id="AnalisispCE" label="Análisis de CE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7" label="Capturar OT">
          <button id="ListadoOT" label="Capturar OT" size="large" imageMso="CreateReport" onAction="Modulo5.ListadoOT_Click"/>
        </group>
        <group id="customGroup2" label="Capturar Valorador Metrohm">
          <button id="CapturarMetrohm" label="Capturar Metrohm" size="large" image="Valorador" onAction="Modulo5.importarV_Click"/>
        </group>
        <group id="customGroup5" label="Generar Listado Metrohm">
          <button id="ListadoMuestras" label="Generar Listado Metrohm" size="large" imageMso="CreateReport" onAction="Modulo5.ListadoMuestras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CE</vt:lpstr>
      <vt:lpstr>Datos</vt:lpstr>
      <vt:lpstr>NecesidadesCE</vt:lpstr>
      <vt:lpstr>CE!Área_de_impresión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keywords>IT-15.13.06</cp:keywords>
  <cp:lastModifiedBy>ms1</cp:lastModifiedBy>
  <cp:lastPrinted>2019-10-28T09:43:17Z</cp:lastPrinted>
  <dcterms:created xsi:type="dcterms:W3CDTF">2010-01-18T16:18:30Z</dcterms:created>
  <dcterms:modified xsi:type="dcterms:W3CDTF">2020-11-23T08:17:00Z</dcterms:modified>
</cp:coreProperties>
</file>