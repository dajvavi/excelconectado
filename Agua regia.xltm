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5b096bddac042e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19200" windowHeight="7392" tabRatio="537"/>
  </bookViews>
  <sheets>
    <sheet name="Pesada" sheetId="4" r:id="rId1"/>
    <sheet name="METALESPESADOS" sheetId="1" r:id="rId2"/>
    <sheet name="MACROMICROELEMENTOS" sheetId="10" r:id="rId3"/>
    <sheet name="Datos" sheetId="5" r:id="rId4"/>
  </sheets>
  <functionGroups builtInGroupCount="17"/>
  <externalReferences>
    <externalReference r:id="rId5"/>
  </externalReferences>
  <definedNames>
    <definedName name="_xlcn.WorksheetConnection_ICPOES.xltmTabla2" hidden="1">METALESPESADOS!$D$1:$AZ$2</definedName>
    <definedName name="_xlcn.WorksheetConnection_ICPOES.xltmTabla3" hidden="1">[1]AC!$A$1:$J$2</definedName>
    <definedName name="_xlnm.Print_Area" localSheetId="2">MACROMICROELEMENTOS!$A$1:$CO$43</definedName>
    <definedName name="_xlnm.Print_Area" localSheetId="1">METALESPESADOS!$A$1:$BI$43</definedName>
    <definedName name="_xlnm.Print_Titles" localSheetId="2">MACROMICROELEMENTOS!$A:$A,MACROMICROELEMENTOS!$1:$1</definedName>
    <definedName name="_xlnm.Print_Titles" localSheetId="1">METALESPESADOS!$A:$A,METALESPESADOS!$1:$1</definedName>
  </definedNames>
  <calcPr calcId="145621"/>
  <extLst>
    <ext xmlns:x15="http://schemas.microsoft.com/office/spreadsheetml/2010/11/main" uri="{FCE2AD5D-F65C-4FA6-A056-5C36A1767C68}">
      <x15:dataModel>
        <x15:modelTables>
          <x15:modelTable id="Tabla3-a8fc9257-e98f-44b4-903b-c06917b8e98b" name="Tabla3" connection="WorksheetConnection_ICP-OES.xltm!Tabla3"/>
          <x15:modelTable id="Tabla2-30dd5243-db8b-44a9-a8b4-31843433e12d" name="Tabla2" connection="WorksheetConnection_ICP-OES.xltm!Tabla2"/>
        </x15:modelTables>
      </x15:dataModel>
    </ext>
  </extLst>
</workbook>
</file>

<file path=xl/calcChain.xml><?xml version="1.0" encoding="utf-8"?>
<calcChain xmlns="http://schemas.openxmlformats.org/spreadsheetml/2006/main">
  <c r="CJ3" i="10" l="1"/>
  <c r="CJ4" i="10"/>
  <c r="CJ5" i="10"/>
  <c r="CJ6" i="10"/>
  <c r="CJ7" i="10"/>
  <c r="CJ8" i="10"/>
  <c r="CJ9" i="10"/>
  <c r="CJ10" i="10"/>
  <c r="CJ11" i="10"/>
  <c r="CJ12" i="10"/>
  <c r="CJ13" i="10"/>
  <c r="CJ14" i="10"/>
  <c r="CJ15" i="10"/>
  <c r="CJ16" i="10"/>
  <c r="CJ17" i="10"/>
  <c r="CJ18" i="10"/>
  <c r="CJ19" i="10"/>
  <c r="CJ20" i="10"/>
  <c r="CJ21" i="10"/>
  <c r="CJ22" i="10"/>
  <c r="CJ23" i="10"/>
  <c r="CJ24" i="10"/>
  <c r="CJ25" i="10"/>
  <c r="CJ26" i="10"/>
  <c r="CJ27" i="10"/>
  <c r="CJ28" i="10"/>
  <c r="CJ29" i="10"/>
  <c r="CJ30" i="10"/>
  <c r="CJ31" i="10"/>
  <c r="CJ32" i="10"/>
  <c r="CJ33" i="10"/>
  <c r="CJ34" i="10"/>
  <c r="CJ35" i="10"/>
  <c r="CJ36" i="10"/>
  <c r="CJ37" i="10"/>
  <c r="CJ38" i="10"/>
  <c r="CJ39" i="10"/>
  <c r="CJ40" i="10"/>
  <c r="CJ41" i="10"/>
  <c r="CJ42" i="10"/>
  <c r="CJ43" i="10"/>
  <c r="CJ2" i="10"/>
  <c r="CM3" i="10" l="1"/>
  <c r="CM4" i="10"/>
  <c r="CM5" i="10"/>
  <c r="CM6" i="10"/>
  <c r="CM7" i="10"/>
  <c r="CM8" i="10"/>
  <c r="CM9" i="10"/>
  <c r="CM10" i="10"/>
  <c r="CM11" i="10"/>
  <c r="CM12" i="10"/>
  <c r="CM13" i="10"/>
  <c r="CM14" i="10"/>
  <c r="CM15" i="10"/>
  <c r="CM16" i="10"/>
  <c r="CM17" i="10"/>
  <c r="CM18" i="10"/>
  <c r="CM19" i="10"/>
  <c r="CM20" i="10"/>
  <c r="CM21" i="10"/>
  <c r="CM22" i="10"/>
  <c r="CM23" i="10"/>
  <c r="CM24" i="10"/>
  <c r="CM25" i="10"/>
  <c r="CM26" i="10"/>
  <c r="CM27" i="10"/>
  <c r="CM28" i="10"/>
  <c r="CM29" i="10"/>
  <c r="CM30" i="10"/>
  <c r="CM31" i="10"/>
  <c r="CM32" i="10"/>
  <c r="CM33" i="10"/>
  <c r="CM34" i="10"/>
  <c r="CM35" i="10"/>
  <c r="CM36" i="10"/>
  <c r="CM37" i="10"/>
  <c r="CM38" i="10"/>
  <c r="CM39" i="10"/>
  <c r="CM40" i="10"/>
  <c r="CM41" i="10"/>
  <c r="CM42" i="10"/>
  <c r="CM43" i="10"/>
  <c r="CM2" i="10"/>
  <c r="E3" i="10" l="1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2" i="10"/>
  <c r="CG3" i="10" l="1"/>
  <c r="CG4" i="10"/>
  <c r="CG5" i="10"/>
  <c r="CG6" i="10"/>
  <c r="CG7" i="10"/>
  <c r="CG8" i="10"/>
  <c r="CG9" i="10"/>
  <c r="CG10" i="10"/>
  <c r="CG11" i="10"/>
  <c r="CG12" i="10"/>
  <c r="CG13" i="10"/>
  <c r="CG14" i="10"/>
  <c r="CG15" i="10"/>
  <c r="CG16" i="10"/>
  <c r="CG17" i="10"/>
  <c r="CG18" i="10"/>
  <c r="CG19" i="10"/>
  <c r="CG20" i="10"/>
  <c r="CG21" i="10"/>
  <c r="CG22" i="10"/>
  <c r="CG23" i="10"/>
  <c r="CG24" i="10"/>
  <c r="CG25" i="10"/>
  <c r="CG26" i="10"/>
  <c r="CG27" i="10"/>
  <c r="CG28" i="10"/>
  <c r="CG29" i="10"/>
  <c r="CG30" i="10"/>
  <c r="CG31" i="10"/>
  <c r="CG32" i="10"/>
  <c r="CG33" i="10"/>
  <c r="CG34" i="10"/>
  <c r="CG35" i="10"/>
  <c r="CG36" i="10"/>
  <c r="CG37" i="10"/>
  <c r="CG38" i="10"/>
  <c r="CG39" i="10"/>
  <c r="CG40" i="10"/>
  <c r="CG41" i="10"/>
  <c r="CG42" i="10"/>
  <c r="CG43" i="10"/>
  <c r="CG2" i="10"/>
  <c r="CD3" i="10"/>
  <c r="CD4" i="10"/>
  <c r="CD5" i="10"/>
  <c r="CD6" i="10"/>
  <c r="CD7" i="10"/>
  <c r="CD8" i="10"/>
  <c r="CD9" i="10"/>
  <c r="CD10" i="10"/>
  <c r="CD11" i="10"/>
  <c r="CD12" i="10"/>
  <c r="CD13" i="10"/>
  <c r="CD14" i="10"/>
  <c r="CD15" i="10"/>
  <c r="CD16" i="10"/>
  <c r="CD17" i="10"/>
  <c r="CD18" i="10"/>
  <c r="CD19" i="10"/>
  <c r="CD20" i="10"/>
  <c r="CD21" i="10"/>
  <c r="CD22" i="10"/>
  <c r="CD23" i="10"/>
  <c r="CD24" i="10"/>
  <c r="CD25" i="10"/>
  <c r="CD26" i="10"/>
  <c r="CD27" i="10"/>
  <c r="CD28" i="10"/>
  <c r="CD29" i="10"/>
  <c r="CD30" i="10"/>
  <c r="CD31" i="10"/>
  <c r="CD32" i="10"/>
  <c r="CD33" i="10"/>
  <c r="CD34" i="10"/>
  <c r="CD35" i="10"/>
  <c r="CD36" i="10"/>
  <c r="CD37" i="10"/>
  <c r="CD38" i="10"/>
  <c r="CD39" i="10"/>
  <c r="CD40" i="10"/>
  <c r="CD41" i="10"/>
  <c r="CD42" i="10"/>
  <c r="CD43" i="10"/>
  <c r="CD2" i="10"/>
  <c r="CA3" i="10"/>
  <c r="CA4" i="10"/>
  <c r="CA5" i="10"/>
  <c r="CA6" i="10"/>
  <c r="CA7" i="10"/>
  <c r="CA8" i="10"/>
  <c r="CA9" i="10"/>
  <c r="CA10" i="10"/>
  <c r="CA11" i="10"/>
  <c r="CA12" i="10"/>
  <c r="CA13" i="10"/>
  <c r="CA14" i="10"/>
  <c r="CA15" i="10"/>
  <c r="CA16" i="10"/>
  <c r="CA17" i="10"/>
  <c r="CA18" i="10"/>
  <c r="CA19" i="10"/>
  <c r="CA20" i="10"/>
  <c r="CA21" i="10"/>
  <c r="CA22" i="10"/>
  <c r="CA23" i="10"/>
  <c r="CA24" i="10"/>
  <c r="CA25" i="10"/>
  <c r="CA26" i="10"/>
  <c r="CA27" i="10"/>
  <c r="CA28" i="10"/>
  <c r="CA29" i="10"/>
  <c r="CA30" i="10"/>
  <c r="CA31" i="10"/>
  <c r="CA32" i="10"/>
  <c r="CA33" i="10"/>
  <c r="CA34" i="10"/>
  <c r="CA35" i="10"/>
  <c r="CA36" i="10"/>
  <c r="CA37" i="10"/>
  <c r="CA38" i="10"/>
  <c r="CA39" i="10"/>
  <c r="CA40" i="10"/>
  <c r="CA41" i="10"/>
  <c r="CA42" i="10"/>
  <c r="CA43" i="10"/>
  <c r="CA2" i="10"/>
  <c r="BX3" i="10"/>
  <c r="BX4" i="10"/>
  <c r="BX5" i="10"/>
  <c r="BX6" i="10"/>
  <c r="BX7" i="10"/>
  <c r="BX8" i="10"/>
  <c r="BX9" i="10"/>
  <c r="BX10" i="10"/>
  <c r="BX11" i="10"/>
  <c r="BX12" i="10"/>
  <c r="BX13" i="10"/>
  <c r="BX14" i="10"/>
  <c r="BX15" i="10"/>
  <c r="BX16" i="10"/>
  <c r="BX17" i="10"/>
  <c r="BX18" i="10"/>
  <c r="BX19" i="10"/>
  <c r="BX20" i="10"/>
  <c r="BX21" i="10"/>
  <c r="BX22" i="10"/>
  <c r="BX23" i="10"/>
  <c r="BX24" i="10"/>
  <c r="BX25" i="10"/>
  <c r="BX26" i="10"/>
  <c r="BX27" i="10"/>
  <c r="BX28" i="10"/>
  <c r="BX29" i="10"/>
  <c r="BX30" i="10"/>
  <c r="BX31" i="10"/>
  <c r="BX32" i="10"/>
  <c r="BX33" i="10"/>
  <c r="BX34" i="10"/>
  <c r="BX35" i="10"/>
  <c r="BX36" i="10"/>
  <c r="BX37" i="10"/>
  <c r="BX38" i="10"/>
  <c r="BX39" i="10"/>
  <c r="BX40" i="10"/>
  <c r="BX41" i="10"/>
  <c r="BX42" i="10"/>
  <c r="BX43" i="10"/>
  <c r="BX2" i="10"/>
  <c r="BU3" i="10"/>
  <c r="BU4" i="10"/>
  <c r="BU5" i="10"/>
  <c r="BU6" i="10"/>
  <c r="BU7" i="10"/>
  <c r="BU8" i="10"/>
  <c r="BU9" i="10"/>
  <c r="BU10" i="10"/>
  <c r="BU11" i="10"/>
  <c r="BU12" i="10"/>
  <c r="BU13" i="10"/>
  <c r="BU14" i="10"/>
  <c r="BU15" i="10"/>
  <c r="BU16" i="10"/>
  <c r="BU17" i="10"/>
  <c r="BU18" i="10"/>
  <c r="BU19" i="10"/>
  <c r="BU20" i="10"/>
  <c r="BU21" i="10"/>
  <c r="BU22" i="10"/>
  <c r="BU23" i="10"/>
  <c r="BU24" i="10"/>
  <c r="BU25" i="10"/>
  <c r="BU26" i="10"/>
  <c r="BU27" i="10"/>
  <c r="BU28" i="10"/>
  <c r="BU29" i="10"/>
  <c r="BU30" i="10"/>
  <c r="BU31" i="10"/>
  <c r="BU32" i="10"/>
  <c r="BU33" i="10"/>
  <c r="BU34" i="10"/>
  <c r="BU35" i="10"/>
  <c r="BU36" i="10"/>
  <c r="BU37" i="10"/>
  <c r="BU38" i="10"/>
  <c r="BU39" i="10"/>
  <c r="BU40" i="10"/>
  <c r="BU41" i="10"/>
  <c r="BU42" i="10"/>
  <c r="BU43" i="10"/>
  <c r="BU2" i="10"/>
  <c r="BR3" i="10"/>
  <c r="BR4" i="10"/>
  <c r="BR5" i="10"/>
  <c r="BR6" i="10"/>
  <c r="BR7" i="10"/>
  <c r="BR8" i="10"/>
  <c r="BR9" i="10"/>
  <c r="BR10" i="10"/>
  <c r="BR11" i="10"/>
  <c r="BR12" i="10"/>
  <c r="BR13" i="10"/>
  <c r="BR14" i="10"/>
  <c r="BR15" i="10"/>
  <c r="BR16" i="10"/>
  <c r="BR17" i="10"/>
  <c r="BR18" i="10"/>
  <c r="BR19" i="10"/>
  <c r="BR20" i="10"/>
  <c r="BR21" i="10"/>
  <c r="BR22" i="10"/>
  <c r="BR23" i="10"/>
  <c r="BR24" i="10"/>
  <c r="BR25" i="10"/>
  <c r="BR26" i="10"/>
  <c r="BR27" i="10"/>
  <c r="BR28" i="10"/>
  <c r="BR29" i="10"/>
  <c r="BR30" i="10"/>
  <c r="BR31" i="10"/>
  <c r="BR32" i="10"/>
  <c r="BR33" i="10"/>
  <c r="BR34" i="10"/>
  <c r="BR35" i="10"/>
  <c r="BR36" i="10"/>
  <c r="BR37" i="10"/>
  <c r="BR38" i="10"/>
  <c r="BR39" i="10"/>
  <c r="BR40" i="10"/>
  <c r="BR41" i="10"/>
  <c r="BR42" i="10"/>
  <c r="BR43" i="10"/>
  <c r="BR2" i="10"/>
  <c r="BO3" i="10"/>
  <c r="BO4" i="10"/>
  <c r="BO5" i="10"/>
  <c r="BO6" i="10"/>
  <c r="BO7" i="10"/>
  <c r="BO8" i="10"/>
  <c r="BO9" i="10"/>
  <c r="BO10" i="10"/>
  <c r="BO11" i="10"/>
  <c r="BO12" i="10"/>
  <c r="BO13" i="10"/>
  <c r="BO14" i="10"/>
  <c r="BO15" i="10"/>
  <c r="BO16" i="10"/>
  <c r="BO17" i="10"/>
  <c r="BO18" i="10"/>
  <c r="BO19" i="10"/>
  <c r="BO20" i="10"/>
  <c r="BO21" i="10"/>
  <c r="BO22" i="10"/>
  <c r="BO23" i="10"/>
  <c r="BO24" i="10"/>
  <c r="BO25" i="10"/>
  <c r="BO26" i="10"/>
  <c r="BO27" i="10"/>
  <c r="BO28" i="10"/>
  <c r="BO29" i="10"/>
  <c r="BO30" i="10"/>
  <c r="BO31" i="10"/>
  <c r="BO32" i="10"/>
  <c r="BO33" i="10"/>
  <c r="BO34" i="10"/>
  <c r="BO35" i="10"/>
  <c r="BO36" i="10"/>
  <c r="BO37" i="10"/>
  <c r="BO38" i="10"/>
  <c r="BO39" i="10"/>
  <c r="BO40" i="10"/>
  <c r="BO41" i="10"/>
  <c r="BO42" i="10"/>
  <c r="BO43" i="10"/>
  <c r="BO2" i="10"/>
  <c r="BL3" i="10"/>
  <c r="BL4" i="10"/>
  <c r="BL5" i="10"/>
  <c r="BL6" i="10"/>
  <c r="BL7" i="10"/>
  <c r="BL8" i="10"/>
  <c r="BL9" i="10"/>
  <c r="BL10" i="10"/>
  <c r="BL11" i="10"/>
  <c r="BL12" i="10"/>
  <c r="BL13" i="10"/>
  <c r="BL14" i="10"/>
  <c r="BL15" i="10"/>
  <c r="BL16" i="10"/>
  <c r="BL17" i="10"/>
  <c r="BL18" i="10"/>
  <c r="BL19" i="10"/>
  <c r="BL20" i="10"/>
  <c r="BL21" i="10"/>
  <c r="BL22" i="10"/>
  <c r="BL23" i="10"/>
  <c r="BL24" i="10"/>
  <c r="BL25" i="10"/>
  <c r="BL26" i="10"/>
  <c r="BL27" i="10"/>
  <c r="BL28" i="10"/>
  <c r="BL29" i="10"/>
  <c r="BL30" i="10"/>
  <c r="BL31" i="10"/>
  <c r="BL32" i="10"/>
  <c r="BL33" i="10"/>
  <c r="BL34" i="10"/>
  <c r="BL35" i="10"/>
  <c r="BL36" i="10"/>
  <c r="BL37" i="10"/>
  <c r="BL38" i="10"/>
  <c r="BL39" i="10"/>
  <c r="BL40" i="10"/>
  <c r="BL41" i="10"/>
  <c r="BL42" i="10"/>
  <c r="BL43" i="10"/>
  <c r="BL2" i="10"/>
  <c r="BI43" i="10"/>
  <c r="BI3" i="10"/>
  <c r="BI4" i="10"/>
  <c r="BI5" i="10"/>
  <c r="BI6" i="10"/>
  <c r="BI7" i="10"/>
  <c r="BI8" i="10"/>
  <c r="BI9" i="10"/>
  <c r="BI10" i="10"/>
  <c r="BI11" i="10"/>
  <c r="BI12" i="10"/>
  <c r="BI13" i="10"/>
  <c r="BI14" i="10"/>
  <c r="BI15" i="10"/>
  <c r="BI16" i="10"/>
  <c r="BI17" i="10"/>
  <c r="BI18" i="10"/>
  <c r="BI19" i="10"/>
  <c r="BI20" i="10"/>
  <c r="BI21" i="10"/>
  <c r="BI22" i="10"/>
  <c r="BI23" i="10"/>
  <c r="BI24" i="10"/>
  <c r="BI25" i="10"/>
  <c r="BI26" i="10"/>
  <c r="BI27" i="10"/>
  <c r="BI28" i="10"/>
  <c r="BI29" i="10"/>
  <c r="BI30" i="10"/>
  <c r="BI31" i="10"/>
  <c r="BI32" i="10"/>
  <c r="BI33" i="10"/>
  <c r="BI34" i="10"/>
  <c r="BI35" i="10"/>
  <c r="BI36" i="10"/>
  <c r="BI37" i="10"/>
  <c r="BI38" i="10"/>
  <c r="BI39" i="10"/>
  <c r="BI40" i="10"/>
  <c r="BI41" i="10"/>
  <c r="BI42" i="10"/>
  <c r="BI2" i="10"/>
  <c r="BG43" i="1"/>
  <c r="BG3" i="1"/>
  <c r="BG4" i="1"/>
  <c r="BG5" i="1"/>
  <c r="BG6" i="1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2" i="1"/>
  <c r="BD43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2" i="1"/>
  <c r="BA43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A30" i="1"/>
  <c r="BA31" i="1"/>
  <c r="BA32" i="1"/>
  <c r="BA33" i="1"/>
  <c r="BA34" i="1"/>
  <c r="BA35" i="1"/>
  <c r="BA36" i="1"/>
  <c r="BA37" i="1"/>
  <c r="BA38" i="1"/>
  <c r="BA39" i="1"/>
  <c r="BA40" i="1"/>
  <c r="BA41" i="1"/>
  <c r="BA42" i="1"/>
  <c r="BA2" i="1"/>
  <c r="AX2" i="1"/>
  <c r="AU2" i="1"/>
  <c r="AR3" i="1"/>
  <c r="AR2" i="1"/>
  <c r="AO2" i="1"/>
  <c r="C43" i="10" l="1"/>
  <c r="B43" i="10"/>
  <c r="A43" i="10"/>
  <c r="C42" i="10"/>
  <c r="B42" i="10"/>
  <c r="A42" i="10"/>
  <c r="C41" i="10"/>
  <c r="B41" i="10"/>
  <c r="A41" i="10"/>
  <c r="C40" i="10"/>
  <c r="B40" i="10"/>
  <c r="A40" i="10"/>
  <c r="C39" i="10"/>
  <c r="B39" i="10"/>
  <c r="A39" i="10"/>
  <c r="C38" i="10"/>
  <c r="B38" i="10"/>
  <c r="A38" i="10"/>
  <c r="C37" i="10"/>
  <c r="B37" i="10"/>
  <c r="A37" i="10"/>
  <c r="C36" i="10"/>
  <c r="B36" i="10"/>
  <c r="A36" i="10"/>
  <c r="C35" i="10"/>
  <c r="B35" i="10"/>
  <c r="A35" i="10"/>
  <c r="C34" i="10"/>
  <c r="B34" i="10"/>
  <c r="A34" i="10"/>
  <c r="C33" i="10"/>
  <c r="B33" i="10"/>
  <c r="A33" i="10"/>
  <c r="C32" i="10"/>
  <c r="B32" i="10"/>
  <c r="A32" i="10"/>
  <c r="C31" i="10"/>
  <c r="B31" i="10"/>
  <c r="A31" i="10"/>
  <c r="C30" i="10"/>
  <c r="B30" i="10"/>
  <c r="A30" i="10"/>
  <c r="C29" i="10"/>
  <c r="B29" i="10"/>
  <c r="A29" i="10"/>
  <c r="C28" i="10"/>
  <c r="B28" i="10"/>
  <c r="A28" i="10"/>
  <c r="C27" i="10"/>
  <c r="B27" i="10"/>
  <c r="A27" i="10"/>
  <c r="C26" i="10"/>
  <c r="B26" i="10"/>
  <c r="A26" i="10"/>
  <c r="C25" i="10"/>
  <c r="B25" i="10"/>
  <c r="A25" i="10"/>
  <c r="C24" i="10"/>
  <c r="B24" i="10"/>
  <c r="A24" i="10"/>
  <c r="C23" i="10"/>
  <c r="B23" i="10"/>
  <c r="A23" i="10"/>
  <c r="C22" i="10"/>
  <c r="B22" i="10"/>
  <c r="A22" i="10"/>
  <c r="C21" i="10"/>
  <c r="B21" i="10"/>
  <c r="A21" i="10"/>
  <c r="C20" i="10"/>
  <c r="B20" i="10"/>
  <c r="A20" i="10"/>
  <c r="C19" i="10"/>
  <c r="B19" i="10"/>
  <c r="A19" i="10"/>
  <c r="C18" i="10"/>
  <c r="B18" i="10"/>
  <c r="A18" i="10"/>
  <c r="C17" i="10"/>
  <c r="B17" i="10"/>
  <c r="A17" i="10"/>
  <c r="C16" i="10"/>
  <c r="B16" i="10"/>
  <c r="A16" i="10"/>
  <c r="C15" i="10"/>
  <c r="B15" i="10"/>
  <c r="A15" i="10"/>
  <c r="C14" i="10"/>
  <c r="B14" i="10"/>
  <c r="A14" i="10"/>
  <c r="C13" i="10"/>
  <c r="B13" i="10"/>
  <c r="A13" i="10"/>
  <c r="C12" i="10"/>
  <c r="B12" i="10"/>
  <c r="A12" i="10"/>
  <c r="C11" i="10"/>
  <c r="B11" i="10"/>
  <c r="A11" i="10"/>
  <c r="C10" i="10"/>
  <c r="B10" i="10"/>
  <c r="A10" i="10"/>
  <c r="C9" i="10"/>
  <c r="B9" i="10"/>
  <c r="A9" i="10"/>
  <c r="C8" i="10"/>
  <c r="B8" i="10"/>
  <c r="A8" i="10"/>
  <c r="C7" i="10"/>
  <c r="B7" i="10"/>
  <c r="A7" i="10"/>
  <c r="C6" i="10"/>
  <c r="B6" i="10"/>
  <c r="A6" i="10"/>
  <c r="C5" i="10"/>
  <c r="B5" i="10"/>
  <c r="A5" i="10"/>
  <c r="C4" i="10"/>
  <c r="B4" i="10"/>
  <c r="A4" i="10"/>
  <c r="C3" i="10"/>
  <c r="B3" i="10"/>
  <c r="A3" i="10"/>
  <c r="C2" i="10"/>
  <c r="B2" i="10"/>
  <c r="A2" i="10"/>
  <c r="BN11" i="10" l="1"/>
  <c r="BN19" i="10"/>
  <c r="BN8" i="10"/>
  <c r="BN16" i="10"/>
  <c r="BN20" i="10"/>
  <c r="BN24" i="10"/>
  <c r="CO4" i="10"/>
  <c r="BN4" i="10"/>
  <c r="CO12" i="10"/>
  <c r="BN12" i="10"/>
  <c r="CO36" i="10"/>
  <c r="BN36" i="10"/>
  <c r="CO40" i="10"/>
  <c r="BN40" i="10"/>
  <c r="CO23" i="10"/>
  <c r="BN23" i="10"/>
  <c r="CO27" i="10"/>
  <c r="BN27" i="10"/>
  <c r="CO31" i="10"/>
  <c r="BN31" i="10"/>
  <c r="CO35" i="10"/>
  <c r="BN35" i="10"/>
  <c r="CO39" i="10"/>
  <c r="BN39" i="10"/>
  <c r="CO43" i="10"/>
  <c r="BN43" i="10"/>
  <c r="BN2" i="10"/>
  <c r="BN6" i="10"/>
  <c r="BN10" i="10"/>
  <c r="BN14" i="10"/>
  <c r="BN18" i="10"/>
  <c r="BN22" i="10"/>
  <c r="BN26" i="10"/>
  <c r="BN30" i="10"/>
  <c r="BN34" i="10"/>
  <c r="BN38" i="10"/>
  <c r="BN42" i="10"/>
  <c r="CO28" i="10"/>
  <c r="BN28" i="10"/>
  <c r="CO32" i="10"/>
  <c r="BN32" i="10"/>
  <c r="CO3" i="10"/>
  <c r="BN3" i="10"/>
  <c r="CO7" i="10"/>
  <c r="BN7" i="10"/>
  <c r="CO15" i="10"/>
  <c r="BN15" i="10"/>
  <c r="BN5" i="10"/>
  <c r="BN9" i="10"/>
  <c r="BN13" i="10"/>
  <c r="BN17" i="10"/>
  <c r="BN21" i="10"/>
  <c r="BN25" i="10"/>
  <c r="BN29" i="10"/>
  <c r="BN33" i="10"/>
  <c r="BN37" i="10"/>
  <c r="BN41" i="10"/>
  <c r="CO2" i="10"/>
  <c r="CO30" i="10"/>
  <c r="CO34" i="10"/>
  <c r="CO38" i="10"/>
  <c r="CO42" i="10"/>
  <c r="CO29" i="10"/>
  <c r="CO33" i="10"/>
  <c r="CO37" i="10"/>
  <c r="CO41" i="10"/>
  <c r="CO13" i="10"/>
  <c r="CO21" i="10"/>
  <c r="CO16" i="10"/>
  <c r="CO22" i="10"/>
  <c r="CO9" i="10"/>
  <c r="CO26" i="10"/>
  <c r="CO24" i="10"/>
  <c r="CO25" i="10"/>
  <c r="CO20" i="10"/>
  <c r="CO19" i="10"/>
  <c r="CL18" i="10"/>
  <c r="CO18" i="10"/>
  <c r="CO17" i="10"/>
  <c r="CL10" i="10"/>
  <c r="CO10" i="10"/>
  <c r="CO11" i="10"/>
  <c r="CO14" i="10"/>
  <c r="CO5" i="10"/>
  <c r="CO8" i="10"/>
  <c r="CO6" i="10"/>
  <c r="CC11" i="10"/>
  <c r="BT11" i="10"/>
  <c r="CI11" i="10"/>
  <c r="BK11" i="10"/>
  <c r="CL11" i="10"/>
  <c r="BZ11" i="10"/>
  <c r="BQ11" i="10"/>
  <c r="CF11" i="10"/>
  <c r="BW11" i="10"/>
  <c r="CC27" i="10"/>
  <c r="CL27" i="10"/>
  <c r="BT27" i="10"/>
  <c r="CI27" i="10"/>
  <c r="BK27" i="10"/>
  <c r="BZ27" i="10"/>
  <c r="BQ27" i="10"/>
  <c r="BW27" i="10"/>
  <c r="CF27" i="10"/>
  <c r="CF22" i="10"/>
  <c r="BW22" i="10"/>
  <c r="CC22" i="10"/>
  <c r="BT22" i="10"/>
  <c r="BZ22" i="10"/>
  <c r="CL22" i="10"/>
  <c r="CI22" i="10"/>
  <c r="BK22" i="10"/>
  <c r="BQ22" i="10"/>
  <c r="CI9" i="10"/>
  <c r="BK9" i="10"/>
  <c r="BZ9" i="10"/>
  <c r="CL9" i="10"/>
  <c r="BQ9" i="10"/>
  <c r="CF9" i="10"/>
  <c r="CC9" i="10"/>
  <c r="BT9" i="10"/>
  <c r="BW9" i="10"/>
  <c r="CI17" i="10"/>
  <c r="BK17" i="10"/>
  <c r="CL17" i="10"/>
  <c r="BZ17" i="10"/>
  <c r="BQ17" i="10"/>
  <c r="CC17" i="10"/>
  <c r="CF17" i="10"/>
  <c r="BW17" i="10"/>
  <c r="BT17" i="10"/>
  <c r="CL25" i="10"/>
  <c r="CI25" i="10"/>
  <c r="BK25" i="10"/>
  <c r="BZ25" i="10"/>
  <c r="BQ25" i="10"/>
  <c r="CF25" i="10"/>
  <c r="BW25" i="10"/>
  <c r="CC25" i="10"/>
  <c r="BT25" i="10"/>
  <c r="CI33" i="10"/>
  <c r="BK33" i="10"/>
  <c r="BZ33" i="10"/>
  <c r="BQ33" i="10"/>
  <c r="CF33" i="10"/>
  <c r="CC33" i="10"/>
  <c r="BW33" i="10"/>
  <c r="CL33" i="10"/>
  <c r="BT33" i="10"/>
  <c r="CI41" i="10"/>
  <c r="BK41" i="10"/>
  <c r="BZ41" i="10"/>
  <c r="BQ41" i="10"/>
  <c r="CL41" i="10"/>
  <c r="CC41" i="10"/>
  <c r="CF41" i="10"/>
  <c r="BW41" i="10"/>
  <c r="BT41" i="10"/>
  <c r="CL35" i="10"/>
  <c r="CC35" i="10"/>
  <c r="BT35" i="10"/>
  <c r="CI35" i="10"/>
  <c r="BK35" i="10"/>
  <c r="BZ35" i="10"/>
  <c r="BQ35" i="10"/>
  <c r="CF35" i="10"/>
  <c r="BW35" i="10"/>
  <c r="CF14" i="10"/>
  <c r="BW14" i="10"/>
  <c r="CC14" i="10"/>
  <c r="BT14" i="10"/>
  <c r="CI14" i="10"/>
  <c r="BK14" i="10"/>
  <c r="CL14" i="10"/>
  <c r="BZ14" i="10"/>
  <c r="BQ14" i="10"/>
  <c r="CC12" i="10"/>
  <c r="BT12" i="10"/>
  <c r="BW12" i="10"/>
  <c r="CI12" i="10"/>
  <c r="BK12" i="10"/>
  <c r="CF12" i="10"/>
  <c r="CL12" i="10"/>
  <c r="BZ12" i="10"/>
  <c r="BQ12" i="10"/>
  <c r="CC20" i="10"/>
  <c r="BT20" i="10"/>
  <c r="CF20" i="10"/>
  <c r="CL20" i="10"/>
  <c r="CI20" i="10"/>
  <c r="BK20" i="10"/>
  <c r="BZ20" i="10"/>
  <c r="BQ20" i="10"/>
  <c r="BW20" i="10"/>
  <c r="CC28" i="10"/>
  <c r="BW28" i="10"/>
  <c r="CL28" i="10"/>
  <c r="BT28" i="10"/>
  <c r="CI28" i="10"/>
  <c r="BK28" i="10"/>
  <c r="BZ28" i="10"/>
  <c r="BQ28" i="10"/>
  <c r="CF28" i="10"/>
  <c r="CL36" i="10"/>
  <c r="CC36" i="10"/>
  <c r="BT36" i="10"/>
  <c r="CI36" i="10"/>
  <c r="BK36" i="10"/>
  <c r="BZ36" i="10"/>
  <c r="CF36" i="10"/>
  <c r="BQ36" i="10"/>
  <c r="BW36" i="10"/>
  <c r="CC19" i="10"/>
  <c r="BT19" i="10"/>
  <c r="CL19" i="10"/>
  <c r="CI19" i="10"/>
  <c r="BK19" i="10"/>
  <c r="BZ19" i="10"/>
  <c r="BW19" i="10"/>
  <c r="BQ19" i="10"/>
  <c r="CF19" i="10"/>
  <c r="CF38" i="10"/>
  <c r="BW38" i="10"/>
  <c r="BZ38" i="10"/>
  <c r="CL38" i="10"/>
  <c r="CC38" i="10"/>
  <c r="BT38" i="10"/>
  <c r="CI38" i="10"/>
  <c r="BK38" i="10"/>
  <c r="BQ38" i="10"/>
  <c r="BQ15" i="10"/>
  <c r="CF15" i="10"/>
  <c r="BW15" i="10"/>
  <c r="CC15" i="10"/>
  <c r="BK15" i="10"/>
  <c r="BT15" i="10"/>
  <c r="CI15" i="10"/>
  <c r="CL15" i="10"/>
  <c r="BZ15" i="10"/>
  <c r="BQ23" i="10"/>
  <c r="CF23" i="10"/>
  <c r="BW23" i="10"/>
  <c r="CL23" i="10"/>
  <c r="BK23" i="10"/>
  <c r="CI23" i="10"/>
  <c r="CC23" i="10"/>
  <c r="BZ23" i="10"/>
  <c r="BT23" i="10"/>
  <c r="BQ31" i="10"/>
  <c r="BZ31" i="10"/>
  <c r="CF31" i="10"/>
  <c r="BW31" i="10"/>
  <c r="CI31" i="10"/>
  <c r="CC31" i="10"/>
  <c r="CL31" i="10"/>
  <c r="BT31" i="10"/>
  <c r="BK31" i="10"/>
  <c r="BQ39" i="10"/>
  <c r="BK39" i="10"/>
  <c r="CF39" i="10"/>
  <c r="BW39" i="10"/>
  <c r="CL39" i="10"/>
  <c r="CC39" i="10"/>
  <c r="BT39" i="10"/>
  <c r="CI39" i="10"/>
  <c r="BZ39" i="10"/>
  <c r="BT10" i="10"/>
  <c r="CI10" i="10"/>
  <c r="BK10" i="10"/>
  <c r="BZ10" i="10"/>
  <c r="BQ10" i="10"/>
  <c r="CF10" i="10"/>
  <c r="BW10" i="10"/>
  <c r="CC10" i="10"/>
  <c r="BT18" i="10"/>
  <c r="CI18" i="10"/>
  <c r="BK18" i="10"/>
  <c r="BZ18" i="10"/>
  <c r="BQ18" i="10"/>
  <c r="CF18" i="10"/>
  <c r="BW18" i="10"/>
  <c r="CC18" i="10"/>
  <c r="BT26" i="10"/>
  <c r="CI26" i="10"/>
  <c r="BK26" i="10"/>
  <c r="BZ26" i="10"/>
  <c r="BQ26" i="10"/>
  <c r="CF26" i="10"/>
  <c r="BW26" i="10"/>
  <c r="CC26" i="10"/>
  <c r="BT34" i="10"/>
  <c r="CI34" i="10"/>
  <c r="BK34" i="10"/>
  <c r="BZ34" i="10"/>
  <c r="BQ34" i="10"/>
  <c r="CF34" i="10"/>
  <c r="BW34" i="10"/>
  <c r="CC34" i="10"/>
  <c r="BT42" i="10"/>
  <c r="CI42" i="10"/>
  <c r="BK42" i="10"/>
  <c r="BZ42" i="10"/>
  <c r="BQ42" i="10"/>
  <c r="CF42" i="10"/>
  <c r="BW42" i="10"/>
  <c r="CC42" i="10"/>
  <c r="CL26" i="10"/>
  <c r="CC43" i="10"/>
  <c r="BT43" i="10"/>
  <c r="CI43" i="10"/>
  <c r="BK43" i="10"/>
  <c r="BW43" i="10"/>
  <c r="BZ43" i="10"/>
  <c r="BQ43" i="10"/>
  <c r="CF43" i="10"/>
  <c r="CL43" i="10"/>
  <c r="CF30" i="10"/>
  <c r="BW30" i="10"/>
  <c r="CC30" i="10"/>
  <c r="BZ30" i="10"/>
  <c r="CL30" i="10"/>
  <c r="BT30" i="10"/>
  <c r="CI30" i="10"/>
  <c r="BK30" i="10"/>
  <c r="BQ30" i="10"/>
  <c r="BW13" i="10"/>
  <c r="CC13" i="10"/>
  <c r="BT13" i="10"/>
  <c r="BQ13" i="10"/>
  <c r="CI13" i="10"/>
  <c r="BK13" i="10"/>
  <c r="CL13" i="10"/>
  <c r="BZ13" i="10"/>
  <c r="CF13" i="10"/>
  <c r="BW21" i="10"/>
  <c r="CC21" i="10"/>
  <c r="BT21" i="10"/>
  <c r="CL21" i="10"/>
  <c r="CI21" i="10"/>
  <c r="BK21" i="10"/>
  <c r="BQ21" i="10"/>
  <c r="BZ21" i="10"/>
  <c r="CF21" i="10"/>
  <c r="BW29" i="10"/>
  <c r="CC29" i="10"/>
  <c r="BQ29" i="10"/>
  <c r="CL29" i="10"/>
  <c r="BT29" i="10"/>
  <c r="CI29" i="10"/>
  <c r="BK29" i="10"/>
  <c r="BZ29" i="10"/>
  <c r="CF29" i="10"/>
  <c r="BW37" i="10"/>
  <c r="CL37" i="10"/>
  <c r="CC37" i="10"/>
  <c r="BT37" i="10"/>
  <c r="CI37" i="10"/>
  <c r="BK37" i="10"/>
  <c r="BZ37" i="10"/>
  <c r="BQ37" i="10"/>
  <c r="CF37" i="10"/>
  <c r="CL34" i="10"/>
  <c r="CL16" i="10"/>
  <c r="BZ16" i="10"/>
  <c r="BQ16" i="10"/>
  <c r="CF16" i="10"/>
  <c r="BW16" i="10"/>
  <c r="BT16" i="10"/>
  <c r="CC16" i="10"/>
  <c r="BK16" i="10"/>
  <c r="CI16" i="10"/>
  <c r="BZ24" i="10"/>
  <c r="BQ24" i="10"/>
  <c r="CF24" i="10"/>
  <c r="BK24" i="10"/>
  <c r="BW24" i="10"/>
  <c r="CC24" i="10"/>
  <c r="BT24" i="10"/>
  <c r="CL24" i="10"/>
  <c r="CI24" i="10"/>
  <c r="BZ32" i="10"/>
  <c r="BQ32" i="10"/>
  <c r="CF32" i="10"/>
  <c r="BT32" i="10"/>
  <c r="BW32" i="10"/>
  <c r="CL32" i="10"/>
  <c r="CC32" i="10"/>
  <c r="CI32" i="10"/>
  <c r="BK32" i="10"/>
  <c r="BZ40" i="10"/>
  <c r="BQ40" i="10"/>
  <c r="CF40" i="10"/>
  <c r="BW40" i="10"/>
  <c r="BT40" i="10"/>
  <c r="BK40" i="10"/>
  <c r="CL40" i="10"/>
  <c r="CC40" i="10"/>
  <c r="CI40" i="10"/>
  <c r="CL42" i="10"/>
  <c r="CL2" i="10"/>
  <c r="CI8" i="10"/>
  <c r="CC8" i="10"/>
  <c r="BW8" i="10"/>
  <c r="BQ8" i="10"/>
  <c r="BK8" i="10"/>
  <c r="CL8" i="10"/>
  <c r="CF8" i="10"/>
  <c r="BZ8" i="10"/>
  <c r="BT8" i="10"/>
  <c r="BQ7" i="10"/>
  <c r="BZ7" i="10"/>
  <c r="CF7" i="10"/>
  <c r="CL7" i="10"/>
  <c r="CI7" i="10"/>
  <c r="BK7" i="10"/>
  <c r="BT7" i="10"/>
  <c r="CC7" i="10"/>
  <c r="BW7" i="10"/>
  <c r="CF6" i="10"/>
  <c r="BT6" i="10"/>
  <c r="CL6" i="10"/>
  <c r="BQ6" i="10"/>
  <c r="CI6" i="10"/>
  <c r="BW6" i="10"/>
  <c r="BK6" i="10"/>
  <c r="BZ6" i="10"/>
  <c r="CC6" i="10"/>
  <c r="BW5" i="10"/>
  <c r="BZ5" i="10"/>
  <c r="CL5" i="10"/>
  <c r="CC5" i="10"/>
  <c r="CF5" i="10"/>
  <c r="CI5" i="10"/>
  <c r="BK5" i="10"/>
  <c r="BQ5" i="10"/>
  <c r="BT5" i="10"/>
  <c r="CL4" i="10"/>
  <c r="CI4" i="10"/>
  <c r="CF4" i="10"/>
  <c r="CC4" i="10"/>
  <c r="BZ4" i="10"/>
  <c r="BW4" i="10"/>
  <c r="BT4" i="10"/>
  <c r="BQ4" i="10"/>
  <c r="BK4" i="10"/>
  <c r="CC3" i="10"/>
  <c r="CF3" i="10"/>
  <c r="BZ3" i="10"/>
  <c r="CL3" i="10"/>
  <c r="BW3" i="10"/>
  <c r="BT3" i="10"/>
  <c r="BQ3" i="10"/>
  <c r="CI3" i="10"/>
  <c r="BK3" i="10"/>
  <c r="CF2" i="10"/>
  <c r="BT2" i="10"/>
  <c r="CI2" i="10"/>
  <c r="CC2" i="10"/>
  <c r="BQ2" i="10"/>
  <c r="BK2" i="10"/>
  <c r="BZ2" i="10"/>
  <c r="BW2" i="10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O3" i="1" l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2" i="1"/>
  <c r="B2" i="1" l="1"/>
  <c r="B3" i="1" l="1"/>
  <c r="B4" i="1"/>
  <c r="B5" i="1"/>
  <c r="B6" i="1"/>
  <c r="B7" i="1"/>
  <c r="B8" i="1"/>
  <c r="B9" i="1"/>
  <c r="AQ9" i="1" s="1"/>
  <c r="B10" i="1"/>
  <c r="AQ10" i="1" s="1"/>
  <c r="B11" i="1"/>
  <c r="AQ11" i="1" s="1"/>
  <c r="B12" i="1"/>
  <c r="AQ12" i="1" s="1"/>
  <c r="B13" i="1"/>
  <c r="AQ13" i="1" s="1"/>
  <c r="B14" i="1"/>
  <c r="AQ14" i="1" s="1"/>
  <c r="B15" i="1"/>
  <c r="AQ15" i="1" s="1"/>
  <c r="B16" i="1"/>
  <c r="AQ16" i="1" s="1"/>
  <c r="B17" i="1"/>
  <c r="AQ17" i="1" s="1"/>
  <c r="B18" i="1"/>
  <c r="AQ18" i="1" s="1"/>
  <c r="B19" i="1"/>
  <c r="AQ19" i="1" s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A2" i="1"/>
  <c r="BF38" i="1" l="1"/>
  <c r="BC38" i="1"/>
  <c r="BI38" i="1"/>
  <c r="BI30" i="1"/>
  <c r="BF30" i="1"/>
  <c r="BC30" i="1"/>
  <c r="AQ22" i="1"/>
  <c r="BI6" i="1"/>
  <c r="AQ6" i="1"/>
  <c r="BI41" i="1"/>
  <c r="AQ41" i="1"/>
  <c r="BF41" i="1"/>
  <c r="BC41" i="1"/>
  <c r="BI37" i="1"/>
  <c r="BF37" i="1"/>
  <c r="BC37" i="1"/>
  <c r="BC33" i="1"/>
  <c r="BF33" i="1"/>
  <c r="BI33" i="1"/>
  <c r="BI5" i="1"/>
  <c r="AQ5" i="1"/>
  <c r="BI42" i="1"/>
  <c r="BC42" i="1"/>
  <c r="BF42" i="1"/>
  <c r="BI34" i="1"/>
  <c r="BF34" i="1"/>
  <c r="BC34" i="1"/>
  <c r="BI2" i="1"/>
  <c r="AQ2" i="1"/>
  <c r="BC40" i="1"/>
  <c r="BF40" i="1"/>
  <c r="BI40" i="1"/>
  <c r="BC36" i="1"/>
  <c r="BI36" i="1"/>
  <c r="BF36" i="1"/>
  <c r="BC32" i="1"/>
  <c r="BI32" i="1"/>
  <c r="BF32" i="1"/>
  <c r="BI8" i="1"/>
  <c r="AQ8" i="1"/>
  <c r="BI4" i="1"/>
  <c r="AQ4" i="1"/>
  <c r="BF43" i="1"/>
  <c r="BI43" i="1"/>
  <c r="BC43" i="1"/>
  <c r="BI39" i="1"/>
  <c r="BC39" i="1"/>
  <c r="BF39" i="1"/>
  <c r="BI35" i="1"/>
  <c r="BF35" i="1"/>
  <c r="BC35" i="1"/>
  <c r="BI31" i="1"/>
  <c r="BF31" i="1"/>
  <c r="BC31" i="1"/>
  <c r="BI7" i="1"/>
  <c r="AQ7" i="1"/>
  <c r="BI3" i="1"/>
  <c r="AQ3" i="1"/>
  <c r="BI24" i="1"/>
  <c r="BC24" i="1"/>
  <c r="BF24" i="1"/>
  <c r="BF29" i="1"/>
  <c r="BI29" i="1"/>
  <c r="BC29" i="1"/>
  <c r="BC25" i="1"/>
  <c r="BF25" i="1"/>
  <c r="BI25" i="1"/>
  <c r="BC28" i="1"/>
  <c r="BF28" i="1"/>
  <c r="BI28" i="1"/>
  <c r="BC26" i="1"/>
  <c r="BI26" i="1"/>
  <c r="BF26" i="1"/>
  <c r="BC23" i="1"/>
  <c r="BI23" i="1"/>
  <c r="BF23" i="1"/>
  <c r="BC27" i="1"/>
  <c r="BF27" i="1"/>
  <c r="BI27" i="1"/>
  <c r="BC18" i="1"/>
  <c r="BF18" i="1"/>
  <c r="BI18" i="1"/>
  <c r="BC17" i="1"/>
  <c r="BI17" i="1"/>
  <c r="BF17" i="1"/>
  <c r="BF21" i="1"/>
  <c r="BC21" i="1"/>
  <c r="BI21" i="1"/>
  <c r="BI16" i="1"/>
  <c r="BC16" i="1"/>
  <c r="BF16" i="1"/>
  <c r="BI22" i="1"/>
  <c r="BF22" i="1"/>
  <c r="BC22" i="1"/>
  <c r="BF20" i="1"/>
  <c r="BC20" i="1"/>
  <c r="BI20" i="1"/>
  <c r="BF19" i="1"/>
  <c r="BI19" i="1"/>
  <c r="BC19" i="1"/>
  <c r="BC10" i="1"/>
  <c r="BI10" i="1"/>
  <c r="BF10" i="1"/>
  <c r="BI15" i="1"/>
  <c r="BF15" i="1"/>
  <c r="BC15" i="1"/>
  <c r="BF14" i="1"/>
  <c r="BC14" i="1"/>
  <c r="BI14" i="1"/>
  <c r="BF13" i="1"/>
  <c r="BC13" i="1"/>
  <c r="BI13" i="1"/>
  <c r="BF9" i="1"/>
  <c r="BC9" i="1"/>
  <c r="BI9" i="1"/>
  <c r="BC12" i="1"/>
  <c r="BF12" i="1"/>
  <c r="BI12" i="1"/>
  <c r="BF11" i="1"/>
  <c r="BI11" i="1"/>
  <c r="BC11" i="1"/>
  <c r="AT2" i="1"/>
  <c r="AW2" i="1"/>
  <c r="BF2" i="1"/>
  <c r="BC2" i="1"/>
  <c r="AZ2" i="1"/>
  <c r="BF8" i="1"/>
  <c r="BC8" i="1"/>
  <c r="BF7" i="1"/>
  <c r="BC7" i="1"/>
  <c r="BC6" i="1"/>
  <c r="BF6" i="1"/>
  <c r="BC5" i="1"/>
  <c r="BF5" i="1"/>
  <c r="BF4" i="1"/>
  <c r="BC4" i="1"/>
  <c r="BF3" i="1"/>
  <c r="BC3" i="1"/>
  <c r="AT3" i="1"/>
  <c r="AU3" i="1"/>
  <c r="AW3" i="1" s="1"/>
  <c r="AX3" i="1"/>
  <c r="AZ3" i="1" s="1"/>
  <c r="AR4" i="1"/>
  <c r="AT4" i="1" s="1"/>
  <c r="AU4" i="1"/>
  <c r="AW4" i="1" s="1"/>
  <c r="AX4" i="1"/>
  <c r="AZ4" i="1" s="1"/>
  <c r="AR5" i="1"/>
  <c r="AT5" i="1" s="1"/>
  <c r="AU5" i="1"/>
  <c r="AW5" i="1" s="1"/>
  <c r="AX5" i="1"/>
  <c r="AZ5" i="1" s="1"/>
  <c r="AR6" i="1"/>
  <c r="AT6" i="1" s="1"/>
  <c r="AU6" i="1"/>
  <c r="AW6" i="1" s="1"/>
  <c r="AX6" i="1"/>
  <c r="AZ6" i="1" s="1"/>
  <c r="AR7" i="1"/>
  <c r="AT7" i="1" s="1"/>
  <c r="AU7" i="1"/>
  <c r="AW7" i="1" s="1"/>
  <c r="AX7" i="1"/>
  <c r="AZ7" i="1" s="1"/>
  <c r="AR8" i="1"/>
  <c r="AT8" i="1" s="1"/>
  <c r="AU8" i="1"/>
  <c r="AW8" i="1" s="1"/>
  <c r="AX8" i="1"/>
  <c r="AZ8" i="1" s="1"/>
  <c r="AR9" i="1"/>
  <c r="AT9" i="1" s="1"/>
  <c r="AU9" i="1"/>
  <c r="AW9" i="1" s="1"/>
  <c r="AX9" i="1"/>
  <c r="AZ9" i="1" s="1"/>
  <c r="AR10" i="1"/>
  <c r="AT10" i="1" s="1"/>
  <c r="AU10" i="1"/>
  <c r="AW10" i="1" s="1"/>
  <c r="AX10" i="1"/>
  <c r="AZ10" i="1" s="1"/>
  <c r="AR11" i="1"/>
  <c r="AT11" i="1" s="1"/>
  <c r="AU11" i="1"/>
  <c r="AW11" i="1" s="1"/>
  <c r="AX11" i="1"/>
  <c r="AZ11" i="1" s="1"/>
  <c r="AR12" i="1"/>
  <c r="AT12" i="1" s="1"/>
  <c r="AU12" i="1"/>
  <c r="AW12" i="1" s="1"/>
  <c r="AX12" i="1"/>
  <c r="AZ12" i="1" s="1"/>
  <c r="AR13" i="1"/>
  <c r="AT13" i="1" s="1"/>
  <c r="AU13" i="1"/>
  <c r="AW13" i="1" s="1"/>
  <c r="AX13" i="1"/>
  <c r="AZ13" i="1" s="1"/>
  <c r="AR14" i="1"/>
  <c r="AT14" i="1" s="1"/>
  <c r="AU14" i="1"/>
  <c r="AW14" i="1" s="1"/>
  <c r="AX14" i="1"/>
  <c r="AZ14" i="1" s="1"/>
  <c r="AR15" i="1"/>
  <c r="AT15" i="1" s="1"/>
  <c r="AU15" i="1"/>
  <c r="AW15" i="1" s="1"/>
  <c r="AX15" i="1"/>
  <c r="AZ15" i="1" s="1"/>
  <c r="AR16" i="1"/>
  <c r="AT16" i="1" s="1"/>
  <c r="AU16" i="1"/>
  <c r="AW16" i="1" s="1"/>
  <c r="AX16" i="1"/>
  <c r="AZ16" i="1" s="1"/>
  <c r="AR17" i="1"/>
  <c r="AT17" i="1" s="1"/>
  <c r="AU17" i="1"/>
  <c r="AW17" i="1" s="1"/>
  <c r="AX17" i="1"/>
  <c r="AZ17" i="1" s="1"/>
  <c r="AR18" i="1"/>
  <c r="AT18" i="1" s="1"/>
  <c r="AU18" i="1"/>
  <c r="AW18" i="1" s="1"/>
  <c r="AX18" i="1"/>
  <c r="AZ18" i="1" s="1"/>
  <c r="AR19" i="1"/>
  <c r="AT19" i="1" s="1"/>
  <c r="AU19" i="1"/>
  <c r="AW19" i="1" s="1"/>
  <c r="AX19" i="1"/>
  <c r="AZ19" i="1" s="1"/>
  <c r="AO20" i="1"/>
  <c r="AQ20" i="1" s="1"/>
  <c r="AR20" i="1"/>
  <c r="AT20" i="1" s="1"/>
  <c r="AU20" i="1"/>
  <c r="AW20" i="1" s="1"/>
  <c r="AX20" i="1"/>
  <c r="AZ20" i="1" s="1"/>
  <c r="AO21" i="1"/>
  <c r="AQ21" i="1" s="1"/>
  <c r="AR21" i="1"/>
  <c r="AT21" i="1" s="1"/>
  <c r="AU21" i="1"/>
  <c r="AW21" i="1" s="1"/>
  <c r="AX21" i="1"/>
  <c r="AZ21" i="1" s="1"/>
  <c r="AO22" i="1"/>
  <c r="AR22" i="1"/>
  <c r="AT22" i="1" s="1"/>
  <c r="AU22" i="1"/>
  <c r="AW22" i="1" s="1"/>
  <c r="AX22" i="1"/>
  <c r="AZ22" i="1" s="1"/>
  <c r="AO23" i="1"/>
  <c r="AQ23" i="1" s="1"/>
  <c r="AR23" i="1"/>
  <c r="AT23" i="1" s="1"/>
  <c r="AU23" i="1"/>
  <c r="AW23" i="1" s="1"/>
  <c r="AX23" i="1"/>
  <c r="AZ23" i="1" s="1"/>
  <c r="AO24" i="1"/>
  <c r="AQ24" i="1" s="1"/>
  <c r="AR24" i="1"/>
  <c r="AT24" i="1" s="1"/>
  <c r="AU24" i="1"/>
  <c r="AW24" i="1" s="1"/>
  <c r="AX24" i="1"/>
  <c r="AZ24" i="1" s="1"/>
  <c r="AO25" i="1"/>
  <c r="AQ25" i="1" s="1"/>
  <c r="AR25" i="1"/>
  <c r="AT25" i="1" s="1"/>
  <c r="AU25" i="1"/>
  <c r="AW25" i="1" s="1"/>
  <c r="AX25" i="1"/>
  <c r="AZ25" i="1" s="1"/>
  <c r="AO26" i="1"/>
  <c r="AQ26" i="1" s="1"/>
  <c r="AR26" i="1"/>
  <c r="AT26" i="1" s="1"/>
  <c r="AU26" i="1"/>
  <c r="AW26" i="1" s="1"/>
  <c r="AX26" i="1"/>
  <c r="AZ26" i="1" s="1"/>
  <c r="AO27" i="1"/>
  <c r="AQ27" i="1" s="1"/>
  <c r="AR27" i="1"/>
  <c r="AT27" i="1" s="1"/>
  <c r="AU27" i="1"/>
  <c r="AW27" i="1" s="1"/>
  <c r="AX27" i="1"/>
  <c r="AZ27" i="1" s="1"/>
  <c r="AO28" i="1"/>
  <c r="AQ28" i="1" s="1"/>
  <c r="AR28" i="1"/>
  <c r="AT28" i="1" s="1"/>
  <c r="AU28" i="1"/>
  <c r="AW28" i="1" s="1"/>
  <c r="AX28" i="1"/>
  <c r="AZ28" i="1" s="1"/>
  <c r="AO29" i="1"/>
  <c r="AQ29" i="1" s="1"/>
  <c r="AR29" i="1"/>
  <c r="AT29" i="1" s="1"/>
  <c r="AU29" i="1"/>
  <c r="AW29" i="1" s="1"/>
  <c r="AX29" i="1"/>
  <c r="AZ29" i="1" s="1"/>
  <c r="AO30" i="1"/>
  <c r="AQ30" i="1" s="1"/>
  <c r="AR30" i="1"/>
  <c r="AT30" i="1" s="1"/>
  <c r="AU30" i="1"/>
  <c r="AW30" i="1" s="1"/>
  <c r="AX30" i="1"/>
  <c r="AZ30" i="1" s="1"/>
  <c r="AO31" i="1"/>
  <c r="AQ31" i="1" s="1"/>
  <c r="AR31" i="1"/>
  <c r="AT31" i="1" s="1"/>
  <c r="AU31" i="1"/>
  <c r="AW31" i="1" s="1"/>
  <c r="AX31" i="1"/>
  <c r="AZ31" i="1" s="1"/>
  <c r="AO32" i="1"/>
  <c r="AQ32" i="1" s="1"/>
  <c r="AR32" i="1"/>
  <c r="AT32" i="1" s="1"/>
  <c r="AU32" i="1"/>
  <c r="AW32" i="1" s="1"/>
  <c r="AX32" i="1"/>
  <c r="AZ32" i="1" s="1"/>
  <c r="AO33" i="1"/>
  <c r="AQ33" i="1" s="1"/>
  <c r="AR33" i="1"/>
  <c r="AT33" i="1" s="1"/>
  <c r="AU33" i="1"/>
  <c r="AW33" i="1" s="1"/>
  <c r="AX33" i="1"/>
  <c r="AZ33" i="1" s="1"/>
  <c r="AO34" i="1"/>
  <c r="AQ34" i="1" s="1"/>
  <c r="AR34" i="1"/>
  <c r="AT34" i="1" s="1"/>
  <c r="AU34" i="1"/>
  <c r="AW34" i="1" s="1"/>
  <c r="AX34" i="1"/>
  <c r="AZ34" i="1" s="1"/>
  <c r="AO35" i="1"/>
  <c r="AQ35" i="1" s="1"/>
  <c r="AR35" i="1"/>
  <c r="AT35" i="1" s="1"/>
  <c r="AU35" i="1"/>
  <c r="AW35" i="1" s="1"/>
  <c r="AX35" i="1"/>
  <c r="AZ35" i="1" s="1"/>
  <c r="AO36" i="1"/>
  <c r="AQ36" i="1" s="1"/>
  <c r="AR36" i="1"/>
  <c r="AT36" i="1" s="1"/>
  <c r="AU36" i="1"/>
  <c r="AW36" i="1" s="1"/>
  <c r="AX36" i="1"/>
  <c r="AZ36" i="1" s="1"/>
  <c r="AO37" i="1"/>
  <c r="AQ37" i="1" s="1"/>
  <c r="AR37" i="1"/>
  <c r="AT37" i="1" s="1"/>
  <c r="AU37" i="1"/>
  <c r="AW37" i="1" s="1"/>
  <c r="AX37" i="1"/>
  <c r="AZ37" i="1" s="1"/>
  <c r="AO38" i="1"/>
  <c r="AQ38" i="1" s="1"/>
  <c r="AR38" i="1"/>
  <c r="AT38" i="1" s="1"/>
  <c r="AU38" i="1"/>
  <c r="AW38" i="1" s="1"/>
  <c r="AX38" i="1"/>
  <c r="AZ38" i="1" s="1"/>
  <c r="AO39" i="1"/>
  <c r="AQ39" i="1" s="1"/>
  <c r="AR39" i="1"/>
  <c r="AT39" i="1" s="1"/>
  <c r="AU39" i="1"/>
  <c r="AW39" i="1" s="1"/>
  <c r="AX39" i="1"/>
  <c r="AZ39" i="1" s="1"/>
  <c r="AO40" i="1"/>
  <c r="AQ40" i="1" s="1"/>
  <c r="AR40" i="1"/>
  <c r="AT40" i="1" s="1"/>
  <c r="AU40" i="1"/>
  <c r="AW40" i="1" s="1"/>
  <c r="AX40" i="1"/>
  <c r="AZ40" i="1" s="1"/>
  <c r="AO41" i="1"/>
  <c r="AR41" i="1"/>
  <c r="AT41" i="1" s="1"/>
  <c r="AU41" i="1"/>
  <c r="AW41" i="1" s="1"/>
  <c r="AX41" i="1"/>
  <c r="AZ41" i="1" s="1"/>
  <c r="AO42" i="1"/>
  <c r="AQ42" i="1" s="1"/>
  <c r="AR42" i="1"/>
  <c r="AT42" i="1" s="1"/>
  <c r="AU42" i="1"/>
  <c r="AW42" i="1" s="1"/>
  <c r="AX42" i="1"/>
  <c r="AZ42" i="1" s="1"/>
  <c r="AO43" i="1"/>
  <c r="AQ43" i="1" s="1"/>
  <c r="AR43" i="1"/>
  <c r="AT43" i="1" s="1"/>
  <c r="AU43" i="1"/>
  <c r="AW43" i="1" s="1"/>
  <c r="AX43" i="1"/>
  <c r="AZ43" i="1" s="1"/>
</calcChain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ICP-OES.xltm!Tabla2" type="102" refreshedVersion="5" minRefreshableVersion="5">
    <extLst>
      <ext xmlns:x15="http://schemas.microsoft.com/office/spreadsheetml/2010/11/main" uri="{DE250136-89BD-433C-8126-D09CA5730AF9}">
        <x15:connection id="Tabla2-30dd5243-db8b-44a9-a8b4-31843433e12d">
          <x15:rangePr sourceName="_xlcn.WorksheetConnection_ICPOES.xltmTabla2"/>
        </x15:connection>
      </ext>
    </extLst>
  </connection>
  <connection id="3" name="WorksheetConnection_ICP-OES.xltm!Tabla3" type="102" refreshedVersion="5" minRefreshableVersion="5">
    <extLst>
      <ext xmlns:x15="http://schemas.microsoft.com/office/spreadsheetml/2010/11/main" uri="{DE250136-89BD-433C-8126-D09CA5730AF9}">
        <x15:connection id="Tabla3-a8fc9257-e98f-44b4-903b-c06917b8e98b">
          <x15:rangePr sourceName="_xlcn.WorksheetConnection_ICPOES.xltmTabla3"/>
        </x15:connection>
      </ext>
    </extLst>
  </connection>
</connections>
</file>

<file path=xl/sharedStrings.xml><?xml version="1.0" encoding="utf-8"?>
<sst xmlns="http://schemas.openxmlformats.org/spreadsheetml/2006/main" count="165" uniqueCount="157">
  <si>
    <t>Nº Recepcion</t>
  </si>
  <si>
    <t>P
(g)</t>
  </si>
  <si>
    <t>V
(ml)</t>
  </si>
  <si>
    <t>F.C.</t>
  </si>
  <si>
    <t>Na
(mg/l)</t>
  </si>
  <si>
    <t>F.D.
Na</t>
  </si>
  <si>
    <t>F.D.
K</t>
  </si>
  <si>
    <t>B1
Na</t>
  </si>
  <si>
    <t>B2
Na</t>
  </si>
  <si>
    <t>B3
Na</t>
  </si>
  <si>
    <t>B4
Na</t>
  </si>
  <si>
    <t>B
Na</t>
  </si>
  <si>
    <t>B1
K</t>
  </si>
  <si>
    <t>B2
K</t>
  </si>
  <si>
    <t>B3
K</t>
  </si>
  <si>
    <t>B4
K</t>
  </si>
  <si>
    <t>F.D.
Ca</t>
  </si>
  <si>
    <t>B1
Ca</t>
  </si>
  <si>
    <t>B2
Ca</t>
  </si>
  <si>
    <t>B3
Ca</t>
  </si>
  <si>
    <t>B4
Ca</t>
  </si>
  <si>
    <t>F.D.
Mg</t>
  </si>
  <si>
    <t>B1
Mg</t>
  </si>
  <si>
    <t>B2
Mg</t>
  </si>
  <si>
    <t>B3
Mg</t>
  </si>
  <si>
    <t>B4
Mg</t>
  </si>
  <si>
    <t>B
K</t>
  </si>
  <si>
    <t>B
Ca</t>
  </si>
  <si>
    <t>B
Mg</t>
  </si>
  <si>
    <t>K
(mg/l)</t>
  </si>
  <si>
    <t>Ca
(mg/l)</t>
  </si>
  <si>
    <t>Mg
(mg/l)</t>
  </si>
  <si>
    <t>Fecha Análisis</t>
  </si>
  <si>
    <t>DATOS DE CONEXIÓN</t>
  </si>
  <si>
    <t>Com Port</t>
  </si>
  <si>
    <t>Baud Rate</t>
  </si>
  <si>
    <t>Parity</t>
  </si>
  <si>
    <t>N</t>
  </si>
  <si>
    <t>Data Bits</t>
  </si>
  <si>
    <t>Stop Bits</t>
  </si>
  <si>
    <t>Cerrado</t>
  </si>
  <si>
    <t>Cr
(mg/l)</t>
  </si>
  <si>
    <t>Ni
(mg/l)</t>
  </si>
  <si>
    <t>Pb
(mg/l)</t>
  </si>
  <si>
    <t>Zn
(mg/l)</t>
  </si>
  <si>
    <t>Cu
(mg/l)</t>
  </si>
  <si>
    <t>S
(mg/l)</t>
  </si>
  <si>
    <t>P
(mg/l)</t>
  </si>
  <si>
    <t>Fe
(mg/l)</t>
  </si>
  <si>
    <t>B
(mg/l)</t>
  </si>
  <si>
    <t>Co
(mg/l)</t>
  </si>
  <si>
    <t>Mn
(mg/l)</t>
  </si>
  <si>
    <t>B1
Cd</t>
  </si>
  <si>
    <t>B2
Cd</t>
  </si>
  <si>
    <t>B3
Cd</t>
  </si>
  <si>
    <t>B4
Cd</t>
  </si>
  <si>
    <t>B1
Cr</t>
  </si>
  <si>
    <t>B2
Cr</t>
  </si>
  <si>
    <t>B3
Cr</t>
  </si>
  <si>
    <t>B4
Cr</t>
  </si>
  <si>
    <t>B1
Ni</t>
  </si>
  <si>
    <t>B2
Ni</t>
  </si>
  <si>
    <t>B3
Ni</t>
  </si>
  <si>
    <t>B4
Ni</t>
  </si>
  <si>
    <t>B1
Pb</t>
  </si>
  <si>
    <t>B2
Pb</t>
  </si>
  <si>
    <t>B3
Pb</t>
  </si>
  <si>
    <t>B4
Pb</t>
  </si>
  <si>
    <t>B1
Zn</t>
  </si>
  <si>
    <t>B2
Zn</t>
  </si>
  <si>
    <t>B3
Zn</t>
  </si>
  <si>
    <t>B4
Zn</t>
  </si>
  <si>
    <t>B1
Cu</t>
  </si>
  <si>
    <t>B2
Cu</t>
  </si>
  <si>
    <t>B3
Cu</t>
  </si>
  <si>
    <t>B4
Cu</t>
  </si>
  <si>
    <t>B1
Hg</t>
  </si>
  <si>
    <t>B2
Hg</t>
  </si>
  <si>
    <t>B3
Hg</t>
  </si>
  <si>
    <t>B4
Hg</t>
  </si>
  <si>
    <t>B
Cd</t>
  </si>
  <si>
    <t>F.D.
Cd</t>
  </si>
  <si>
    <t>Cd
mg/kg</t>
  </si>
  <si>
    <t>B
Cr</t>
  </si>
  <si>
    <t>F.D.
Cr</t>
  </si>
  <si>
    <t>Cr
mg/kg</t>
  </si>
  <si>
    <t>B
Ni</t>
  </si>
  <si>
    <t>F.D.
Ni</t>
  </si>
  <si>
    <t>Ni
mg/kg</t>
  </si>
  <si>
    <t>B
Pb</t>
  </si>
  <si>
    <t>F.D.
Pb</t>
  </si>
  <si>
    <t>Pb
mg/kg</t>
  </si>
  <si>
    <t>B
Zn</t>
  </si>
  <si>
    <t>B
Cu</t>
  </si>
  <si>
    <t>B
Hg</t>
  </si>
  <si>
    <t>F.D.
Zn</t>
  </si>
  <si>
    <t>Zn
mg/kg</t>
  </si>
  <si>
    <t>F.D.
Cu</t>
  </si>
  <si>
    <t>Cu
mg/kg</t>
  </si>
  <si>
    <t>F.D.
Hg</t>
  </si>
  <si>
    <t>Hg
mg/kg</t>
  </si>
  <si>
    <t>Cd
(ug/l)</t>
  </si>
  <si>
    <t>B1
S</t>
  </si>
  <si>
    <t>B2
S</t>
  </si>
  <si>
    <t>B3
S</t>
  </si>
  <si>
    <t>B4
S</t>
  </si>
  <si>
    <t>B1
P</t>
  </si>
  <si>
    <t>B2
P</t>
  </si>
  <si>
    <t>B3
P</t>
  </si>
  <si>
    <t>B4
P</t>
  </si>
  <si>
    <t>B1
Fe</t>
  </si>
  <si>
    <t>B2
Fe</t>
  </si>
  <si>
    <t>B3
Fe</t>
  </si>
  <si>
    <t>B4
Fe</t>
  </si>
  <si>
    <t>B1
B</t>
  </si>
  <si>
    <t>B2
B</t>
  </si>
  <si>
    <t>B3
B</t>
  </si>
  <si>
    <t>B4
B</t>
  </si>
  <si>
    <t>B1
Co</t>
  </si>
  <si>
    <t>B2
Co</t>
  </si>
  <si>
    <t>B3
Co</t>
  </si>
  <si>
    <t>B4
Co</t>
  </si>
  <si>
    <t>B1
Mn</t>
  </si>
  <si>
    <t>B2
Mn</t>
  </si>
  <si>
    <t>B3
Mn</t>
  </si>
  <si>
    <t>B4
Mn</t>
  </si>
  <si>
    <t>K
mg/kg</t>
  </si>
  <si>
    <t>Mg
mg/kg</t>
  </si>
  <si>
    <t>Na
mg/kg</t>
  </si>
  <si>
    <t>B
S</t>
  </si>
  <si>
    <t>F.D.
S</t>
  </si>
  <si>
    <t>S
mg/kg</t>
  </si>
  <si>
    <t>B
P</t>
  </si>
  <si>
    <t>F.D.
P</t>
  </si>
  <si>
    <t>P
mg/kg</t>
  </si>
  <si>
    <t>B
Fe</t>
  </si>
  <si>
    <t>F.D.
Fe</t>
  </si>
  <si>
    <t>Fe
mg/kg</t>
  </si>
  <si>
    <t>B
B</t>
  </si>
  <si>
    <t>F.D.
B</t>
  </si>
  <si>
    <t>B
mg/kg</t>
  </si>
  <si>
    <t>B
Co</t>
  </si>
  <si>
    <t>F.D.
Co</t>
  </si>
  <si>
    <t>Co
mg/kg</t>
  </si>
  <si>
    <t>B
Mn</t>
  </si>
  <si>
    <t>F.D.
Mn</t>
  </si>
  <si>
    <t>Mn
mg/kg</t>
  </si>
  <si>
    <t>Hg
(mg/l)</t>
  </si>
  <si>
    <t>Al
(mg/l)</t>
  </si>
  <si>
    <t>B1
Al</t>
  </si>
  <si>
    <t>B2
Al</t>
  </si>
  <si>
    <t>B3
Al</t>
  </si>
  <si>
    <t>B4
Al</t>
  </si>
  <si>
    <t>B
Al</t>
  </si>
  <si>
    <t>F.D.
Al</t>
  </si>
  <si>
    <t>Al
mg/kg</t>
  </si>
  <si>
    <t>Ca
g/kg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</si>
</sst>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Arial"/>
      <family val="2"/>
    </font>
    <font>
      <sz val="10"/>
      <color rgb="FFFF0000"/>
      <name val="Arial"/>
      <family val="2"/>
    </font>
    <font>
      <sz val="28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Font="1" applyAlignment="1" applyProtection="1">
      <alignment vertical="top"/>
      <protection locked="0"/>
    </xf>
    <xf numFmtId="0" fontId="0" fillId="0" borderId="0" xfId="0" applyNumberFormat="1" applyFont="1" applyProtection="1">
      <protection locked="0"/>
    </xf>
    <xf numFmtId="14" fontId="0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Font="1" applyProtection="1">
      <protection locked="0"/>
    </xf>
    <xf numFmtId="1" fontId="0" fillId="0" borderId="0" xfId="0" applyNumberFormat="1" applyFont="1" applyProtection="1">
      <protection locked="0"/>
    </xf>
    <xf numFmtId="164" fontId="0" fillId="0" borderId="0" xfId="0" applyNumberFormat="1" applyFont="1" applyProtection="1">
      <protection locked="0"/>
    </xf>
    <xf numFmtId="0" fontId="0" fillId="0" borderId="0" xfId="0" applyFont="1" applyProtection="1">
      <protection locked="0"/>
    </xf>
    <xf numFmtId="165" fontId="0" fillId="0" borderId="0" xfId="0" applyNumberFormat="1" applyFont="1" applyProtection="1"/>
    <xf numFmtId="2" fontId="0" fillId="0" borderId="0" xfId="0" applyNumberFormat="1" applyFont="1" applyProtection="1"/>
    <xf numFmtId="14" fontId="1" fillId="2" borderId="1" xfId="0" applyNumberFormat="1" applyFont="1" applyFill="1" applyBorder="1" applyAlignment="1">
      <alignment horizontal="center" vertical="top"/>
    </xf>
    <xf numFmtId="165" fontId="1" fillId="2" borderId="1" xfId="0" applyNumberFormat="1" applyFont="1" applyFill="1" applyBorder="1" applyAlignment="1">
      <alignment horizontal="center" vertical="top" wrapText="1"/>
    </xf>
    <xf numFmtId="1" fontId="1" fillId="2" borderId="1" xfId="0" applyNumberFormat="1" applyFont="1" applyFill="1" applyBorder="1" applyAlignment="1">
      <alignment horizontal="center" vertical="top" wrapText="1"/>
    </xf>
    <xf numFmtId="2" fontId="1" fillId="2" borderId="1" xfId="0" applyNumberFormat="1" applyFont="1" applyFill="1" applyBorder="1" applyAlignment="1">
      <alignment horizontal="center" vertical="top" wrapText="1"/>
    </xf>
    <xf numFmtId="0" fontId="1" fillId="2" borderId="2" xfId="0" applyNumberFormat="1" applyFont="1" applyFill="1" applyBorder="1" applyAlignment="1">
      <alignment horizontal="center" vertical="top"/>
    </xf>
    <xf numFmtId="164" fontId="1" fillId="2" borderId="1" xfId="0" applyNumberFormat="1" applyFont="1" applyFill="1" applyBorder="1" applyAlignment="1">
      <alignment horizontal="center" vertical="top" wrapText="1"/>
    </xf>
    <xf numFmtId="14" fontId="0" fillId="0" borderId="3" xfId="0" applyNumberFormat="1" applyFont="1" applyFill="1" applyBorder="1" applyAlignment="1">
      <alignment horizontal="center"/>
    </xf>
    <xf numFmtId="165" fontId="0" fillId="0" borderId="3" xfId="0" applyNumberFormat="1" applyFont="1" applyFill="1" applyBorder="1"/>
    <xf numFmtId="0" fontId="2" fillId="0" borderId="3" xfId="0" applyFont="1" applyBorder="1" applyAlignment="1">
      <alignment horizontal="center"/>
    </xf>
    <xf numFmtId="0" fontId="0" fillId="0" borderId="3" xfId="0" applyNumberFormat="1" applyFont="1" applyFill="1" applyBorder="1" applyAlignment="1">
      <alignment horizontal="center"/>
    </xf>
    <xf numFmtId="165" fontId="0" fillId="0" borderId="3" xfId="0" applyNumberFormat="1" applyFont="1" applyFill="1" applyBorder="1" applyAlignment="1">
      <alignment horizontal="center"/>
    </xf>
    <xf numFmtId="0" fontId="0" fillId="0" borderId="3" xfId="0" applyNumberFormat="1" applyFont="1" applyFill="1" applyBorder="1" applyAlignment="1" applyProtection="1">
      <alignment horizontal="center"/>
      <protection locked="0"/>
    </xf>
    <xf numFmtId="14" fontId="0" fillId="0" borderId="3" xfId="0" applyNumberFormat="1" applyFont="1" applyFill="1" applyBorder="1" applyAlignment="1" applyProtection="1">
      <alignment horizontal="center"/>
      <protection locked="0"/>
    </xf>
    <xf numFmtId="1" fontId="0" fillId="0" borderId="3" xfId="0" applyNumberFormat="1" applyFont="1" applyFill="1" applyBorder="1" applyProtection="1">
      <protection locked="0"/>
    </xf>
    <xf numFmtId="165" fontId="0" fillId="0" borderId="3" xfId="0" applyNumberFormat="1" applyFont="1" applyFill="1" applyBorder="1" applyProtection="1">
      <protection locked="0"/>
    </xf>
    <xf numFmtId="0" fontId="3" fillId="3" borderId="3" xfId="0" applyFont="1" applyFill="1" applyBorder="1" applyAlignment="1" applyProtection="1">
      <alignment horizontal="center"/>
      <protection locked="0"/>
    </xf>
    <xf numFmtId="0" fontId="5" fillId="0" borderId="0" xfId="0" applyFont="1" applyBorder="1" applyAlignment="1">
      <alignment horizontal="center" vertical="center" wrapText="1"/>
    </xf>
    <xf numFmtId="0" fontId="4" fillId="0" borderId="0" xfId="0" applyFont="1" applyBorder="1" applyAlignment="1" applyProtection="1">
      <protection locked="0"/>
    </xf>
    <xf numFmtId="0" fontId="0" fillId="0" borderId="0" xfId="0" applyBorder="1"/>
    <xf numFmtId="0" fontId="6" fillId="0" borderId="0" xfId="0" applyFont="1" applyProtection="1">
      <protection locked="0"/>
    </xf>
    <xf numFmtId="165" fontId="0" fillId="0" borderId="3" xfId="0" applyNumberFormat="1" applyFont="1" applyFill="1" applyBorder="1" applyProtection="1"/>
    <xf numFmtId="2" fontId="7" fillId="0" borderId="3" xfId="0" applyNumberFormat="1" applyFont="1" applyFill="1" applyBorder="1"/>
    <xf numFmtId="165" fontId="7" fillId="0" borderId="3" xfId="0" applyNumberFormat="1" applyFont="1" applyFill="1" applyBorder="1"/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C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43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1" width="14" style="2" customWidth="1"/>
    <col min="2" max="2" width="14" style="3" customWidth="1"/>
    <col min="3" max="3" width="14.33203125" style="4" customWidth="1"/>
  </cols>
  <sheetData>
    <row r="1" spans="1:13" s="28" customFormat="1" ht="36.6" x14ac:dyDescent="0.7">
      <c r="A1" s="14" t="s">
        <v>0</v>
      </c>
      <c r="B1" s="10" t="s">
        <v>32</v>
      </c>
      <c r="C1" s="11" t="s">
        <v>1</v>
      </c>
      <c r="D1" s="26"/>
      <c r="E1" s="27"/>
      <c r="F1" s="27"/>
      <c r="G1" s="27"/>
    </row>
    <row r="2" spans="1:13" ht="14.55" customHeight="1" x14ac:dyDescent="0.35">
      <c r="A2" s="21"/>
      <c r="B2" s="22"/>
      <c r="C2" s="21"/>
    </row>
    <row r="3" spans="1:13" ht="14.55" customHeight="1" x14ac:dyDescent="0.35">
      <c r="A3" s="21"/>
      <c r="B3" s="22"/>
      <c r="C3" s="21"/>
    </row>
    <row r="4" spans="1:13" ht="14.55" x14ac:dyDescent="0.35">
      <c r="A4" s="21"/>
      <c r="B4" s="22"/>
      <c r="C4" s="21"/>
    </row>
    <row r="5" spans="1:13" ht="14.55" x14ac:dyDescent="0.35">
      <c r="A5" s="21"/>
      <c r="B5" s="22"/>
      <c r="C5" s="21"/>
    </row>
    <row r="6" spans="1:13" ht="14.55" x14ac:dyDescent="0.35">
      <c r="A6" s="21"/>
      <c r="B6" s="22"/>
      <c r="C6" s="21"/>
    </row>
    <row r="7" spans="1:13" ht="14.55" x14ac:dyDescent="0.35">
      <c r="A7" s="21"/>
      <c r="B7" s="22"/>
      <c r="C7" s="21"/>
    </row>
    <row r="8" spans="1:13" ht="14.55" x14ac:dyDescent="0.35">
      <c r="A8" s="21"/>
      <c r="B8" s="22"/>
      <c r="C8" s="21"/>
    </row>
    <row r="9" spans="1:13" ht="14.55" x14ac:dyDescent="0.35">
      <c r="A9" s="21"/>
      <c r="B9" s="22"/>
      <c r="C9" s="21"/>
      <c r="F9" s="29"/>
      <c r="M9" s="29" t="s">
        <v>40</v>
      </c>
    </row>
    <row r="10" spans="1:13" ht="14.55" x14ac:dyDescent="0.35">
      <c r="A10" s="21"/>
      <c r="B10" s="22"/>
      <c r="C10" s="21"/>
    </row>
    <row r="11" spans="1:13" ht="14.55" x14ac:dyDescent="0.35">
      <c r="A11" s="21"/>
      <c r="B11" s="22"/>
      <c r="C11" s="21"/>
    </row>
    <row r="12" spans="1:13" ht="14.55" x14ac:dyDescent="0.35">
      <c r="A12" s="21"/>
      <c r="B12" s="22"/>
      <c r="C12" s="21"/>
    </row>
    <row r="13" spans="1:13" ht="14.55" x14ac:dyDescent="0.35">
      <c r="A13" s="21"/>
      <c r="B13" s="22"/>
      <c r="C13" s="21"/>
    </row>
    <row r="14" spans="1:13" ht="14.55" x14ac:dyDescent="0.35">
      <c r="A14" s="21"/>
      <c r="B14" s="22"/>
      <c r="C14" s="21"/>
    </row>
    <row r="15" spans="1:13" ht="14.55" x14ac:dyDescent="0.35">
      <c r="A15" s="21"/>
      <c r="B15" s="22"/>
      <c r="C15" s="21"/>
    </row>
    <row r="16" spans="1:13" ht="14.55" x14ac:dyDescent="0.35">
      <c r="A16" s="21"/>
      <c r="B16" s="22"/>
      <c r="C16" s="21"/>
    </row>
    <row r="17" spans="1:3" ht="14.55" x14ac:dyDescent="0.35">
      <c r="A17" s="21"/>
      <c r="B17" s="22"/>
      <c r="C17" s="21"/>
    </row>
    <row r="18" spans="1:3" ht="14.55" x14ac:dyDescent="0.35">
      <c r="A18" s="21"/>
      <c r="B18" s="22"/>
      <c r="C18" s="21"/>
    </row>
    <row r="19" spans="1:3" ht="14.55" x14ac:dyDescent="0.35">
      <c r="A19" s="21"/>
      <c r="B19" s="22"/>
      <c r="C19" s="21"/>
    </row>
    <row r="20" spans="1:3" ht="14.55" customHeight="1" x14ac:dyDescent="0.35">
      <c r="A20" s="21"/>
      <c r="B20" s="22"/>
      <c r="C20" s="21"/>
    </row>
    <row r="21" spans="1:3" ht="14.55" customHeight="1" x14ac:dyDescent="0.35">
      <c r="A21" s="21"/>
      <c r="B21" s="22"/>
      <c r="C21" s="21"/>
    </row>
    <row r="22" spans="1:3" ht="14.55" customHeight="1" x14ac:dyDescent="0.35">
      <c r="A22" s="21"/>
      <c r="B22" s="22"/>
      <c r="C22" s="21"/>
    </row>
    <row r="23" spans="1:3" ht="14.55" customHeight="1" x14ac:dyDescent="0.35">
      <c r="A23" s="21"/>
      <c r="B23" s="22"/>
      <c r="C23" s="21"/>
    </row>
    <row r="24" spans="1:3" ht="14.55" customHeight="1" x14ac:dyDescent="0.35">
      <c r="A24" s="21"/>
      <c r="B24" s="22"/>
      <c r="C24" s="21"/>
    </row>
    <row r="25" spans="1:3" ht="14.55" customHeight="1" x14ac:dyDescent="0.3">
      <c r="A25" s="21"/>
      <c r="B25" s="22"/>
      <c r="C25" s="21"/>
    </row>
    <row r="26" spans="1:3" x14ac:dyDescent="0.3">
      <c r="A26" s="21"/>
      <c r="B26" s="22"/>
      <c r="C26" s="21"/>
    </row>
    <row r="27" spans="1:3" ht="14.55" customHeight="1" x14ac:dyDescent="0.3">
      <c r="A27" s="21"/>
      <c r="B27" s="22"/>
      <c r="C27" s="21"/>
    </row>
    <row r="28" spans="1:3" ht="14.55" customHeight="1" x14ac:dyDescent="0.3">
      <c r="A28" s="21"/>
      <c r="B28" s="22"/>
      <c r="C28" s="21"/>
    </row>
    <row r="29" spans="1:3" x14ac:dyDescent="0.3">
      <c r="A29" s="21"/>
      <c r="B29" s="22"/>
      <c r="C29" s="21"/>
    </row>
    <row r="30" spans="1:3" x14ac:dyDescent="0.3">
      <c r="A30" s="21"/>
      <c r="B30" s="22"/>
      <c r="C30" s="21"/>
    </row>
    <row r="31" spans="1:3" x14ac:dyDescent="0.3">
      <c r="A31" s="21"/>
      <c r="B31" s="22"/>
      <c r="C31" s="21"/>
    </row>
    <row r="32" spans="1:3" x14ac:dyDescent="0.3">
      <c r="A32" s="21"/>
      <c r="B32" s="22"/>
      <c r="C32" s="21"/>
    </row>
    <row r="33" spans="1:3" x14ac:dyDescent="0.3">
      <c r="A33" s="21"/>
      <c r="B33" s="22"/>
      <c r="C33" s="21"/>
    </row>
    <row r="34" spans="1:3" x14ac:dyDescent="0.3">
      <c r="A34" s="21"/>
      <c r="B34" s="22"/>
      <c r="C34" s="21"/>
    </row>
    <row r="35" spans="1:3" x14ac:dyDescent="0.3">
      <c r="A35" s="21"/>
      <c r="B35" s="22"/>
      <c r="C35" s="21"/>
    </row>
    <row r="36" spans="1:3" x14ac:dyDescent="0.3">
      <c r="A36" s="21"/>
      <c r="B36" s="22"/>
      <c r="C36" s="21"/>
    </row>
    <row r="37" spans="1:3" x14ac:dyDescent="0.3">
      <c r="A37" s="21"/>
      <c r="B37" s="22"/>
      <c r="C37" s="21"/>
    </row>
    <row r="38" spans="1:3" x14ac:dyDescent="0.3">
      <c r="A38" s="21"/>
      <c r="B38" s="22"/>
      <c r="C38" s="21"/>
    </row>
    <row r="39" spans="1:3" x14ac:dyDescent="0.3">
      <c r="A39" s="21"/>
      <c r="B39" s="22"/>
      <c r="C39" s="21"/>
    </row>
    <row r="40" spans="1:3" x14ac:dyDescent="0.3">
      <c r="A40" s="21"/>
      <c r="B40" s="22"/>
      <c r="C40" s="21"/>
    </row>
    <row r="41" spans="1:3" x14ac:dyDescent="0.3">
      <c r="A41" s="21"/>
      <c r="B41" s="22"/>
      <c r="C41" s="21"/>
    </row>
    <row r="42" spans="1:3" x14ac:dyDescent="0.3">
      <c r="A42" s="21"/>
      <c r="B42" s="22"/>
      <c r="C42" s="21"/>
    </row>
    <row r="43" spans="1:3" x14ac:dyDescent="0.3">
      <c r="A43" s="21"/>
      <c r="B43" s="22"/>
      <c r="C43" s="21"/>
    </row>
  </sheetData>
  <sheetProtection algorithmName="SHA-512" hashValue="r7xBwmPBlQ22k7WEUxgu0TTJb8aHUTEn6aBRv+YYzmOt19gpnaK1RMSDBsEJm6iQtPDASzyf0K08nUitWn0+Dg==" saltValue="M2pOhKrnM7Y9fZqiAT8CwQ==" spinCount="100000" sheet="1" objects="1" scenarios="1" formatCells="0" formatColumns="0" formatRows="0"/>
  <pageMargins left="0.7" right="0.7" top="0.75" bottom="0.75" header="0.3" footer="0.3"/>
  <pageSetup paperSize="9" orientation="portrait" r:id="rId1"/>
  <colBreaks count="1" manualBreakCount="1">
    <brk id="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I43"/>
  <sheetViews>
    <sheetView zoomScaleNormal="100" workbookViewId="0">
      <selection activeCell="A2" sqref="A2"/>
    </sheetView>
  </sheetViews>
  <sheetFormatPr baseColWidth="10" defaultColWidth="11.44140625" defaultRowHeight="14.4" x14ac:dyDescent="0.3"/>
  <cols>
    <col min="1" max="1" width="14" style="2" customWidth="1"/>
    <col min="2" max="2" width="14" style="3" customWidth="1"/>
    <col min="3" max="3" width="14.33203125" style="4" customWidth="1"/>
    <col min="4" max="4" width="8.6640625" style="5" customWidth="1"/>
    <col min="5" max="5" width="8.88671875" style="6" customWidth="1"/>
    <col min="6" max="12" width="10.6640625" style="8" customWidth="1"/>
    <col min="13" max="40" width="7.6640625" style="4" customWidth="1"/>
    <col min="41" max="41" width="7.6640625" style="8" customWidth="1"/>
    <col min="42" max="42" width="7.6640625" style="5" customWidth="1"/>
    <col min="43" max="43" width="14.109375" style="9" customWidth="1"/>
    <col min="44" max="44" width="7.6640625" style="8" customWidth="1"/>
    <col min="45" max="45" width="7.6640625" style="5" customWidth="1"/>
    <col min="46" max="46" width="13.44140625" style="9" bestFit="1" customWidth="1"/>
    <col min="47" max="47" width="7.6640625" style="8" customWidth="1"/>
    <col min="48" max="48" width="7.6640625" style="5" customWidth="1"/>
    <col min="49" max="49" width="13.33203125" style="9" customWidth="1"/>
    <col min="50" max="50" width="7.6640625" style="8" customWidth="1"/>
    <col min="51" max="51" width="7.6640625" style="5" customWidth="1"/>
    <col min="52" max="52" width="13.44140625" style="9" bestFit="1" customWidth="1"/>
    <col min="53" max="53" width="7.6640625" style="8" customWidth="1"/>
    <col min="54" max="54" width="7.6640625" style="5" customWidth="1"/>
    <col min="55" max="55" width="13.44140625" style="9" bestFit="1" customWidth="1"/>
    <col min="56" max="56" width="7.6640625" style="8" customWidth="1"/>
    <col min="57" max="57" width="7.6640625" style="5" customWidth="1"/>
    <col min="58" max="58" width="13.44140625" style="9" bestFit="1" customWidth="1"/>
    <col min="59" max="59" width="7.6640625" style="8" customWidth="1"/>
    <col min="60" max="60" width="7.6640625" style="5" customWidth="1"/>
    <col min="61" max="61" width="13.44140625" style="9" bestFit="1" customWidth="1"/>
    <col min="62" max="16384" width="11.44140625" style="7"/>
  </cols>
  <sheetData>
    <row r="1" spans="1:61" s="1" customFormat="1" ht="45" customHeight="1" x14ac:dyDescent="0.3">
      <c r="A1" s="14" t="s">
        <v>0</v>
      </c>
      <c r="B1" s="10" t="s">
        <v>32</v>
      </c>
      <c r="C1" s="11" t="s">
        <v>1</v>
      </c>
      <c r="D1" s="12" t="s">
        <v>2</v>
      </c>
      <c r="E1" s="15" t="s">
        <v>3</v>
      </c>
      <c r="F1" s="11" t="s">
        <v>101</v>
      </c>
      <c r="G1" s="11" t="s">
        <v>41</v>
      </c>
      <c r="H1" s="11" t="s">
        <v>42</v>
      </c>
      <c r="I1" s="11" t="s">
        <v>43</v>
      </c>
      <c r="J1" s="11" t="s">
        <v>44</v>
      </c>
      <c r="K1" s="11" t="s">
        <v>45</v>
      </c>
      <c r="L1" s="11" t="s">
        <v>147</v>
      </c>
      <c r="M1" s="11" t="s">
        <v>52</v>
      </c>
      <c r="N1" s="11" t="s">
        <v>53</v>
      </c>
      <c r="O1" s="11" t="s">
        <v>54</v>
      </c>
      <c r="P1" s="11" t="s">
        <v>55</v>
      </c>
      <c r="Q1" s="11" t="s">
        <v>56</v>
      </c>
      <c r="R1" s="11" t="s">
        <v>57</v>
      </c>
      <c r="S1" s="11" t="s">
        <v>58</v>
      </c>
      <c r="T1" s="11" t="s">
        <v>59</v>
      </c>
      <c r="U1" s="11" t="s">
        <v>60</v>
      </c>
      <c r="V1" s="11" t="s">
        <v>61</v>
      </c>
      <c r="W1" s="11" t="s">
        <v>62</v>
      </c>
      <c r="X1" s="11" t="s">
        <v>63</v>
      </c>
      <c r="Y1" s="11" t="s">
        <v>64</v>
      </c>
      <c r="Z1" s="11" t="s">
        <v>65</v>
      </c>
      <c r="AA1" s="11" t="s">
        <v>66</v>
      </c>
      <c r="AB1" s="11" t="s">
        <v>67</v>
      </c>
      <c r="AC1" s="11" t="s">
        <v>68</v>
      </c>
      <c r="AD1" s="11" t="s">
        <v>69</v>
      </c>
      <c r="AE1" s="11" t="s">
        <v>70</v>
      </c>
      <c r="AF1" s="11" t="s">
        <v>71</v>
      </c>
      <c r="AG1" s="11" t="s">
        <v>72</v>
      </c>
      <c r="AH1" s="11" t="s">
        <v>73</v>
      </c>
      <c r="AI1" s="11" t="s">
        <v>74</v>
      </c>
      <c r="AJ1" s="11" t="s">
        <v>75</v>
      </c>
      <c r="AK1" s="11" t="s">
        <v>76</v>
      </c>
      <c r="AL1" s="11" t="s">
        <v>77</v>
      </c>
      <c r="AM1" s="11" t="s">
        <v>78</v>
      </c>
      <c r="AN1" s="11" t="s">
        <v>79</v>
      </c>
      <c r="AO1" s="11" t="s">
        <v>80</v>
      </c>
      <c r="AP1" s="12" t="s">
        <v>81</v>
      </c>
      <c r="AQ1" s="13" t="s">
        <v>82</v>
      </c>
      <c r="AR1" s="11" t="s">
        <v>83</v>
      </c>
      <c r="AS1" s="12" t="s">
        <v>84</v>
      </c>
      <c r="AT1" s="13" t="s">
        <v>85</v>
      </c>
      <c r="AU1" s="11" t="s">
        <v>86</v>
      </c>
      <c r="AV1" s="12" t="s">
        <v>87</v>
      </c>
      <c r="AW1" s="13" t="s">
        <v>88</v>
      </c>
      <c r="AX1" s="11" t="s">
        <v>89</v>
      </c>
      <c r="AY1" s="12" t="s">
        <v>90</v>
      </c>
      <c r="AZ1" s="13" t="s">
        <v>91</v>
      </c>
      <c r="BA1" s="11" t="s">
        <v>92</v>
      </c>
      <c r="BB1" s="12" t="s">
        <v>95</v>
      </c>
      <c r="BC1" s="13" t="s">
        <v>96</v>
      </c>
      <c r="BD1" s="11" t="s">
        <v>93</v>
      </c>
      <c r="BE1" s="12" t="s">
        <v>97</v>
      </c>
      <c r="BF1" s="13" t="s">
        <v>98</v>
      </c>
      <c r="BG1" s="11" t="s">
        <v>94</v>
      </c>
      <c r="BH1" s="12" t="s">
        <v>99</v>
      </c>
      <c r="BI1" s="13" t="s">
        <v>100</v>
      </c>
    </row>
    <row r="2" spans="1:61" x14ac:dyDescent="0.3">
      <c r="A2" s="19" t="str">
        <f>IF(Pesada!A2="","",Pesada!A2)</f>
        <v/>
      </c>
      <c r="B2" s="16" t="str">
        <f>IF(Pesada!B2="","",Pesada!B2)</f>
        <v/>
      </c>
      <c r="C2" s="20" t="str">
        <f>IF(Pesada!C2="","",VALUE(Pesada!C2))</f>
        <v/>
      </c>
      <c r="D2" s="23">
        <v>100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17" t="str">
        <f>IF(AND(METALESPESADOS!$M2="",METALESPESADOS!$N2="",METALESPESADOS!$O2="",METALESPESADOS!$P2=""),"",AVERAGE(METALESPESADOS!$M2,METALESPESADOS!$N2,METALESPESADOS!$O2,METALESPESADOS!$P2))</f>
        <v/>
      </c>
      <c r="AP2" s="23">
        <v>1</v>
      </c>
      <c r="AQ2" s="31" t="str">
        <f>IF(OR(METALESPESADOS!$A2="",METALESPESADOS!$B2="",METALESPESADOS!$C2="",METALESPESADOS!$D2="",METALESPESADOS!$E2="",METALESPESADOS!$F2="",METALESPESADOS!$AO2="",METALESPESADOS!$AP2=""),"",((METALESPESADOS!$F2-METALESPESADOS!$AO2)*METALESPESADOS!$AP2*METALESPESADOS!$D2*(1/METALESPESADOS!$C2)*METALESPESADOS!$E2*0.001))</f>
        <v/>
      </c>
      <c r="AR2" s="17" t="str">
        <f>IF(AND(METALESPESADOS!$Q2="",METALESPESADOS!$R2="",METALESPESADOS!$S2="",METALESPESADOS!$T2=""),"",AVERAGE(METALESPESADOS!$Q2,METALESPESADOS!$R2,METALESPESADOS!$S2,METALESPESADOS!$T2))</f>
        <v/>
      </c>
      <c r="AS2" s="23">
        <v>1</v>
      </c>
      <c r="AT2" s="31" t="str">
        <f>IF(OR(METALESPESADOS!$A2="",METALESPESADOS!$B2="",METALESPESADOS!$C2="",METALESPESADOS!$D2="",METALESPESADOS!$E2="",METALESPESADOS!$G2="",METALESPESADOS!$AR2="",METALESPESADOS!$AS2=""),"",((METALESPESADOS!$G2-METALESPESADOS!$AR2)*METALESPESADOS!$AS2*METALESPESADOS!$D2*(1/METALESPESADOS!$C2)*METALESPESADOS!$E2))</f>
        <v/>
      </c>
      <c r="AU2" s="17" t="str">
        <f>IF(AND(METALESPESADOS!$U2="",METALESPESADOS!$V2="",METALESPESADOS!$W2="",METALESPESADOS!$X2=""),"",AVERAGE(METALESPESADOS!$U2,METALESPESADOS!$V2,METALESPESADOS!$W2,METALESPESADOS!$X2))</f>
        <v/>
      </c>
      <c r="AV2" s="23">
        <v>1</v>
      </c>
      <c r="AW2" s="31" t="str">
        <f>IF(OR(METALESPESADOS!$A2="",METALESPESADOS!$B2="",METALESPESADOS!$C2="",METALESPESADOS!$D2="",METALESPESADOS!$E2="",METALESPESADOS!$H2="",METALESPESADOS!$AU2="",METALESPESADOS!$AV2=""),"",((METALESPESADOS!$H2-METALESPESADOS!$AU2)*METALESPESADOS!$AV2*METALESPESADOS!$D2*(1/METALESPESADOS!$C2)*METALESPESADOS!$E2))</f>
        <v/>
      </c>
      <c r="AX2" s="17" t="str">
        <f>IF(AND(METALESPESADOS!$Y2="",METALESPESADOS!$Z2="",METALESPESADOS!$AA2="",METALESPESADOS!$AB2=""),"",AVERAGE(METALESPESADOS!$Y2,METALESPESADOS!$Z2,METALESPESADOS!$AA2,METALESPESADOS!$AB2))</f>
        <v/>
      </c>
      <c r="AY2" s="23">
        <v>1</v>
      </c>
      <c r="AZ2" s="31" t="str">
        <f>IF(OR(METALESPESADOS!$A2="",METALESPESADOS!$B2="",METALESPESADOS!$C2="",METALESPESADOS!$D2="",METALESPESADOS!$E2="",METALESPESADOS!$I2="",METALESPESADOS!$AX2="",METALESPESADOS!$AY2=""),"",((METALESPESADOS!$I2-METALESPESADOS!$AX2)*METALESPESADOS!$AY2*METALESPESADOS!$D2*(1/METALESPESADOS!$C2)*METALESPESADOS!$E2))</f>
        <v/>
      </c>
      <c r="BA2" s="17" t="str">
        <f>IF(AND(METALESPESADOS!$AC2="",METALESPESADOS!$AD2="",METALESPESADOS!$AE2="",METALESPESADOS!$AF2=""),"",AVERAGE(METALESPESADOS!$AC2,METALESPESADOS!$AD2,METALESPESADOS!$AE2,METALESPESADOS!$AF2))</f>
        <v/>
      </c>
      <c r="BB2" s="23">
        <v>1</v>
      </c>
      <c r="BC2" s="31" t="str">
        <f>IF(OR(METALESPESADOS!$A2="",METALESPESADOS!$B2="",METALESPESADOS!$C2="",METALESPESADOS!$D2="",METALESPESADOS!$E2="",METALESPESADOS!$J2="",METALESPESADOS!$BA2="",METALESPESADOS!$BB2=""),"",((METALESPESADOS!$J2-METALESPESADOS!$BA2)*METALESPESADOS!$BB2*METALESPESADOS!$D2*(1/METALESPESADOS!$C2)*METALESPESADOS!$E2))</f>
        <v/>
      </c>
      <c r="BD2" s="17" t="str">
        <f>IF(AND(METALESPESADOS!$AG2="",METALESPESADOS!$AH2="",METALESPESADOS!$AI2="",METALESPESADOS!$AJ2=""),"",AVERAGE(METALESPESADOS!$AG2,METALESPESADOS!$AH2,METALESPESADOS!$AI2,METALESPESADOS!$AJ2))</f>
        <v/>
      </c>
      <c r="BE2" s="23">
        <v>1</v>
      </c>
      <c r="BF2" s="31" t="str">
        <f>IF(OR(METALESPESADOS!$A2="",METALESPESADOS!$B2="",METALESPESADOS!$C2="",METALESPESADOS!$D2="",METALESPESADOS!$E2="",METALESPESADOS!$K2="",METALESPESADOS!$BD2="",METALESPESADOS!$BE2=""),"",((METALESPESADOS!$K2-METALESPESADOS!$BD2)*METALESPESADOS!$BE2*METALESPESADOS!$D2*(1/METALESPESADOS!$C2)*METALESPESADOS!$E2))</f>
        <v/>
      </c>
      <c r="BG2" s="17" t="str">
        <f>IF(AND(METALESPESADOS!$AK2="",METALESPESADOS!$AL2="",METALESPESADOS!$AM2="",METALESPESADOS!$AN2=""),"",AVERAGE(METALESPESADOS!$AK2,METALESPESADOS!$AL2,METALESPESADOS!$AM2,METALESPESADOS!$AN2))</f>
        <v/>
      </c>
      <c r="BH2" s="23">
        <v>10</v>
      </c>
      <c r="BI2" s="32" t="str">
        <f>IF(OR(METALESPESADOS!$A2="",METALESPESADOS!$B2="",METALESPESADOS!$C2="",METALESPESADOS!$D2="",METALESPESADOS!$E2="",METALESPESADOS!$L2="",METALESPESADOS!$BG2="",METALESPESADOS!$BH2=""),"",((METALESPESADOS!$L2-METALESPESADOS!$BG2)*METALESPESADOS!$BH2*METALESPESADOS!$D2*(1/METALESPESADOS!$C2)*METALESPESADOS!$E2*0.001))</f>
        <v/>
      </c>
    </row>
    <row r="3" spans="1:61" x14ac:dyDescent="0.3">
      <c r="A3" s="19" t="str">
        <f>IF(Pesada!A3="","",Pesada!A3)</f>
        <v/>
      </c>
      <c r="B3" s="16" t="str">
        <f>IF(Pesada!B3="","",Pesada!B3)</f>
        <v/>
      </c>
      <c r="C3" s="20" t="str">
        <f>IF(Pesada!C3="","",VALUE(Pesada!C3))</f>
        <v/>
      </c>
      <c r="D3" s="23">
        <v>100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17" t="str">
        <f>IF(AND(METALESPESADOS!$M3="",METALESPESADOS!$N3="",METALESPESADOS!$O3="",METALESPESADOS!$P3=""),"",AVERAGE(METALESPESADOS!$M3,METALESPESADOS!$N3,METALESPESADOS!$O3,METALESPESADOS!$P3))</f>
        <v/>
      </c>
      <c r="AP3" s="23">
        <v>1</v>
      </c>
      <c r="AQ3" s="31" t="str">
        <f>IF(OR(METALESPESADOS!$A3="",METALESPESADOS!$B3="",METALESPESADOS!$C3="",METALESPESADOS!$D3="",METALESPESADOS!$E3="",METALESPESADOS!$F3="",METALESPESADOS!$AO3="",METALESPESADOS!$AP3=""),"",((METALESPESADOS!$F3-METALESPESADOS!$AO3)*METALESPESADOS!$AP3*METALESPESADOS!$D3*(1/METALESPESADOS!$C3)*METALESPESADOS!$E3*0.001))</f>
        <v/>
      </c>
      <c r="AR3" s="17" t="str">
        <f>IF(AND(METALESPESADOS!$Q3="",METALESPESADOS!$R3="",METALESPESADOS!$S3="",METALESPESADOS!$T3=""),"",AVERAGE(METALESPESADOS!$Q3,METALESPESADOS!$R3,METALESPESADOS!$S3,METALESPESADOS!$T3))</f>
        <v/>
      </c>
      <c r="AS3" s="23">
        <v>1</v>
      </c>
      <c r="AT3" s="31" t="str">
        <f>IF(OR(METALESPESADOS!$A3="",METALESPESADOS!$B3="",METALESPESADOS!$C3="",METALESPESADOS!$D3="",METALESPESADOS!$E3="",METALESPESADOS!$G3="",METALESPESADOS!$AR3="",METALESPESADOS!$AS3=""),"",((METALESPESADOS!$G3-METALESPESADOS!$AR3)*METALESPESADOS!$AS3*METALESPESADOS!$D3*(1/METALESPESADOS!$C3)*METALESPESADOS!$E3))</f>
        <v/>
      </c>
      <c r="AU3" s="17" t="str">
        <f>IF(AND(METALESPESADOS!$U3="",METALESPESADOS!$V3="",METALESPESADOS!$W3="",METALESPESADOS!$X3=""),"",AVERAGE(METALESPESADOS!$U3,METALESPESADOS!$V3,METALESPESADOS!$W3,METALESPESADOS!$X3))</f>
        <v/>
      </c>
      <c r="AV3" s="23">
        <v>1</v>
      </c>
      <c r="AW3" s="31" t="str">
        <f>IF(OR(METALESPESADOS!$A3="",METALESPESADOS!$B3="",METALESPESADOS!$C3="",METALESPESADOS!$D3="",METALESPESADOS!$E3="",METALESPESADOS!$H3="",METALESPESADOS!$AU3="",METALESPESADOS!$AV3=""),"",((METALESPESADOS!$H3-METALESPESADOS!$AU3)*METALESPESADOS!$AV3*METALESPESADOS!$D3*(1/METALESPESADOS!$C3)*METALESPESADOS!$E3))</f>
        <v/>
      </c>
      <c r="AX3" s="17" t="str">
        <f>IF(AND(METALESPESADOS!$Y3="",METALESPESADOS!$Z3="",METALESPESADOS!$AA3="",METALESPESADOS!$AB3=""),"",AVERAGE(METALESPESADOS!$Y3,METALESPESADOS!$Z3,METALESPESADOS!$AA3,METALESPESADOS!$AB3))</f>
        <v/>
      </c>
      <c r="AY3" s="23">
        <v>1</v>
      </c>
      <c r="AZ3" s="31" t="str">
        <f>IF(OR(METALESPESADOS!$A3="",METALESPESADOS!$B3="",METALESPESADOS!$C3="",METALESPESADOS!$D3="",METALESPESADOS!$E3="",METALESPESADOS!$I3="",METALESPESADOS!$AX3="",METALESPESADOS!$AY3=""),"",((METALESPESADOS!$I3-METALESPESADOS!$AX3)*METALESPESADOS!$AY3*METALESPESADOS!$D3*(1/METALESPESADOS!$C3)*METALESPESADOS!$E3))</f>
        <v/>
      </c>
      <c r="BA3" s="17" t="str">
        <f>IF(AND(METALESPESADOS!$AC3="",METALESPESADOS!$AD3="",METALESPESADOS!$AE3="",METALESPESADOS!$AF3=""),"",AVERAGE(METALESPESADOS!$AC3,METALESPESADOS!$AD3,METALESPESADOS!$AE3,METALESPESADOS!$AF3))</f>
        <v/>
      </c>
      <c r="BB3" s="23">
        <v>1</v>
      </c>
      <c r="BC3" s="31" t="str">
        <f>IF(OR(METALESPESADOS!$A3="",METALESPESADOS!$B3="",METALESPESADOS!$C3="",METALESPESADOS!$D3="",METALESPESADOS!$E3="",METALESPESADOS!$J3="",METALESPESADOS!$BA3="",METALESPESADOS!$BB3=""),"",((METALESPESADOS!$J3-METALESPESADOS!$BA3)*METALESPESADOS!$BB3*METALESPESADOS!$D3*(1/METALESPESADOS!$C3)*METALESPESADOS!$E3))</f>
        <v/>
      </c>
      <c r="BD3" s="17" t="str">
        <f>IF(AND(METALESPESADOS!$AG3="",METALESPESADOS!$AH3="",METALESPESADOS!$AI3="",METALESPESADOS!$AJ3=""),"",AVERAGE(METALESPESADOS!$AG3,METALESPESADOS!$AH3,METALESPESADOS!$AI3,METALESPESADOS!$AJ3))</f>
        <v/>
      </c>
      <c r="BE3" s="23">
        <v>1</v>
      </c>
      <c r="BF3" s="31" t="str">
        <f>IF(OR(METALESPESADOS!$A3="",METALESPESADOS!$B3="",METALESPESADOS!$C3="",METALESPESADOS!$D3="",METALESPESADOS!$E3="",METALESPESADOS!$K3="",METALESPESADOS!$BD3="",METALESPESADOS!$BE3=""),"",((METALESPESADOS!$K3-METALESPESADOS!$BD3)*METALESPESADOS!$BE3*METALESPESADOS!$D3*(1/METALESPESADOS!$C3)*METALESPESADOS!$E3))</f>
        <v/>
      </c>
      <c r="BG3" s="17" t="str">
        <f>IF(AND(METALESPESADOS!$AK3="",METALESPESADOS!$AL3="",METALESPESADOS!$AM3="",METALESPESADOS!$AN3=""),"",AVERAGE(METALESPESADOS!$AK3,METALESPESADOS!$AL3,METALESPESADOS!$AM3,METALESPESADOS!$AN3))</f>
        <v/>
      </c>
      <c r="BH3" s="23">
        <v>10</v>
      </c>
      <c r="BI3" s="32" t="str">
        <f>IF(OR(METALESPESADOS!$A3="",METALESPESADOS!$B3="",METALESPESADOS!$C3="",METALESPESADOS!$D3="",METALESPESADOS!$E3="",METALESPESADOS!$L3="",METALESPESADOS!$BG3="",METALESPESADOS!$BH3=""),"",((METALESPESADOS!$L3-METALESPESADOS!$BG3)*METALESPESADOS!$BH3*METALESPESADOS!$D3*(1/METALESPESADOS!$C3)*METALESPESADOS!$E3*0.001))</f>
        <v/>
      </c>
    </row>
    <row r="4" spans="1:61" x14ac:dyDescent="0.3">
      <c r="A4" s="19" t="str">
        <f>IF(Pesada!A4="","",Pesada!A4)</f>
        <v/>
      </c>
      <c r="B4" s="16" t="str">
        <f>IF(Pesada!B4="","",Pesada!B4)</f>
        <v/>
      </c>
      <c r="C4" s="20" t="str">
        <f>IF(Pesada!C4="","",VALUE(Pesada!C4))</f>
        <v/>
      </c>
      <c r="D4" s="23">
        <v>100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17" t="str">
        <f>IF(AND(METALESPESADOS!$M4="",METALESPESADOS!$N4="",METALESPESADOS!$O4="",METALESPESADOS!$P4=""),"",AVERAGE(METALESPESADOS!$M4,METALESPESADOS!$N4,METALESPESADOS!$O4,METALESPESADOS!$P4))</f>
        <v/>
      </c>
      <c r="AP4" s="23">
        <v>1</v>
      </c>
      <c r="AQ4" s="31" t="str">
        <f>IF(OR(METALESPESADOS!$A4="",METALESPESADOS!$B4="",METALESPESADOS!$C4="",METALESPESADOS!$D4="",METALESPESADOS!$E4="",METALESPESADOS!$F4="",METALESPESADOS!$AO4="",METALESPESADOS!$AP4=""),"",((METALESPESADOS!$F4-METALESPESADOS!$AO4)*METALESPESADOS!$AP4*METALESPESADOS!$D4*(1/METALESPESADOS!$C4)*METALESPESADOS!$E4*0.001))</f>
        <v/>
      </c>
      <c r="AR4" s="17" t="str">
        <f>IF(AND(METALESPESADOS!$Q4="",METALESPESADOS!$R4="",METALESPESADOS!$S4="",METALESPESADOS!$T4=""),"",AVERAGE(METALESPESADOS!$Q4,METALESPESADOS!$R4,METALESPESADOS!$S4,METALESPESADOS!$T4))</f>
        <v/>
      </c>
      <c r="AS4" s="23">
        <v>1</v>
      </c>
      <c r="AT4" s="31" t="str">
        <f>IF(OR(METALESPESADOS!$A4="",METALESPESADOS!$B4="",METALESPESADOS!$C4="",METALESPESADOS!$D4="",METALESPESADOS!$E4="",METALESPESADOS!$G4="",METALESPESADOS!$AR4="",METALESPESADOS!$AS4=""),"",((METALESPESADOS!$G4-METALESPESADOS!$AR4)*METALESPESADOS!$AS4*METALESPESADOS!$D4*(1/METALESPESADOS!$C4)*METALESPESADOS!$E4))</f>
        <v/>
      </c>
      <c r="AU4" s="17" t="str">
        <f>IF(AND(METALESPESADOS!$U4="",METALESPESADOS!$V4="",METALESPESADOS!$W4="",METALESPESADOS!$X4=""),"",AVERAGE(METALESPESADOS!$U4,METALESPESADOS!$V4,METALESPESADOS!$W4,METALESPESADOS!$X4))</f>
        <v/>
      </c>
      <c r="AV4" s="23">
        <v>1</v>
      </c>
      <c r="AW4" s="31" t="str">
        <f>IF(OR(METALESPESADOS!$A4="",METALESPESADOS!$B4="",METALESPESADOS!$C4="",METALESPESADOS!$D4="",METALESPESADOS!$E4="",METALESPESADOS!$H4="",METALESPESADOS!$AU4="",METALESPESADOS!$AV4=""),"",((METALESPESADOS!$H4-METALESPESADOS!$AU4)*METALESPESADOS!$AV4*METALESPESADOS!$D4*(1/METALESPESADOS!$C4)*METALESPESADOS!$E4))</f>
        <v/>
      </c>
      <c r="AX4" s="17" t="str">
        <f>IF(AND(METALESPESADOS!$Y4="",METALESPESADOS!$Z4="",METALESPESADOS!$AA4="",METALESPESADOS!$AB4=""),"",AVERAGE(METALESPESADOS!$Y4,METALESPESADOS!$Z4,METALESPESADOS!$AA4,METALESPESADOS!$AB4))</f>
        <v/>
      </c>
      <c r="AY4" s="23">
        <v>1</v>
      </c>
      <c r="AZ4" s="31" t="str">
        <f>IF(OR(METALESPESADOS!$A4="",METALESPESADOS!$B4="",METALESPESADOS!$C4="",METALESPESADOS!$D4="",METALESPESADOS!$E4="",METALESPESADOS!$I4="",METALESPESADOS!$AX4="",METALESPESADOS!$AY4=""),"",((METALESPESADOS!$I4-METALESPESADOS!$AX4)*METALESPESADOS!$AY4*METALESPESADOS!$D4*(1/METALESPESADOS!$C4)*METALESPESADOS!$E4))</f>
        <v/>
      </c>
      <c r="BA4" s="17" t="str">
        <f>IF(AND(METALESPESADOS!$AC4="",METALESPESADOS!$AD4="",METALESPESADOS!$AE4="",METALESPESADOS!$AF4=""),"",AVERAGE(METALESPESADOS!$AC4,METALESPESADOS!$AD4,METALESPESADOS!$AE4,METALESPESADOS!$AF4))</f>
        <v/>
      </c>
      <c r="BB4" s="23">
        <v>1</v>
      </c>
      <c r="BC4" s="31" t="str">
        <f>IF(OR(METALESPESADOS!$A4="",METALESPESADOS!$B4="",METALESPESADOS!$C4="",METALESPESADOS!$D4="",METALESPESADOS!$E4="",METALESPESADOS!$J4="",METALESPESADOS!$BA4="",METALESPESADOS!$BB4=""),"",((METALESPESADOS!$J4-METALESPESADOS!$BA4)*METALESPESADOS!$BB4*METALESPESADOS!$D4*(1/METALESPESADOS!$C4)*METALESPESADOS!$E4))</f>
        <v/>
      </c>
      <c r="BD4" s="17" t="str">
        <f>IF(AND(METALESPESADOS!$AG4="",METALESPESADOS!$AH4="",METALESPESADOS!$AI4="",METALESPESADOS!$AJ4=""),"",AVERAGE(METALESPESADOS!$AG4,METALESPESADOS!$AH4,METALESPESADOS!$AI4,METALESPESADOS!$AJ4))</f>
        <v/>
      </c>
      <c r="BE4" s="23">
        <v>1</v>
      </c>
      <c r="BF4" s="31" t="str">
        <f>IF(OR(METALESPESADOS!$A4="",METALESPESADOS!$B4="",METALESPESADOS!$C4="",METALESPESADOS!$D4="",METALESPESADOS!$E4="",METALESPESADOS!$K4="",METALESPESADOS!$BD4="",METALESPESADOS!$BE4=""),"",((METALESPESADOS!$K4-METALESPESADOS!$BD4)*METALESPESADOS!$BE4*METALESPESADOS!$D4*(1/METALESPESADOS!$C4)*METALESPESADOS!$E4))</f>
        <v/>
      </c>
      <c r="BG4" s="17" t="str">
        <f>IF(AND(METALESPESADOS!$AK4="",METALESPESADOS!$AL4="",METALESPESADOS!$AM4="",METALESPESADOS!$AN4=""),"",AVERAGE(METALESPESADOS!$AK4,METALESPESADOS!$AL4,METALESPESADOS!$AM4,METALESPESADOS!$AN4))</f>
        <v/>
      </c>
      <c r="BH4" s="23">
        <v>10</v>
      </c>
      <c r="BI4" s="32" t="str">
        <f>IF(OR(METALESPESADOS!$A4="",METALESPESADOS!$B4="",METALESPESADOS!$C4="",METALESPESADOS!$D4="",METALESPESADOS!$E4="",METALESPESADOS!$L4="",METALESPESADOS!$BG4="",METALESPESADOS!$BH4=""),"",((METALESPESADOS!$L4-METALESPESADOS!$BG4)*METALESPESADOS!$BH4*METALESPESADOS!$D4*(1/METALESPESADOS!$C4)*METALESPESADOS!$E4*0.001))</f>
        <v/>
      </c>
    </row>
    <row r="5" spans="1:61" x14ac:dyDescent="0.3">
      <c r="A5" s="19" t="str">
        <f>IF(Pesada!A5="","",Pesada!A5)</f>
        <v/>
      </c>
      <c r="B5" s="16" t="str">
        <f>IF(Pesada!B5="","",Pesada!B5)</f>
        <v/>
      </c>
      <c r="C5" s="20" t="str">
        <f>IF(Pesada!C5="","",VALUE(Pesada!C5))</f>
        <v/>
      </c>
      <c r="D5" s="23">
        <v>100</v>
      </c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17" t="str">
        <f>IF(AND(METALESPESADOS!$M5="",METALESPESADOS!$N5="",METALESPESADOS!$O5="",METALESPESADOS!$P5=""),"",AVERAGE(METALESPESADOS!$M5,METALESPESADOS!$N5,METALESPESADOS!$O5,METALESPESADOS!$P5))</f>
        <v/>
      </c>
      <c r="AP5" s="23">
        <v>1</v>
      </c>
      <c r="AQ5" s="31" t="str">
        <f>IF(OR(METALESPESADOS!$A5="",METALESPESADOS!$B5="",METALESPESADOS!$C5="",METALESPESADOS!$D5="",METALESPESADOS!$E5="",METALESPESADOS!$F5="",METALESPESADOS!$AO5="",METALESPESADOS!$AP5=""),"",((METALESPESADOS!$F5-METALESPESADOS!$AO5)*METALESPESADOS!$AP5*METALESPESADOS!$D5*(1/METALESPESADOS!$C5)*METALESPESADOS!$E5*0.001))</f>
        <v/>
      </c>
      <c r="AR5" s="17" t="str">
        <f>IF(AND(METALESPESADOS!$Q5="",METALESPESADOS!$R5="",METALESPESADOS!$S5="",METALESPESADOS!$T5=""),"",AVERAGE(METALESPESADOS!$Q5,METALESPESADOS!$R5,METALESPESADOS!$S5,METALESPESADOS!$T5))</f>
        <v/>
      </c>
      <c r="AS5" s="23">
        <v>1</v>
      </c>
      <c r="AT5" s="31" t="str">
        <f>IF(OR(METALESPESADOS!$A5="",METALESPESADOS!$B5="",METALESPESADOS!$C5="",METALESPESADOS!$D5="",METALESPESADOS!$E5="",METALESPESADOS!$G5="",METALESPESADOS!$AR5="",METALESPESADOS!$AS5=""),"",((METALESPESADOS!$G5-METALESPESADOS!$AR5)*METALESPESADOS!$AS5*METALESPESADOS!$D5*(1/METALESPESADOS!$C5)*METALESPESADOS!$E5))</f>
        <v/>
      </c>
      <c r="AU5" s="17" t="str">
        <f>IF(AND(METALESPESADOS!$U5="",METALESPESADOS!$V5="",METALESPESADOS!$W5="",METALESPESADOS!$X5=""),"",AVERAGE(METALESPESADOS!$U5,METALESPESADOS!$V5,METALESPESADOS!$W5,METALESPESADOS!$X5))</f>
        <v/>
      </c>
      <c r="AV5" s="23">
        <v>1</v>
      </c>
      <c r="AW5" s="31" t="str">
        <f>IF(OR(METALESPESADOS!$A5="",METALESPESADOS!$B5="",METALESPESADOS!$C5="",METALESPESADOS!$D5="",METALESPESADOS!$E5="",METALESPESADOS!$H5="",METALESPESADOS!$AU5="",METALESPESADOS!$AV5=""),"",((METALESPESADOS!$H5-METALESPESADOS!$AU5)*METALESPESADOS!$AV5*METALESPESADOS!$D5*(1/METALESPESADOS!$C5)*METALESPESADOS!$E5))</f>
        <v/>
      </c>
      <c r="AX5" s="17" t="str">
        <f>IF(AND(METALESPESADOS!$Y5="",METALESPESADOS!$Z5="",METALESPESADOS!$AA5="",METALESPESADOS!$AB5=""),"",AVERAGE(METALESPESADOS!$Y5,METALESPESADOS!$Z5,METALESPESADOS!$AA5,METALESPESADOS!$AB5))</f>
        <v/>
      </c>
      <c r="AY5" s="23">
        <v>1</v>
      </c>
      <c r="AZ5" s="31" t="str">
        <f>IF(OR(METALESPESADOS!$A5="",METALESPESADOS!$B5="",METALESPESADOS!$C5="",METALESPESADOS!$D5="",METALESPESADOS!$E5="",METALESPESADOS!$I5="",METALESPESADOS!$AX5="",METALESPESADOS!$AY5=""),"",((METALESPESADOS!$I5-METALESPESADOS!$AX5)*METALESPESADOS!$AY5*METALESPESADOS!$D5*(1/METALESPESADOS!$C5)*METALESPESADOS!$E5))</f>
        <v/>
      </c>
      <c r="BA5" s="17" t="str">
        <f>IF(AND(METALESPESADOS!$AC5="",METALESPESADOS!$AD5="",METALESPESADOS!$AE5="",METALESPESADOS!$AF5=""),"",AVERAGE(METALESPESADOS!$AC5,METALESPESADOS!$AD5,METALESPESADOS!$AE5,METALESPESADOS!$AF5))</f>
        <v/>
      </c>
      <c r="BB5" s="23">
        <v>1</v>
      </c>
      <c r="BC5" s="31" t="str">
        <f>IF(OR(METALESPESADOS!$A5="",METALESPESADOS!$B5="",METALESPESADOS!$C5="",METALESPESADOS!$D5="",METALESPESADOS!$E5="",METALESPESADOS!$J5="",METALESPESADOS!$BA5="",METALESPESADOS!$BB5=""),"",((METALESPESADOS!$J5-METALESPESADOS!$BA5)*METALESPESADOS!$BB5*METALESPESADOS!$D5*(1/METALESPESADOS!$C5)*METALESPESADOS!$E5))</f>
        <v/>
      </c>
      <c r="BD5" s="17" t="str">
        <f>IF(AND(METALESPESADOS!$AG5="",METALESPESADOS!$AH5="",METALESPESADOS!$AI5="",METALESPESADOS!$AJ5=""),"",AVERAGE(METALESPESADOS!$AG5,METALESPESADOS!$AH5,METALESPESADOS!$AI5,METALESPESADOS!$AJ5))</f>
        <v/>
      </c>
      <c r="BE5" s="23">
        <v>1</v>
      </c>
      <c r="BF5" s="31" t="str">
        <f>IF(OR(METALESPESADOS!$A5="",METALESPESADOS!$B5="",METALESPESADOS!$C5="",METALESPESADOS!$D5="",METALESPESADOS!$E5="",METALESPESADOS!$K5="",METALESPESADOS!$BD5="",METALESPESADOS!$BE5=""),"",((METALESPESADOS!$K5-METALESPESADOS!$BD5)*METALESPESADOS!$BE5*METALESPESADOS!$D5*(1/METALESPESADOS!$C5)*METALESPESADOS!$E5))</f>
        <v/>
      </c>
      <c r="BG5" s="17" t="str">
        <f>IF(AND(METALESPESADOS!$AK5="",METALESPESADOS!$AL5="",METALESPESADOS!$AM5="",METALESPESADOS!$AN5=""),"",AVERAGE(METALESPESADOS!$AK5,METALESPESADOS!$AL5,METALESPESADOS!$AM5,METALESPESADOS!$AN5))</f>
        <v/>
      </c>
      <c r="BH5" s="23">
        <v>10</v>
      </c>
      <c r="BI5" s="32" t="str">
        <f>IF(OR(METALESPESADOS!$A5="",METALESPESADOS!$B5="",METALESPESADOS!$C5="",METALESPESADOS!$D5="",METALESPESADOS!$E5="",METALESPESADOS!$L5="",METALESPESADOS!$BG5="",METALESPESADOS!$BH5=""),"",((METALESPESADOS!$L5-METALESPESADOS!$BG5)*METALESPESADOS!$BH5*METALESPESADOS!$D5*(1/METALESPESADOS!$C5)*METALESPESADOS!$E5*0.001))</f>
        <v/>
      </c>
    </row>
    <row r="6" spans="1:61" x14ac:dyDescent="0.3">
      <c r="A6" s="19" t="str">
        <f>IF(Pesada!A6="","",Pesada!A6)</f>
        <v/>
      </c>
      <c r="B6" s="16" t="str">
        <f>IF(Pesada!B6="","",Pesada!B6)</f>
        <v/>
      </c>
      <c r="C6" s="20" t="str">
        <f>IF(Pesada!C6="","",VALUE(Pesada!C6))</f>
        <v/>
      </c>
      <c r="D6" s="23">
        <v>100</v>
      </c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17" t="str">
        <f>IF(AND(METALESPESADOS!$M6="",METALESPESADOS!$N6="",METALESPESADOS!$O6="",METALESPESADOS!$P6=""),"",AVERAGE(METALESPESADOS!$M6,METALESPESADOS!$N6,METALESPESADOS!$O6,METALESPESADOS!$P6))</f>
        <v/>
      </c>
      <c r="AP6" s="23">
        <v>1</v>
      </c>
      <c r="AQ6" s="31" t="str">
        <f>IF(OR(METALESPESADOS!$A6="",METALESPESADOS!$B6="",METALESPESADOS!$C6="",METALESPESADOS!$D6="",METALESPESADOS!$E6="",METALESPESADOS!$F6="",METALESPESADOS!$AO6="",METALESPESADOS!$AP6=""),"",((METALESPESADOS!$F6-METALESPESADOS!$AO6)*METALESPESADOS!$AP6*METALESPESADOS!$D6*(1/METALESPESADOS!$C6)*METALESPESADOS!$E6*0.001))</f>
        <v/>
      </c>
      <c r="AR6" s="17" t="str">
        <f>IF(AND(METALESPESADOS!$Q6="",METALESPESADOS!$R6="",METALESPESADOS!$S6="",METALESPESADOS!$T6=""),"",AVERAGE(METALESPESADOS!$Q6,METALESPESADOS!$R6,METALESPESADOS!$S6,METALESPESADOS!$T6))</f>
        <v/>
      </c>
      <c r="AS6" s="23">
        <v>1</v>
      </c>
      <c r="AT6" s="31" t="str">
        <f>IF(OR(METALESPESADOS!$A6="",METALESPESADOS!$B6="",METALESPESADOS!$C6="",METALESPESADOS!$D6="",METALESPESADOS!$E6="",METALESPESADOS!$G6="",METALESPESADOS!$AR6="",METALESPESADOS!$AS6=""),"",((METALESPESADOS!$G6-METALESPESADOS!$AR6)*METALESPESADOS!$AS6*METALESPESADOS!$D6*(1/METALESPESADOS!$C6)*METALESPESADOS!$E6))</f>
        <v/>
      </c>
      <c r="AU6" s="17" t="str">
        <f>IF(AND(METALESPESADOS!$U6="",METALESPESADOS!$V6="",METALESPESADOS!$W6="",METALESPESADOS!$X6=""),"",AVERAGE(METALESPESADOS!$U6,METALESPESADOS!$V6,METALESPESADOS!$W6,METALESPESADOS!$X6))</f>
        <v/>
      </c>
      <c r="AV6" s="23">
        <v>1</v>
      </c>
      <c r="AW6" s="31" t="str">
        <f>IF(OR(METALESPESADOS!$A6="",METALESPESADOS!$B6="",METALESPESADOS!$C6="",METALESPESADOS!$D6="",METALESPESADOS!$E6="",METALESPESADOS!$H6="",METALESPESADOS!$AU6="",METALESPESADOS!$AV6=""),"",((METALESPESADOS!$H6-METALESPESADOS!$AU6)*METALESPESADOS!$AV6*METALESPESADOS!$D6*(1/METALESPESADOS!$C6)*METALESPESADOS!$E6))</f>
        <v/>
      </c>
      <c r="AX6" s="17" t="str">
        <f>IF(AND(METALESPESADOS!$Y6="",METALESPESADOS!$Z6="",METALESPESADOS!$AA6="",METALESPESADOS!$AB6=""),"",AVERAGE(METALESPESADOS!$Y6,METALESPESADOS!$Z6,METALESPESADOS!$AA6,METALESPESADOS!$AB6))</f>
        <v/>
      </c>
      <c r="AY6" s="23">
        <v>1</v>
      </c>
      <c r="AZ6" s="31" t="str">
        <f>IF(OR(METALESPESADOS!$A6="",METALESPESADOS!$B6="",METALESPESADOS!$C6="",METALESPESADOS!$D6="",METALESPESADOS!$E6="",METALESPESADOS!$I6="",METALESPESADOS!$AX6="",METALESPESADOS!$AY6=""),"",((METALESPESADOS!$I6-METALESPESADOS!$AX6)*METALESPESADOS!$AY6*METALESPESADOS!$D6*(1/METALESPESADOS!$C6)*METALESPESADOS!$E6))</f>
        <v/>
      </c>
      <c r="BA6" s="17" t="str">
        <f>IF(AND(METALESPESADOS!$AC6="",METALESPESADOS!$AD6="",METALESPESADOS!$AE6="",METALESPESADOS!$AF6=""),"",AVERAGE(METALESPESADOS!$AC6,METALESPESADOS!$AD6,METALESPESADOS!$AE6,METALESPESADOS!$AF6))</f>
        <v/>
      </c>
      <c r="BB6" s="23">
        <v>1</v>
      </c>
      <c r="BC6" s="31" t="str">
        <f>IF(OR(METALESPESADOS!$A6="",METALESPESADOS!$B6="",METALESPESADOS!$C6="",METALESPESADOS!$D6="",METALESPESADOS!$E6="",METALESPESADOS!$J6="",METALESPESADOS!$BA6="",METALESPESADOS!$BB6=""),"",((METALESPESADOS!$J6-METALESPESADOS!$BA6)*METALESPESADOS!$BB6*METALESPESADOS!$D6*(1/METALESPESADOS!$C6)*METALESPESADOS!$E6))</f>
        <v/>
      </c>
      <c r="BD6" s="17" t="str">
        <f>IF(AND(METALESPESADOS!$AG6="",METALESPESADOS!$AH6="",METALESPESADOS!$AI6="",METALESPESADOS!$AJ6=""),"",AVERAGE(METALESPESADOS!$AG6,METALESPESADOS!$AH6,METALESPESADOS!$AI6,METALESPESADOS!$AJ6))</f>
        <v/>
      </c>
      <c r="BE6" s="23">
        <v>1</v>
      </c>
      <c r="BF6" s="31" t="str">
        <f>IF(OR(METALESPESADOS!$A6="",METALESPESADOS!$B6="",METALESPESADOS!$C6="",METALESPESADOS!$D6="",METALESPESADOS!$E6="",METALESPESADOS!$K6="",METALESPESADOS!$BD6="",METALESPESADOS!$BE6=""),"",((METALESPESADOS!$K6-METALESPESADOS!$BD6)*METALESPESADOS!$BE6*METALESPESADOS!$D6*(1/METALESPESADOS!$C6)*METALESPESADOS!$E6))</f>
        <v/>
      </c>
      <c r="BG6" s="17" t="str">
        <f>IF(AND(METALESPESADOS!$AK6="",METALESPESADOS!$AL6="",METALESPESADOS!$AM6="",METALESPESADOS!$AN6=""),"",AVERAGE(METALESPESADOS!$AK6,METALESPESADOS!$AL6,METALESPESADOS!$AM6,METALESPESADOS!$AN6))</f>
        <v/>
      </c>
      <c r="BH6" s="23">
        <v>10</v>
      </c>
      <c r="BI6" s="32" t="str">
        <f>IF(OR(METALESPESADOS!$A6="",METALESPESADOS!$B6="",METALESPESADOS!$C6="",METALESPESADOS!$D6="",METALESPESADOS!$E6="",METALESPESADOS!$L6="",METALESPESADOS!$BG6="",METALESPESADOS!$BH6=""),"",((METALESPESADOS!$L6-METALESPESADOS!$BG6)*METALESPESADOS!$BH6*METALESPESADOS!$D6*(1/METALESPESADOS!$C6)*METALESPESADOS!$E6*0.001))</f>
        <v/>
      </c>
    </row>
    <row r="7" spans="1:61" x14ac:dyDescent="0.3">
      <c r="A7" s="19" t="str">
        <f>IF(Pesada!A7="","",Pesada!A7)</f>
        <v/>
      </c>
      <c r="B7" s="16" t="str">
        <f>IF(Pesada!B7="","",Pesada!B7)</f>
        <v/>
      </c>
      <c r="C7" s="20" t="str">
        <f>IF(Pesada!C7="","",VALUE(Pesada!C7))</f>
        <v/>
      </c>
      <c r="D7" s="23">
        <v>100</v>
      </c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17" t="str">
        <f>IF(AND(METALESPESADOS!$M7="",METALESPESADOS!$N7="",METALESPESADOS!$O7="",METALESPESADOS!$P7=""),"",AVERAGE(METALESPESADOS!$M7,METALESPESADOS!$N7,METALESPESADOS!$O7,METALESPESADOS!$P7))</f>
        <v/>
      </c>
      <c r="AP7" s="23">
        <v>1</v>
      </c>
      <c r="AQ7" s="31" t="str">
        <f>IF(OR(METALESPESADOS!$A7="",METALESPESADOS!$B7="",METALESPESADOS!$C7="",METALESPESADOS!$D7="",METALESPESADOS!$E7="",METALESPESADOS!$F7="",METALESPESADOS!$AO7="",METALESPESADOS!$AP7=""),"",((METALESPESADOS!$F7-METALESPESADOS!$AO7)*METALESPESADOS!$AP7*METALESPESADOS!$D7*(1/METALESPESADOS!$C7)*METALESPESADOS!$E7*0.001))</f>
        <v/>
      </c>
      <c r="AR7" s="17" t="str">
        <f>IF(AND(METALESPESADOS!$Q7="",METALESPESADOS!$R7="",METALESPESADOS!$S7="",METALESPESADOS!$T7=""),"",AVERAGE(METALESPESADOS!$Q7,METALESPESADOS!$R7,METALESPESADOS!$S7,METALESPESADOS!$T7))</f>
        <v/>
      </c>
      <c r="AS7" s="23">
        <v>1</v>
      </c>
      <c r="AT7" s="31" t="str">
        <f>IF(OR(METALESPESADOS!$A7="",METALESPESADOS!$B7="",METALESPESADOS!$C7="",METALESPESADOS!$D7="",METALESPESADOS!$E7="",METALESPESADOS!$G7="",METALESPESADOS!$AR7="",METALESPESADOS!$AS7=""),"",((METALESPESADOS!$G7-METALESPESADOS!$AR7)*METALESPESADOS!$AS7*METALESPESADOS!$D7*(1/METALESPESADOS!$C7)*METALESPESADOS!$E7))</f>
        <v/>
      </c>
      <c r="AU7" s="17" t="str">
        <f>IF(AND(METALESPESADOS!$U7="",METALESPESADOS!$V7="",METALESPESADOS!$W7="",METALESPESADOS!$X7=""),"",AVERAGE(METALESPESADOS!$U7,METALESPESADOS!$V7,METALESPESADOS!$W7,METALESPESADOS!$X7))</f>
        <v/>
      </c>
      <c r="AV7" s="23">
        <v>1</v>
      </c>
      <c r="AW7" s="31" t="str">
        <f>IF(OR(METALESPESADOS!$A7="",METALESPESADOS!$B7="",METALESPESADOS!$C7="",METALESPESADOS!$D7="",METALESPESADOS!$E7="",METALESPESADOS!$H7="",METALESPESADOS!$AU7="",METALESPESADOS!$AV7=""),"",((METALESPESADOS!$H7-METALESPESADOS!$AU7)*METALESPESADOS!$AV7*METALESPESADOS!$D7*(1/METALESPESADOS!$C7)*METALESPESADOS!$E7))</f>
        <v/>
      </c>
      <c r="AX7" s="17" t="str">
        <f>IF(AND(METALESPESADOS!$Y7="",METALESPESADOS!$Z7="",METALESPESADOS!$AA7="",METALESPESADOS!$AB7=""),"",AVERAGE(METALESPESADOS!$Y7,METALESPESADOS!$Z7,METALESPESADOS!$AA7,METALESPESADOS!$AB7))</f>
        <v/>
      </c>
      <c r="AY7" s="23">
        <v>1</v>
      </c>
      <c r="AZ7" s="31" t="str">
        <f>IF(OR(METALESPESADOS!$A7="",METALESPESADOS!$B7="",METALESPESADOS!$C7="",METALESPESADOS!$D7="",METALESPESADOS!$E7="",METALESPESADOS!$I7="",METALESPESADOS!$AX7="",METALESPESADOS!$AY7=""),"",((METALESPESADOS!$I7-METALESPESADOS!$AX7)*METALESPESADOS!$AY7*METALESPESADOS!$D7*(1/METALESPESADOS!$C7)*METALESPESADOS!$E7))</f>
        <v/>
      </c>
      <c r="BA7" s="17" t="str">
        <f>IF(AND(METALESPESADOS!$AC7="",METALESPESADOS!$AD7="",METALESPESADOS!$AE7="",METALESPESADOS!$AF7=""),"",AVERAGE(METALESPESADOS!$AC7,METALESPESADOS!$AD7,METALESPESADOS!$AE7,METALESPESADOS!$AF7))</f>
        <v/>
      </c>
      <c r="BB7" s="23">
        <v>1</v>
      </c>
      <c r="BC7" s="31" t="str">
        <f>IF(OR(METALESPESADOS!$A7="",METALESPESADOS!$B7="",METALESPESADOS!$C7="",METALESPESADOS!$D7="",METALESPESADOS!$E7="",METALESPESADOS!$J7="",METALESPESADOS!$BA7="",METALESPESADOS!$BB7=""),"",((METALESPESADOS!$J7-METALESPESADOS!$BA7)*METALESPESADOS!$BB7*METALESPESADOS!$D7*(1/METALESPESADOS!$C7)*METALESPESADOS!$E7))</f>
        <v/>
      </c>
      <c r="BD7" s="17" t="str">
        <f>IF(AND(METALESPESADOS!$AG7="",METALESPESADOS!$AH7="",METALESPESADOS!$AI7="",METALESPESADOS!$AJ7=""),"",AVERAGE(METALESPESADOS!$AG7,METALESPESADOS!$AH7,METALESPESADOS!$AI7,METALESPESADOS!$AJ7))</f>
        <v/>
      </c>
      <c r="BE7" s="23">
        <v>1</v>
      </c>
      <c r="BF7" s="31" t="str">
        <f>IF(OR(METALESPESADOS!$A7="",METALESPESADOS!$B7="",METALESPESADOS!$C7="",METALESPESADOS!$D7="",METALESPESADOS!$E7="",METALESPESADOS!$K7="",METALESPESADOS!$BD7="",METALESPESADOS!$BE7=""),"",((METALESPESADOS!$K7-METALESPESADOS!$BD7)*METALESPESADOS!$BE7*METALESPESADOS!$D7*(1/METALESPESADOS!$C7)*METALESPESADOS!$E7))</f>
        <v/>
      </c>
      <c r="BG7" s="17" t="str">
        <f>IF(AND(METALESPESADOS!$AK7="",METALESPESADOS!$AL7="",METALESPESADOS!$AM7="",METALESPESADOS!$AN7=""),"",AVERAGE(METALESPESADOS!$AK7,METALESPESADOS!$AL7,METALESPESADOS!$AM7,METALESPESADOS!$AN7))</f>
        <v/>
      </c>
      <c r="BH7" s="23">
        <v>10</v>
      </c>
      <c r="BI7" s="32" t="str">
        <f>IF(OR(METALESPESADOS!$A7="",METALESPESADOS!$B7="",METALESPESADOS!$C7="",METALESPESADOS!$D7="",METALESPESADOS!$E7="",METALESPESADOS!$L7="",METALESPESADOS!$BG7="",METALESPESADOS!$BH7=""),"",((METALESPESADOS!$L7-METALESPESADOS!$BG7)*METALESPESADOS!$BH7*METALESPESADOS!$D7*(1/METALESPESADOS!$C7)*METALESPESADOS!$E7*0.001))</f>
        <v/>
      </c>
    </row>
    <row r="8" spans="1:61" x14ac:dyDescent="0.3">
      <c r="A8" s="19" t="str">
        <f>IF(Pesada!A8="","",Pesada!A8)</f>
        <v/>
      </c>
      <c r="B8" s="16" t="str">
        <f>IF(Pesada!B8="","",Pesada!B8)</f>
        <v/>
      </c>
      <c r="C8" s="20" t="str">
        <f>IF(Pesada!C8="","",VALUE(Pesada!C8))</f>
        <v/>
      </c>
      <c r="D8" s="23">
        <v>100</v>
      </c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17" t="str">
        <f>IF(AND(METALESPESADOS!$M8="",METALESPESADOS!$N8="",METALESPESADOS!$O8="",METALESPESADOS!$P8=""),"",AVERAGE(METALESPESADOS!$M8,METALESPESADOS!$N8,METALESPESADOS!$O8,METALESPESADOS!$P8))</f>
        <v/>
      </c>
      <c r="AP8" s="23">
        <v>1</v>
      </c>
      <c r="AQ8" s="31" t="str">
        <f>IF(OR(METALESPESADOS!$A8="",METALESPESADOS!$B8="",METALESPESADOS!$C8="",METALESPESADOS!$D8="",METALESPESADOS!$E8="",METALESPESADOS!$F8="",METALESPESADOS!$AO8="",METALESPESADOS!$AP8=""),"",((METALESPESADOS!$F8-METALESPESADOS!$AO8)*METALESPESADOS!$AP8*METALESPESADOS!$D8*(1/METALESPESADOS!$C8)*METALESPESADOS!$E8*0.001))</f>
        <v/>
      </c>
      <c r="AR8" s="17" t="str">
        <f>IF(AND(METALESPESADOS!$Q8="",METALESPESADOS!$R8="",METALESPESADOS!$S8="",METALESPESADOS!$T8=""),"",AVERAGE(METALESPESADOS!$Q8,METALESPESADOS!$R8,METALESPESADOS!$S8,METALESPESADOS!$T8))</f>
        <v/>
      </c>
      <c r="AS8" s="23">
        <v>1</v>
      </c>
      <c r="AT8" s="31" t="str">
        <f>IF(OR(METALESPESADOS!$A8="",METALESPESADOS!$B8="",METALESPESADOS!$C8="",METALESPESADOS!$D8="",METALESPESADOS!$E8="",METALESPESADOS!$G8="",METALESPESADOS!$AR8="",METALESPESADOS!$AS8=""),"",((METALESPESADOS!$G8-METALESPESADOS!$AR8)*METALESPESADOS!$AS8*METALESPESADOS!$D8*(1/METALESPESADOS!$C8)*METALESPESADOS!$E8))</f>
        <v/>
      </c>
      <c r="AU8" s="17" t="str">
        <f>IF(AND(METALESPESADOS!$U8="",METALESPESADOS!$V8="",METALESPESADOS!$W8="",METALESPESADOS!$X8=""),"",AVERAGE(METALESPESADOS!$U8,METALESPESADOS!$V8,METALESPESADOS!$W8,METALESPESADOS!$X8))</f>
        <v/>
      </c>
      <c r="AV8" s="23">
        <v>1</v>
      </c>
      <c r="AW8" s="31" t="str">
        <f>IF(OR(METALESPESADOS!$A8="",METALESPESADOS!$B8="",METALESPESADOS!$C8="",METALESPESADOS!$D8="",METALESPESADOS!$E8="",METALESPESADOS!$H8="",METALESPESADOS!$AU8="",METALESPESADOS!$AV8=""),"",((METALESPESADOS!$H8-METALESPESADOS!$AU8)*METALESPESADOS!$AV8*METALESPESADOS!$D8*(1/METALESPESADOS!$C8)*METALESPESADOS!$E8))</f>
        <v/>
      </c>
      <c r="AX8" s="17" t="str">
        <f>IF(AND(METALESPESADOS!$Y8="",METALESPESADOS!$Z8="",METALESPESADOS!$AA8="",METALESPESADOS!$AB8=""),"",AVERAGE(METALESPESADOS!$Y8,METALESPESADOS!$Z8,METALESPESADOS!$AA8,METALESPESADOS!$AB8))</f>
        <v/>
      </c>
      <c r="AY8" s="23">
        <v>1</v>
      </c>
      <c r="AZ8" s="31" t="str">
        <f>IF(OR(METALESPESADOS!$A8="",METALESPESADOS!$B8="",METALESPESADOS!$C8="",METALESPESADOS!$D8="",METALESPESADOS!$E8="",METALESPESADOS!$I8="",METALESPESADOS!$AX8="",METALESPESADOS!$AY8=""),"",((METALESPESADOS!$I8-METALESPESADOS!$AX8)*METALESPESADOS!$AY8*METALESPESADOS!$D8*(1/METALESPESADOS!$C8)*METALESPESADOS!$E8))</f>
        <v/>
      </c>
      <c r="BA8" s="17" t="str">
        <f>IF(AND(METALESPESADOS!$AC8="",METALESPESADOS!$AD8="",METALESPESADOS!$AE8="",METALESPESADOS!$AF8=""),"",AVERAGE(METALESPESADOS!$AC8,METALESPESADOS!$AD8,METALESPESADOS!$AE8,METALESPESADOS!$AF8))</f>
        <v/>
      </c>
      <c r="BB8" s="23">
        <v>1</v>
      </c>
      <c r="BC8" s="31" t="str">
        <f>IF(OR(METALESPESADOS!$A8="",METALESPESADOS!$B8="",METALESPESADOS!$C8="",METALESPESADOS!$D8="",METALESPESADOS!$E8="",METALESPESADOS!$J8="",METALESPESADOS!$BA8="",METALESPESADOS!$BB8=""),"",((METALESPESADOS!$J8-METALESPESADOS!$BA8)*METALESPESADOS!$BB8*METALESPESADOS!$D8*(1/METALESPESADOS!$C8)*METALESPESADOS!$E8))</f>
        <v/>
      </c>
      <c r="BD8" s="17" t="str">
        <f>IF(AND(METALESPESADOS!$AG8="",METALESPESADOS!$AH8="",METALESPESADOS!$AI8="",METALESPESADOS!$AJ8=""),"",AVERAGE(METALESPESADOS!$AG8,METALESPESADOS!$AH8,METALESPESADOS!$AI8,METALESPESADOS!$AJ8))</f>
        <v/>
      </c>
      <c r="BE8" s="23">
        <v>1</v>
      </c>
      <c r="BF8" s="31" t="str">
        <f>IF(OR(METALESPESADOS!$A8="",METALESPESADOS!$B8="",METALESPESADOS!$C8="",METALESPESADOS!$D8="",METALESPESADOS!$E8="",METALESPESADOS!$K8="",METALESPESADOS!$BD8="",METALESPESADOS!$BE8=""),"",((METALESPESADOS!$K8-METALESPESADOS!$BD8)*METALESPESADOS!$BE8*METALESPESADOS!$D8*(1/METALESPESADOS!$C8)*METALESPESADOS!$E8))</f>
        <v/>
      </c>
      <c r="BG8" s="17" t="str">
        <f>IF(AND(METALESPESADOS!$AK8="",METALESPESADOS!$AL8="",METALESPESADOS!$AM8="",METALESPESADOS!$AN8=""),"",AVERAGE(METALESPESADOS!$AK8,METALESPESADOS!$AL8,METALESPESADOS!$AM8,METALESPESADOS!$AN8))</f>
        <v/>
      </c>
      <c r="BH8" s="23">
        <v>10</v>
      </c>
      <c r="BI8" s="32" t="str">
        <f>IF(OR(METALESPESADOS!$A8="",METALESPESADOS!$B8="",METALESPESADOS!$C8="",METALESPESADOS!$D8="",METALESPESADOS!$E8="",METALESPESADOS!$L8="",METALESPESADOS!$BG8="",METALESPESADOS!$BH8=""),"",((METALESPESADOS!$L8-METALESPESADOS!$BG8)*METALESPESADOS!$BH8*METALESPESADOS!$D8*(1/METALESPESADOS!$C8)*METALESPESADOS!$E8*0.001))</f>
        <v/>
      </c>
    </row>
    <row r="9" spans="1:61" x14ac:dyDescent="0.3">
      <c r="A9" s="19" t="str">
        <f>IF(Pesada!A9="","",Pesada!A9)</f>
        <v/>
      </c>
      <c r="B9" s="16" t="str">
        <f>IF(Pesada!B9="","",Pesada!B9)</f>
        <v/>
      </c>
      <c r="C9" s="20" t="str">
        <f>IF(Pesada!C9="","",VALUE(Pesada!C9))</f>
        <v/>
      </c>
      <c r="D9" s="23">
        <v>100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17" t="str">
        <f>IF(AND(METALESPESADOS!$M9="",METALESPESADOS!$N9="",METALESPESADOS!$O9="",METALESPESADOS!$P9=""),"",AVERAGE(METALESPESADOS!$M9,METALESPESADOS!$N9,METALESPESADOS!$O9,METALESPESADOS!$P9))</f>
        <v/>
      </c>
      <c r="AP9" s="23">
        <v>1</v>
      </c>
      <c r="AQ9" s="31" t="str">
        <f>IF(OR(METALESPESADOS!$A9="",METALESPESADOS!$B9="",METALESPESADOS!$C9="",METALESPESADOS!$D9="",METALESPESADOS!$E9="",METALESPESADOS!$F9="",METALESPESADOS!$AO9="",METALESPESADOS!$AP9=""),"",((METALESPESADOS!$F9-METALESPESADOS!$AO9)*METALESPESADOS!$AP9*METALESPESADOS!$D9*(1/METALESPESADOS!$C9)*METALESPESADOS!$E9*0.001))</f>
        <v/>
      </c>
      <c r="AR9" s="17" t="str">
        <f>IF(AND(METALESPESADOS!$Q9="",METALESPESADOS!$R9="",METALESPESADOS!$S9="",METALESPESADOS!$T9=""),"",AVERAGE(METALESPESADOS!$Q9,METALESPESADOS!$R9,METALESPESADOS!$S9,METALESPESADOS!$T9))</f>
        <v/>
      </c>
      <c r="AS9" s="23">
        <v>1</v>
      </c>
      <c r="AT9" s="31" t="str">
        <f>IF(OR(METALESPESADOS!$A9="",METALESPESADOS!$B9="",METALESPESADOS!$C9="",METALESPESADOS!$D9="",METALESPESADOS!$E9="",METALESPESADOS!$G9="",METALESPESADOS!$AR9="",METALESPESADOS!$AS9=""),"",((METALESPESADOS!$G9-METALESPESADOS!$AR9)*METALESPESADOS!$AS9*METALESPESADOS!$D9*(1/METALESPESADOS!$C9)*METALESPESADOS!$E9))</f>
        <v/>
      </c>
      <c r="AU9" s="17" t="str">
        <f>IF(AND(METALESPESADOS!$U9="",METALESPESADOS!$V9="",METALESPESADOS!$W9="",METALESPESADOS!$X9=""),"",AVERAGE(METALESPESADOS!$U9,METALESPESADOS!$V9,METALESPESADOS!$W9,METALESPESADOS!$X9))</f>
        <v/>
      </c>
      <c r="AV9" s="23">
        <v>1</v>
      </c>
      <c r="AW9" s="31" t="str">
        <f>IF(OR(METALESPESADOS!$A9="",METALESPESADOS!$B9="",METALESPESADOS!$C9="",METALESPESADOS!$D9="",METALESPESADOS!$E9="",METALESPESADOS!$H9="",METALESPESADOS!$AU9="",METALESPESADOS!$AV9=""),"",((METALESPESADOS!$H9-METALESPESADOS!$AU9)*METALESPESADOS!$AV9*METALESPESADOS!$D9*(1/METALESPESADOS!$C9)*METALESPESADOS!$E9))</f>
        <v/>
      </c>
      <c r="AX9" s="17" t="str">
        <f>IF(AND(METALESPESADOS!$Y9="",METALESPESADOS!$Z9="",METALESPESADOS!$AA9="",METALESPESADOS!$AB9=""),"",AVERAGE(METALESPESADOS!$Y9,METALESPESADOS!$Z9,METALESPESADOS!$AA9,METALESPESADOS!$AB9))</f>
        <v/>
      </c>
      <c r="AY9" s="23">
        <v>1</v>
      </c>
      <c r="AZ9" s="31" t="str">
        <f>IF(OR(METALESPESADOS!$A9="",METALESPESADOS!$B9="",METALESPESADOS!$C9="",METALESPESADOS!$D9="",METALESPESADOS!$E9="",METALESPESADOS!$I9="",METALESPESADOS!$AX9="",METALESPESADOS!$AY9=""),"",((METALESPESADOS!$I9-METALESPESADOS!$AX9)*METALESPESADOS!$AY9*METALESPESADOS!$D9*(1/METALESPESADOS!$C9)*METALESPESADOS!$E9))</f>
        <v/>
      </c>
      <c r="BA9" s="17" t="str">
        <f>IF(AND(METALESPESADOS!$AC9="",METALESPESADOS!$AD9="",METALESPESADOS!$AE9="",METALESPESADOS!$AF9=""),"",AVERAGE(METALESPESADOS!$AC9,METALESPESADOS!$AD9,METALESPESADOS!$AE9,METALESPESADOS!$AF9))</f>
        <v/>
      </c>
      <c r="BB9" s="23">
        <v>1</v>
      </c>
      <c r="BC9" s="31" t="str">
        <f>IF(OR(METALESPESADOS!$A9="",METALESPESADOS!$B9="",METALESPESADOS!$C9="",METALESPESADOS!$D9="",METALESPESADOS!$E9="",METALESPESADOS!$J9="",METALESPESADOS!$BA9="",METALESPESADOS!$BB9=""),"",((METALESPESADOS!$J9-METALESPESADOS!$BA9)*METALESPESADOS!$BB9*METALESPESADOS!$D9*(1/METALESPESADOS!$C9)*METALESPESADOS!$E9))</f>
        <v/>
      </c>
      <c r="BD9" s="17" t="str">
        <f>IF(AND(METALESPESADOS!$AG9="",METALESPESADOS!$AH9="",METALESPESADOS!$AI9="",METALESPESADOS!$AJ9=""),"",AVERAGE(METALESPESADOS!$AG9,METALESPESADOS!$AH9,METALESPESADOS!$AI9,METALESPESADOS!$AJ9))</f>
        <v/>
      </c>
      <c r="BE9" s="23">
        <v>1</v>
      </c>
      <c r="BF9" s="31" t="str">
        <f>IF(OR(METALESPESADOS!$A9="",METALESPESADOS!$B9="",METALESPESADOS!$C9="",METALESPESADOS!$D9="",METALESPESADOS!$E9="",METALESPESADOS!$K9="",METALESPESADOS!$BD9="",METALESPESADOS!$BE9=""),"",((METALESPESADOS!$K9-METALESPESADOS!$BD9)*METALESPESADOS!$BE9*METALESPESADOS!$D9*(1/METALESPESADOS!$C9)*METALESPESADOS!$E9))</f>
        <v/>
      </c>
      <c r="BG9" s="17" t="str">
        <f>IF(AND(METALESPESADOS!$AK9="",METALESPESADOS!$AL9="",METALESPESADOS!$AM9="",METALESPESADOS!$AN9=""),"",AVERAGE(METALESPESADOS!$AK9,METALESPESADOS!$AL9,METALESPESADOS!$AM9,METALESPESADOS!$AN9))</f>
        <v/>
      </c>
      <c r="BH9" s="23">
        <v>10</v>
      </c>
      <c r="BI9" s="32" t="str">
        <f>IF(OR(METALESPESADOS!$A9="",METALESPESADOS!$B9="",METALESPESADOS!$C9="",METALESPESADOS!$D9="",METALESPESADOS!$E9="",METALESPESADOS!$L9="",METALESPESADOS!$BG9="",METALESPESADOS!$BH9=""),"",((METALESPESADOS!$L9-METALESPESADOS!$BG9)*METALESPESADOS!$BH9*METALESPESADOS!$D9*(1/METALESPESADOS!$C9)*METALESPESADOS!$E9*0.001))</f>
        <v/>
      </c>
    </row>
    <row r="10" spans="1:61" x14ac:dyDescent="0.3">
      <c r="A10" s="19" t="str">
        <f>IF(Pesada!A10="","",Pesada!A10)</f>
        <v/>
      </c>
      <c r="B10" s="16" t="str">
        <f>IF(Pesada!B10="","",Pesada!B10)</f>
        <v/>
      </c>
      <c r="C10" s="20" t="str">
        <f>IF(Pesada!C10="","",VALUE(Pesada!C10))</f>
        <v/>
      </c>
      <c r="D10" s="23">
        <v>100</v>
      </c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17" t="str">
        <f>IF(AND(METALESPESADOS!$M10="",METALESPESADOS!$N10="",METALESPESADOS!$O10="",METALESPESADOS!$P10=""),"",AVERAGE(METALESPESADOS!$M10,METALESPESADOS!$N10,METALESPESADOS!$O10,METALESPESADOS!$P10))</f>
        <v/>
      </c>
      <c r="AP10" s="23">
        <v>1</v>
      </c>
      <c r="AQ10" s="31" t="str">
        <f>IF(OR(METALESPESADOS!$A10="",METALESPESADOS!$B10="",METALESPESADOS!$C10="",METALESPESADOS!$D10="",METALESPESADOS!$E10="",METALESPESADOS!$F10="",METALESPESADOS!$AO10="",METALESPESADOS!$AP10=""),"",((METALESPESADOS!$F10-METALESPESADOS!$AO10)*METALESPESADOS!$AP10*METALESPESADOS!$D10*(1/METALESPESADOS!$C10)*METALESPESADOS!$E10*0.001))</f>
        <v/>
      </c>
      <c r="AR10" s="17" t="str">
        <f>IF(AND(METALESPESADOS!$Q10="",METALESPESADOS!$R10="",METALESPESADOS!$S10="",METALESPESADOS!$T10=""),"",AVERAGE(METALESPESADOS!$Q10,METALESPESADOS!$R10,METALESPESADOS!$S10,METALESPESADOS!$T10))</f>
        <v/>
      </c>
      <c r="AS10" s="23">
        <v>1</v>
      </c>
      <c r="AT10" s="31" t="str">
        <f>IF(OR(METALESPESADOS!$A10="",METALESPESADOS!$B10="",METALESPESADOS!$C10="",METALESPESADOS!$D10="",METALESPESADOS!$E10="",METALESPESADOS!$G10="",METALESPESADOS!$AR10="",METALESPESADOS!$AS10=""),"",((METALESPESADOS!$G10-METALESPESADOS!$AR10)*METALESPESADOS!$AS10*METALESPESADOS!$D10*(1/METALESPESADOS!$C10)*METALESPESADOS!$E10))</f>
        <v/>
      </c>
      <c r="AU10" s="17" t="str">
        <f>IF(AND(METALESPESADOS!$U10="",METALESPESADOS!$V10="",METALESPESADOS!$W10="",METALESPESADOS!$X10=""),"",AVERAGE(METALESPESADOS!$U10,METALESPESADOS!$V10,METALESPESADOS!$W10,METALESPESADOS!$X10))</f>
        <v/>
      </c>
      <c r="AV10" s="23">
        <v>1</v>
      </c>
      <c r="AW10" s="31" t="str">
        <f>IF(OR(METALESPESADOS!$A10="",METALESPESADOS!$B10="",METALESPESADOS!$C10="",METALESPESADOS!$D10="",METALESPESADOS!$E10="",METALESPESADOS!$H10="",METALESPESADOS!$AU10="",METALESPESADOS!$AV10=""),"",((METALESPESADOS!$H10-METALESPESADOS!$AU10)*METALESPESADOS!$AV10*METALESPESADOS!$D10*(1/METALESPESADOS!$C10)*METALESPESADOS!$E10))</f>
        <v/>
      </c>
      <c r="AX10" s="17" t="str">
        <f>IF(AND(METALESPESADOS!$Y10="",METALESPESADOS!$Z10="",METALESPESADOS!$AA10="",METALESPESADOS!$AB10=""),"",AVERAGE(METALESPESADOS!$Y10,METALESPESADOS!$Z10,METALESPESADOS!$AA10,METALESPESADOS!$AB10))</f>
        <v/>
      </c>
      <c r="AY10" s="23">
        <v>1</v>
      </c>
      <c r="AZ10" s="31" t="str">
        <f>IF(OR(METALESPESADOS!$A10="",METALESPESADOS!$B10="",METALESPESADOS!$C10="",METALESPESADOS!$D10="",METALESPESADOS!$E10="",METALESPESADOS!$I10="",METALESPESADOS!$AX10="",METALESPESADOS!$AY10=""),"",((METALESPESADOS!$I10-METALESPESADOS!$AX10)*METALESPESADOS!$AY10*METALESPESADOS!$D10*(1/METALESPESADOS!$C10)*METALESPESADOS!$E10))</f>
        <v/>
      </c>
      <c r="BA10" s="17" t="str">
        <f>IF(AND(METALESPESADOS!$AC10="",METALESPESADOS!$AD10="",METALESPESADOS!$AE10="",METALESPESADOS!$AF10=""),"",AVERAGE(METALESPESADOS!$AC10,METALESPESADOS!$AD10,METALESPESADOS!$AE10,METALESPESADOS!$AF10))</f>
        <v/>
      </c>
      <c r="BB10" s="23">
        <v>1</v>
      </c>
      <c r="BC10" s="31" t="str">
        <f>IF(OR(METALESPESADOS!$A10="",METALESPESADOS!$B10="",METALESPESADOS!$C10="",METALESPESADOS!$D10="",METALESPESADOS!$E10="",METALESPESADOS!$J10="",METALESPESADOS!$BA10="",METALESPESADOS!$BB10=""),"",((METALESPESADOS!$J10-METALESPESADOS!$BA10)*METALESPESADOS!$BB10*METALESPESADOS!$D10*(1/METALESPESADOS!$C10)*METALESPESADOS!$E10))</f>
        <v/>
      </c>
      <c r="BD10" s="17" t="str">
        <f>IF(AND(METALESPESADOS!$AG10="",METALESPESADOS!$AH10="",METALESPESADOS!$AI10="",METALESPESADOS!$AJ10=""),"",AVERAGE(METALESPESADOS!$AG10,METALESPESADOS!$AH10,METALESPESADOS!$AI10,METALESPESADOS!$AJ10))</f>
        <v/>
      </c>
      <c r="BE10" s="23">
        <v>1</v>
      </c>
      <c r="BF10" s="31" t="str">
        <f>IF(OR(METALESPESADOS!$A10="",METALESPESADOS!$B10="",METALESPESADOS!$C10="",METALESPESADOS!$D10="",METALESPESADOS!$E10="",METALESPESADOS!$K10="",METALESPESADOS!$BD10="",METALESPESADOS!$BE10=""),"",((METALESPESADOS!$K10-METALESPESADOS!$BD10)*METALESPESADOS!$BE10*METALESPESADOS!$D10*(1/METALESPESADOS!$C10)*METALESPESADOS!$E10))</f>
        <v/>
      </c>
      <c r="BG10" s="17" t="str">
        <f>IF(AND(METALESPESADOS!$AK10="",METALESPESADOS!$AL10="",METALESPESADOS!$AM10="",METALESPESADOS!$AN10=""),"",AVERAGE(METALESPESADOS!$AK10,METALESPESADOS!$AL10,METALESPESADOS!$AM10,METALESPESADOS!$AN10))</f>
        <v/>
      </c>
      <c r="BH10" s="23">
        <v>10</v>
      </c>
      <c r="BI10" s="32" t="str">
        <f>IF(OR(METALESPESADOS!$A10="",METALESPESADOS!$B10="",METALESPESADOS!$C10="",METALESPESADOS!$D10="",METALESPESADOS!$E10="",METALESPESADOS!$L10="",METALESPESADOS!$BG10="",METALESPESADOS!$BH10=""),"",((METALESPESADOS!$L10-METALESPESADOS!$BG10)*METALESPESADOS!$BH10*METALESPESADOS!$D10*(1/METALESPESADOS!$C10)*METALESPESADOS!$E10*0.001))</f>
        <v/>
      </c>
    </row>
    <row r="11" spans="1:61" x14ac:dyDescent="0.3">
      <c r="A11" s="19" t="str">
        <f>IF(Pesada!A11="","",Pesada!A11)</f>
        <v/>
      </c>
      <c r="B11" s="16" t="str">
        <f>IF(Pesada!B11="","",Pesada!B11)</f>
        <v/>
      </c>
      <c r="C11" s="20" t="str">
        <f>IF(Pesada!C11="","",VALUE(Pesada!C11))</f>
        <v/>
      </c>
      <c r="D11" s="23">
        <v>100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17" t="str">
        <f>IF(AND(METALESPESADOS!$M11="",METALESPESADOS!$N11="",METALESPESADOS!$O11="",METALESPESADOS!$P11=""),"",AVERAGE(METALESPESADOS!$M11,METALESPESADOS!$N11,METALESPESADOS!$O11,METALESPESADOS!$P11))</f>
        <v/>
      </c>
      <c r="AP11" s="23">
        <v>1</v>
      </c>
      <c r="AQ11" s="31" t="str">
        <f>IF(OR(METALESPESADOS!$A11="",METALESPESADOS!$B11="",METALESPESADOS!$C11="",METALESPESADOS!$D11="",METALESPESADOS!$E11="",METALESPESADOS!$F11="",METALESPESADOS!$AO11="",METALESPESADOS!$AP11=""),"",((METALESPESADOS!$F11-METALESPESADOS!$AO11)*METALESPESADOS!$AP11*METALESPESADOS!$D11*(1/METALESPESADOS!$C11)*METALESPESADOS!$E11*0.001))</f>
        <v/>
      </c>
      <c r="AR11" s="17" t="str">
        <f>IF(AND(METALESPESADOS!$Q11="",METALESPESADOS!$R11="",METALESPESADOS!$S11="",METALESPESADOS!$T11=""),"",AVERAGE(METALESPESADOS!$Q11,METALESPESADOS!$R11,METALESPESADOS!$S11,METALESPESADOS!$T11))</f>
        <v/>
      </c>
      <c r="AS11" s="23">
        <v>1</v>
      </c>
      <c r="AT11" s="31" t="str">
        <f>IF(OR(METALESPESADOS!$A11="",METALESPESADOS!$B11="",METALESPESADOS!$C11="",METALESPESADOS!$D11="",METALESPESADOS!$E11="",METALESPESADOS!$G11="",METALESPESADOS!$AR11="",METALESPESADOS!$AS11=""),"",((METALESPESADOS!$G11-METALESPESADOS!$AR11)*METALESPESADOS!$AS11*METALESPESADOS!$D11*(1/METALESPESADOS!$C11)*METALESPESADOS!$E11))</f>
        <v/>
      </c>
      <c r="AU11" s="17" t="str">
        <f>IF(AND(METALESPESADOS!$U11="",METALESPESADOS!$V11="",METALESPESADOS!$W11="",METALESPESADOS!$X11=""),"",AVERAGE(METALESPESADOS!$U11,METALESPESADOS!$V11,METALESPESADOS!$W11,METALESPESADOS!$X11))</f>
        <v/>
      </c>
      <c r="AV11" s="23">
        <v>1</v>
      </c>
      <c r="AW11" s="31" t="str">
        <f>IF(OR(METALESPESADOS!$A11="",METALESPESADOS!$B11="",METALESPESADOS!$C11="",METALESPESADOS!$D11="",METALESPESADOS!$E11="",METALESPESADOS!$H11="",METALESPESADOS!$AU11="",METALESPESADOS!$AV11=""),"",((METALESPESADOS!$H11-METALESPESADOS!$AU11)*METALESPESADOS!$AV11*METALESPESADOS!$D11*(1/METALESPESADOS!$C11)*METALESPESADOS!$E11))</f>
        <v/>
      </c>
      <c r="AX11" s="17" t="str">
        <f>IF(AND(METALESPESADOS!$Y11="",METALESPESADOS!$Z11="",METALESPESADOS!$AA11="",METALESPESADOS!$AB11=""),"",AVERAGE(METALESPESADOS!$Y11,METALESPESADOS!$Z11,METALESPESADOS!$AA11,METALESPESADOS!$AB11))</f>
        <v/>
      </c>
      <c r="AY11" s="23">
        <v>1</v>
      </c>
      <c r="AZ11" s="31" t="str">
        <f>IF(OR(METALESPESADOS!$A11="",METALESPESADOS!$B11="",METALESPESADOS!$C11="",METALESPESADOS!$D11="",METALESPESADOS!$E11="",METALESPESADOS!$I11="",METALESPESADOS!$AX11="",METALESPESADOS!$AY11=""),"",((METALESPESADOS!$I11-METALESPESADOS!$AX11)*METALESPESADOS!$AY11*METALESPESADOS!$D11*(1/METALESPESADOS!$C11)*METALESPESADOS!$E11))</f>
        <v/>
      </c>
      <c r="BA11" s="17" t="str">
        <f>IF(AND(METALESPESADOS!$AC11="",METALESPESADOS!$AD11="",METALESPESADOS!$AE11="",METALESPESADOS!$AF11=""),"",AVERAGE(METALESPESADOS!$AC11,METALESPESADOS!$AD11,METALESPESADOS!$AE11,METALESPESADOS!$AF11))</f>
        <v/>
      </c>
      <c r="BB11" s="23">
        <v>1</v>
      </c>
      <c r="BC11" s="31" t="str">
        <f>IF(OR(METALESPESADOS!$A11="",METALESPESADOS!$B11="",METALESPESADOS!$C11="",METALESPESADOS!$D11="",METALESPESADOS!$E11="",METALESPESADOS!$J11="",METALESPESADOS!$BA11="",METALESPESADOS!$BB11=""),"",((METALESPESADOS!$J11-METALESPESADOS!$BA11)*METALESPESADOS!$BB11*METALESPESADOS!$D11*(1/METALESPESADOS!$C11)*METALESPESADOS!$E11))</f>
        <v/>
      </c>
      <c r="BD11" s="17" t="str">
        <f>IF(AND(METALESPESADOS!$AG11="",METALESPESADOS!$AH11="",METALESPESADOS!$AI11="",METALESPESADOS!$AJ11=""),"",AVERAGE(METALESPESADOS!$AG11,METALESPESADOS!$AH11,METALESPESADOS!$AI11,METALESPESADOS!$AJ11))</f>
        <v/>
      </c>
      <c r="BE11" s="23">
        <v>1</v>
      </c>
      <c r="BF11" s="31" t="str">
        <f>IF(OR(METALESPESADOS!$A11="",METALESPESADOS!$B11="",METALESPESADOS!$C11="",METALESPESADOS!$D11="",METALESPESADOS!$E11="",METALESPESADOS!$K11="",METALESPESADOS!$BD11="",METALESPESADOS!$BE11=""),"",((METALESPESADOS!$K11-METALESPESADOS!$BD11)*METALESPESADOS!$BE11*METALESPESADOS!$D11*(1/METALESPESADOS!$C11)*METALESPESADOS!$E11))</f>
        <v/>
      </c>
      <c r="BG11" s="17" t="str">
        <f>IF(AND(METALESPESADOS!$AK11="",METALESPESADOS!$AL11="",METALESPESADOS!$AM11="",METALESPESADOS!$AN11=""),"",AVERAGE(METALESPESADOS!$AK11,METALESPESADOS!$AL11,METALESPESADOS!$AM11,METALESPESADOS!$AN11))</f>
        <v/>
      </c>
      <c r="BH11" s="23">
        <v>10</v>
      </c>
      <c r="BI11" s="32" t="str">
        <f>IF(OR(METALESPESADOS!$A11="",METALESPESADOS!$B11="",METALESPESADOS!$C11="",METALESPESADOS!$D11="",METALESPESADOS!$E11="",METALESPESADOS!$L11="",METALESPESADOS!$BG11="",METALESPESADOS!$BH11=""),"",((METALESPESADOS!$L11-METALESPESADOS!$BG11)*METALESPESADOS!$BH11*METALESPESADOS!$D11*(1/METALESPESADOS!$C11)*METALESPESADOS!$E11*0.001))</f>
        <v/>
      </c>
    </row>
    <row r="12" spans="1:61" x14ac:dyDescent="0.3">
      <c r="A12" s="19" t="str">
        <f>IF(Pesada!A12="","",Pesada!A12)</f>
        <v/>
      </c>
      <c r="B12" s="16" t="str">
        <f>IF(Pesada!B12="","",Pesada!B12)</f>
        <v/>
      </c>
      <c r="C12" s="20" t="str">
        <f>IF(Pesada!C12="","",VALUE(Pesada!C12))</f>
        <v/>
      </c>
      <c r="D12" s="23">
        <v>100</v>
      </c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17" t="str">
        <f>IF(AND(METALESPESADOS!$M12="",METALESPESADOS!$N12="",METALESPESADOS!$O12="",METALESPESADOS!$P12=""),"",AVERAGE(METALESPESADOS!$M12,METALESPESADOS!$N12,METALESPESADOS!$O12,METALESPESADOS!$P12))</f>
        <v/>
      </c>
      <c r="AP12" s="23">
        <v>1</v>
      </c>
      <c r="AQ12" s="31" t="str">
        <f>IF(OR(METALESPESADOS!$A12="",METALESPESADOS!$B12="",METALESPESADOS!$C12="",METALESPESADOS!$D12="",METALESPESADOS!$E12="",METALESPESADOS!$F12="",METALESPESADOS!$AO12="",METALESPESADOS!$AP12=""),"",((METALESPESADOS!$F12-METALESPESADOS!$AO12)*METALESPESADOS!$AP12*METALESPESADOS!$D12*(1/METALESPESADOS!$C12)*METALESPESADOS!$E12*0.001))</f>
        <v/>
      </c>
      <c r="AR12" s="17" t="str">
        <f>IF(AND(METALESPESADOS!$Q12="",METALESPESADOS!$R12="",METALESPESADOS!$S12="",METALESPESADOS!$T12=""),"",AVERAGE(METALESPESADOS!$Q12,METALESPESADOS!$R12,METALESPESADOS!$S12,METALESPESADOS!$T12))</f>
        <v/>
      </c>
      <c r="AS12" s="23">
        <v>1</v>
      </c>
      <c r="AT12" s="31" t="str">
        <f>IF(OR(METALESPESADOS!$A12="",METALESPESADOS!$B12="",METALESPESADOS!$C12="",METALESPESADOS!$D12="",METALESPESADOS!$E12="",METALESPESADOS!$G12="",METALESPESADOS!$AR12="",METALESPESADOS!$AS12=""),"",((METALESPESADOS!$G12-METALESPESADOS!$AR12)*METALESPESADOS!$AS12*METALESPESADOS!$D12*(1/METALESPESADOS!$C12)*METALESPESADOS!$E12))</f>
        <v/>
      </c>
      <c r="AU12" s="17" t="str">
        <f>IF(AND(METALESPESADOS!$U12="",METALESPESADOS!$V12="",METALESPESADOS!$W12="",METALESPESADOS!$X12=""),"",AVERAGE(METALESPESADOS!$U12,METALESPESADOS!$V12,METALESPESADOS!$W12,METALESPESADOS!$X12))</f>
        <v/>
      </c>
      <c r="AV12" s="23">
        <v>1</v>
      </c>
      <c r="AW12" s="31" t="str">
        <f>IF(OR(METALESPESADOS!$A12="",METALESPESADOS!$B12="",METALESPESADOS!$C12="",METALESPESADOS!$D12="",METALESPESADOS!$E12="",METALESPESADOS!$H12="",METALESPESADOS!$AU12="",METALESPESADOS!$AV12=""),"",((METALESPESADOS!$H12-METALESPESADOS!$AU12)*METALESPESADOS!$AV12*METALESPESADOS!$D12*(1/METALESPESADOS!$C12)*METALESPESADOS!$E12))</f>
        <v/>
      </c>
      <c r="AX12" s="17" t="str">
        <f>IF(AND(METALESPESADOS!$Y12="",METALESPESADOS!$Z12="",METALESPESADOS!$AA12="",METALESPESADOS!$AB12=""),"",AVERAGE(METALESPESADOS!$Y12,METALESPESADOS!$Z12,METALESPESADOS!$AA12,METALESPESADOS!$AB12))</f>
        <v/>
      </c>
      <c r="AY12" s="23">
        <v>1</v>
      </c>
      <c r="AZ12" s="31" t="str">
        <f>IF(OR(METALESPESADOS!$A12="",METALESPESADOS!$B12="",METALESPESADOS!$C12="",METALESPESADOS!$D12="",METALESPESADOS!$E12="",METALESPESADOS!$I12="",METALESPESADOS!$AX12="",METALESPESADOS!$AY12=""),"",((METALESPESADOS!$I12-METALESPESADOS!$AX12)*METALESPESADOS!$AY12*METALESPESADOS!$D12*(1/METALESPESADOS!$C12)*METALESPESADOS!$E12))</f>
        <v/>
      </c>
      <c r="BA12" s="17" t="str">
        <f>IF(AND(METALESPESADOS!$AC12="",METALESPESADOS!$AD12="",METALESPESADOS!$AE12="",METALESPESADOS!$AF12=""),"",AVERAGE(METALESPESADOS!$AC12,METALESPESADOS!$AD12,METALESPESADOS!$AE12,METALESPESADOS!$AF12))</f>
        <v/>
      </c>
      <c r="BB12" s="23">
        <v>1</v>
      </c>
      <c r="BC12" s="31" t="str">
        <f>IF(OR(METALESPESADOS!$A12="",METALESPESADOS!$B12="",METALESPESADOS!$C12="",METALESPESADOS!$D12="",METALESPESADOS!$E12="",METALESPESADOS!$J12="",METALESPESADOS!$BA12="",METALESPESADOS!$BB12=""),"",((METALESPESADOS!$J12-METALESPESADOS!$BA12)*METALESPESADOS!$BB12*METALESPESADOS!$D12*(1/METALESPESADOS!$C12)*METALESPESADOS!$E12))</f>
        <v/>
      </c>
      <c r="BD12" s="17" t="str">
        <f>IF(AND(METALESPESADOS!$AG12="",METALESPESADOS!$AH12="",METALESPESADOS!$AI12="",METALESPESADOS!$AJ12=""),"",AVERAGE(METALESPESADOS!$AG12,METALESPESADOS!$AH12,METALESPESADOS!$AI12,METALESPESADOS!$AJ12))</f>
        <v/>
      </c>
      <c r="BE12" s="23">
        <v>1</v>
      </c>
      <c r="BF12" s="31" t="str">
        <f>IF(OR(METALESPESADOS!$A12="",METALESPESADOS!$B12="",METALESPESADOS!$C12="",METALESPESADOS!$D12="",METALESPESADOS!$E12="",METALESPESADOS!$K12="",METALESPESADOS!$BD12="",METALESPESADOS!$BE12=""),"",((METALESPESADOS!$K12-METALESPESADOS!$BD12)*METALESPESADOS!$BE12*METALESPESADOS!$D12*(1/METALESPESADOS!$C12)*METALESPESADOS!$E12))</f>
        <v/>
      </c>
      <c r="BG12" s="17" t="str">
        <f>IF(AND(METALESPESADOS!$AK12="",METALESPESADOS!$AL12="",METALESPESADOS!$AM12="",METALESPESADOS!$AN12=""),"",AVERAGE(METALESPESADOS!$AK12,METALESPESADOS!$AL12,METALESPESADOS!$AM12,METALESPESADOS!$AN12))</f>
        <v/>
      </c>
      <c r="BH12" s="23">
        <v>10</v>
      </c>
      <c r="BI12" s="32" t="str">
        <f>IF(OR(METALESPESADOS!$A12="",METALESPESADOS!$B12="",METALESPESADOS!$C12="",METALESPESADOS!$D12="",METALESPESADOS!$E12="",METALESPESADOS!$L12="",METALESPESADOS!$BG12="",METALESPESADOS!$BH12=""),"",((METALESPESADOS!$L12-METALESPESADOS!$BG12)*METALESPESADOS!$BH12*METALESPESADOS!$D12*(1/METALESPESADOS!$C12)*METALESPESADOS!$E12*0.001))</f>
        <v/>
      </c>
    </row>
    <row r="13" spans="1:61" x14ac:dyDescent="0.3">
      <c r="A13" s="19" t="str">
        <f>IF(Pesada!A13="","",Pesada!A13)</f>
        <v/>
      </c>
      <c r="B13" s="16" t="str">
        <f>IF(Pesada!B13="","",Pesada!B13)</f>
        <v/>
      </c>
      <c r="C13" s="20" t="str">
        <f>IF(Pesada!C13="","",VALUE(Pesada!C13))</f>
        <v/>
      </c>
      <c r="D13" s="23">
        <v>100</v>
      </c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17" t="str">
        <f>IF(AND(METALESPESADOS!$M13="",METALESPESADOS!$N13="",METALESPESADOS!$O13="",METALESPESADOS!$P13=""),"",AVERAGE(METALESPESADOS!$M13,METALESPESADOS!$N13,METALESPESADOS!$O13,METALESPESADOS!$P13))</f>
        <v/>
      </c>
      <c r="AP13" s="23">
        <v>1</v>
      </c>
      <c r="AQ13" s="31" t="str">
        <f>IF(OR(METALESPESADOS!$A13="",METALESPESADOS!$B13="",METALESPESADOS!$C13="",METALESPESADOS!$D13="",METALESPESADOS!$E13="",METALESPESADOS!$F13="",METALESPESADOS!$AO13="",METALESPESADOS!$AP13=""),"",((METALESPESADOS!$F13-METALESPESADOS!$AO13)*METALESPESADOS!$AP13*METALESPESADOS!$D13*(1/METALESPESADOS!$C13)*METALESPESADOS!$E13*0.001))</f>
        <v/>
      </c>
      <c r="AR13" s="17" t="str">
        <f>IF(AND(METALESPESADOS!$Q13="",METALESPESADOS!$R13="",METALESPESADOS!$S13="",METALESPESADOS!$T13=""),"",AVERAGE(METALESPESADOS!$Q13,METALESPESADOS!$R13,METALESPESADOS!$S13,METALESPESADOS!$T13))</f>
        <v/>
      </c>
      <c r="AS13" s="23">
        <v>1</v>
      </c>
      <c r="AT13" s="31" t="str">
        <f>IF(OR(METALESPESADOS!$A13="",METALESPESADOS!$B13="",METALESPESADOS!$C13="",METALESPESADOS!$D13="",METALESPESADOS!$E13="",METALESPESADOS!$G13="",METALESPESADOS!$AR13="",METALESPESADOS!$AS13=""),"",((METALESPESADOS!$G13-METALESPESADOS!$AR13)*METALESPESADOS!$AS13*METALESPESADOS!$D13*(1/METALESPESADOS!$C13)*METALESPESADOS!$E13))</f>
        <v/>
      </c>
      <c r="AU13" s="17" t="str">
        <f>IF(AND(METALESPESADOS!$U13="",METALESPESADOS!$V13="",METALESPESADOS!$W13="",METALESPESADOS!$X13=""),"",AVERAGE(METALESPESADOS!$U13,METALESPESADOS!$V13,METALESPESADOS!$W13,METALESPESADOS!$X13))</f>
        <v/>
      </c>
      <c r="AV13" s="23">
        <v>1</v>
      </c>
      <c r="AW13" s="31" t="str">
        <f>IF(OR(METALESPESADOS!$A13="",METALESPESADOS!$B13="",METALESPESADOS!$C13="",METALESPESADOS!$D13="",METALESPESADOS!$E13="",METALESPESADOS!$H13="",METALESPESADOS!$AU13="",METALESPESADOS!$AV13=""),"",((METALESPESADOS!$H13-METALESPESADOS!$AU13)*METALESPESADOS!$AV13*METALESPESADOS!$D13*(1/METALESPESADOS!$C13)*METALESPESADOS!$E13))</f>
        <v/>
      </c>
      <c r="AX13" s="17" t="str">
        <f>IF(AND(METALESPESADOS!$Y13="",METALESPESADOS!$Z13="",METALESPESADOS!$AA13="",METALESPESADOS!$AB13=""),"",AVERAGE(METALESPESADOS!$Y13,METALESPESADOS!$Z13,METALESPESADOS!$AA13,METALESPESADOS!$AB13))</f>
        <v/>
      </c>
      <c r="AY13" s="23">
        <v>1</v>
      </c>
      <c r="AZ13" s="31" t="str">
        <f>IF(OR(METALESPESADOS!$A13="",METALESPESADOS!$B13="",METALESPESADOS!$C13="",METALESPESADOS!$D13="",METALESPESADOS!$E13="",METALESPESADOS!$I13="",METALESPESADOS!$AX13="",METALESPESADOS!$AY13=""),"",((METALESPESADOS!$I13-METALESPESADOS!$AX13)*METALESPESADOS!$AY13*METALESPESADOS!$D13*(1/METALESPESADOS!$C13)*METALESPESADOS!$E13))</f>
        <v/>
      </c>
      <c r="BA13" s="17" t="str">
        <f>IF(AND(METALESPESADOS!$AC13="",METALESPESADOS!$AD13="",METALESPESADOS!$AE13="",METALESPESADOS!$AF13=""),"",AVERAGE(METALESPESADOS!$AC13,METALESPESADOS!$AD13,METALESPESADOS!$AE13,METALESPESADOS!$AF13))</f>
        <v/>
      </c>
      <c r="BB13" s="23">
        <v>1</v>
      </c>
      <c r="BC13" s="31" t="str">
        <f>IF(OR(METALESPESADOS!$A13="",METALESPESADOS!$B13="",METALESPESADOS!$C13="",METALESPESADOS!$D13="",METALESPESADOS!$E13="",METALESPESADOS!$J13="",METALESPESADOS!$BA13="",METALESPESADOS!$BB13=""),"",((METALESPESADOS!$J13-METALESPESADOS!$BA13)*METALESPESADOS!$BB13*METALESPESADOS!$D13*(1/METALESPESADOS!$C13)*METALESPESADOS!$E13))</f>
        <v/>
      </c>
      <c r="BD13" s="17" t="str">
        <f>IF(AND(METALESPESADOS!$AG13="",METALESPESADOS!$AH13="",METALESPESADOS!$AI13="",METALESPESADOS!$AJ13=""),"",AVERAGE(METALESPESADOS!$AG13,METALESPESADOS!$AH13,METALESPESADOS!$AI13,METALESPESADOS!$AJ13))</f>
        <v/>
      </c>
      <c r="BE13" s="23">
        <v>1</v>
      </c>
      <c r="BF13" s="31" t="str">
        <f>IF(OR(METALESPESADOS!$A13="",METALESPESADOS!$B13="",METALESPESADOS!$C13="",METALESPESADOS!$D13="",METALESPESADOS!$E13="",METALESPESADOS!$K13="",METALESPESADOS!$BD13="",METALESPESADOS!$BE13=""),"",((METALESPESADOS!$K13-METALESPESADOS!$BD13)*METALESPESADOS!$BE13*METALESPESADOS!$D13*(1/METALESPESADOS!$C13)*METALESPESADOS!$E13))</f>
        <v/>
      </c>
      <c r="BG13" s="17" t="str">
        <f>IF(AND(METALESPESADOS!$AK13="",METALESPESADOS!$AL13="",METALESPESADOS!$AM13="",METALESPESADOS!$AN13=""),"",AVERAGE(METALESPESADOS!$AK13,METALESPESADOS!$AL13,METALESPESADOS!$AM13,METALESPESADOS!$AN13))</f>
        <v/>
      </c>
      <c r="BH13" s="23">
        <v>10</v>
      </c>
      <c r="BI13" s="32" t="str">
        <f>IF(OR(METALESPESADOS!$A13="",METALESPESADOS!$B13="",METALESPESADOS!$C13="",METALESPESADOS!$D13="",METALESPESADOS!$E13="",METALESPESADOS!$L13="",METALESPESADOS!$BG13="",METALESPESADOS!$BH13=""),"",((METALESPESADOS!$L13-METALESPESADOS!$BG13)*METALESPESADOS!$BH13*METALESPESADOS!$D13*(1/METALESPESADOS!$C13)*METALESPESADOS!$E13*0.001))</f>
        <v/>
      </c>
    </row>
    <row r="14" spans="1:61" x14ac:dyDescent="0.3">
      <c r="A14" s="19" t="str">
        <f>IF(Pesada!A14="","",Pesada!A14)</f>
        <v/>
      </c>
      <c r="B14" s="16" t="str">
        <f>IF(Pesada!B14="","",Pesada!B14)</f>
        <v/>
      </c>
      <c r="C14" s="20" t="str">
        <f>IF(Pesada!C14="","",VALUE(Pesada!C14))</f>
        <v/>
      </c>
      <c r="D14" s="23">
        <v>100</v>
      </c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17" t="str">
        <f>IF(AND(METALESPESADOS!$M14="",METALESPESADOS!$N14="",METALESPESADOS!$O14="",METALESPESADOS!$P14=""),"",AVERAGE(METALESPESADOS!$M14,METALESPESADOS!$N14,METALESPESADOS!$O14,METALESPESADOS!$P14))</f>
        <v/>
      </c>
      <c r="AP14" s="23">
        <v>1</v>
      </c>
      <c r="AQ14" s="31" t="str">
        <f>IF(OR(METALESPESADOS!$A14="",METALESPESADOS!$B14="",METALESPESADOS!$C14="",METALESPESADOS!$D14="",METALESPESADOS!$E14="",METALESPESADOS!$F14="",METALESPESADOS!$AO14="",METALESPESADOS!$AP14=""),"",((METALESPESADOS!$F14-METALESPESADOS!$AO14)*METALESPESADOS!$AP14*METALESPESADOS!$D14*(1/METALESPESADOS!$C14)*METALESPESADOS!$E14*0.001))</f>
        <v/>
      </c>
      <c r="AR14" s="17" t="str">
        <f>IF(AND(METALESPESADOS!$Q14="",METALESPESADOS!$R14="",METALESPESADOS!$S14="",METALESPESADOS!$T14=""),"",AVERAGE(METALESPESADOS!$Q14,METALESPESADOS!$R14,METALESPESADOS!$S14,METALESPESADOS!$T14))</f>
        <v/>
      </c>
      <c r="AS14" s="23">
        <v>1</v>
      </c>
      <c r="AT14" s="31" t="str">
        <f>IF(OR(METALESPESADOS!$A14="",METALESPESADOS!$B14="",METALESPESADOS!$C14="",METALESPESADOS!$D14="",METALESPESADOS!$E14="",METALESPESADOS!$G14="",METALESPESADOS!$AR14="",METALESPESADOS!$AS14=""),"",((METALESPESADOS!$G14-METALESPESADOS!$AR14)*METALESPESADOS!$AS14*METALESPESADOS!$D14*(1/METALESPESADOS!$C14)*METALESPESADOS!$E14))</f>
        <v/>
      </c>
      <c r="AU14" s="17" t="str">
        <f>IF(AND(METALESPESADOS!$U14="",METALESPESADOS!$V14="",METALESPESADOS!$W14="",METALESPESADOS!$X14=""),"",AVERAGE(METALESPESADOS!$U14,METALESPESADOS!$V14,METALESPESADOS!$W14,METALESPESADOS!$X14))</f>
        <v/>
      </c>
      <c r="AV14" s="23">
        <v>1</v>
      </c>
      <c r="AW14" s="31" t="str">
        <f>IF(OR(METALESPESADOS!$A14="",METALESPESADOS!$B14="",METALESPESADOS!$C14="",METALESPESADOS!$D14="",METALESPESADOS!$E14="",METALESPESADOS!$H14="",METALESPESADOS!$AU14="",METALESPESADOS!$AV14=""),"",((METALESPESADOS!$H14-METALESPESADOS!$AU14)*METALESPESADOS!$AV14*METALESPESADOS!$D14*(1/METALESPESADOS!$C14)*METALESPESADOS!$E14))</f>
        <v/>
      </c>
      <c r="AX14" s="17" t="str">
        <f>IF(AND(METALESPESADOS!$Y14="",METALESPESADOS!$Z14="",METALESPESADOS!$AA14="",METALESPESADOS!$AB14=""),"",AVERAGE(METALESPESADOS!$Y14,METALESPESADOS!$Z14,METALESPESADOS!$AA14,METALESPESADOS!$AB14))</f>
        <v/>
      </c>
      <c r="AY14" s="23">
        <v>1</v>
      </c>
      <c r="AZ14" s="31" t="str">
        <f>IF(OR(METALESPESADOS!$A14="",METALESPESADOS!$B14="",METALESPESADOS!$C14="",METALESPESADOS!$D14="",METALESPESADOS!$E14="",METALESPESADOS!$I14="",METALESPESADOS!$AX14="",METALESPESADOS!$AY14=""),"",((METALESPESADOS!$I14-METALESPESADOS!$AX14)*METALESPESADOS!$AY14*METALESPESADOS!$D14*(1/METALESPESADOS!$C14)*METALESPESADOS!$E14))</f>
        <v/>
      </c>
      <c r="BA14" s="17" t="str">
        <f>IF(AND(METALESPESADOS!$AC14="",METALESPESADOS!$AD14="",METALESPESADOS!$AE14="",METALESPESADOS!$AF14=""),"",AVERAGE(METALESPESADOS!$AC14,METALESPESADOS!$AD14,METALESPESADOS!$AE14,METALESPESADOS!$AF14))</f>
        <v/>
      </c>
      <c r="BB14" s="23">
        <v>1</v>
      </c>
      <c r="BC14" s="31" t="str">
        <f>IF(OR(METALESPESADOS!$A14="",METALESPESADOS!$B14="",METALESPESADOS!$C14="",METALESPESADOS!$D14="",METALESPESADOS!$E14="",METALESPESADOS!$J14="",METALESPESADOS!$BA14="",METALESPESADOS!$BB14=""),"",((METALESPESADOS!$J14-METALESPESADOS!$BA14)*METALESPESADOS!$BB14*METALESPESADOS!$D14*(1/METALESPESADOS!$C14)*METALESPESADOS!$E14))</f>
        <v/>
      </c>
      <c r="BD14" s="17" t="str">
        <f>IF(AND(METALESPESADOS!$AG14="",METALESPESADOS!$AH14="",METALESPESADOS!$AI14="",METALESPESADOS!$AJ14=""),"",AVERAGE(METALESPESADOS!$AG14,METALESPESADOS!$AH14,METALESPESADOS!$AI14,METALESPESADOS!$AJ14))</f>
        <v/>
      </c>
      <c r="BE14" s="23">
        <v>1</v>
      </c>
      <c r="BF14" s="31" t="str">
        <f>IF(OR(METALESPESADOS!$A14="",METALESPESADOS!$B14="",METALESPESADOS!$C14="",METALESPESADOS!$D14="",METALESPESADOS!$E14="",METALESPESADOS!$K14="",METALESPESADOS!$BD14="",METALESPESADOS!$BE14=""),"",((METALESPESADOS!$K14-METALESPESADOS!$BD14)*METALESPESADOS!$BE14*METALESPESADOS!$D14*(1/METALESPESADOS!$C14)*METALESPESADOS!$E14))</f>
        <v/>
      </c>
      <c r="BG14" s="17" t="str">
        <f>IF(AND(METALESPESADOS!$AK14="",METALESPESADOS!$AL14="",METALESPESADOS!$AM14="",METALESPESADOS!$AN14=""),"",AVERAGE(METALESPESADOS!$AK14,METALESPESADOS!$AL14,METALESPESADOS!$AM14,METALESPESADOS!$AN14))</f>
        <v/>
      </c>
      <c r="BH14" s="23">
        <v>10</v>
      </c>
      <c r="BI14" s="32" t="str">
        <f>IF(OR(METALESPESADOS!$A14="",METALESPESADOS!$B14="",METALESPESADOS!$C14="",METALESPESADOS!$D14="",METALESPESADOS!$E14="",METALESPESADOS!$L14="",METALESPESADOS!$BG14="",METALESPESADOS!$BH14=""),"",((METALESPESADOS!$L14-METALESPESADOS!$BG14)*METALESPESADOS!$BH14*METALESPESADOS!$D14*(1/METALESPESADOS!$C14)*METALESPESADOS!$E14*0.001))</f>
        <v/>
      </c>
    </row>
    <row r="15" spans="1:61" x14ac:dyDescent="0.3">
      <c r="A15" s="19" t="str">
        <f>IF(Pesada!A15="","",Pesada!A15)</f>
        <v/>
      </c>
      <c r="B15" s="16" t="str">
        <f>IF(Pesada!B15="","",Pesada!B15)</f>
        <v/>
      </c>
      <c r="C15" s="20" t="str">
        <f>IF(Pesada!C15="","",VALUE(Pesada!C15))</f>
        <v/>
      </c>
      <c r="D15" s="23">
        <v>100</v>
      </c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17" t="str">
        <f>IF(AND(METALESPESADOS!$M15="",METALESPESADOS!$N15="",METALESPESADOS!$O15="",METALESPESADOS!$P15=""),"",AVERAGE(METALESPESADOS!$M15,METALESPESADOS!$N15,METALESPESADOS!$O15,METALESPESADOS!$P15))</f>
        <v/>
      </c>
      <c r="AP15" s="23">
        <v>1</v>
      </c>
      <c r="AQ15" s="31" t="str">
        <f>IF(OR(METALESPESADOS!$A15="",METALESPESADOS!$B15="",METALESPESADOS!$C15="",METALESPESADOS!$D15="",METALESPESADOS!$E15="",METALESPESADOS!$F15="",METALESPESADOS!$AO15="",METALESPESADOS!$AP15=""),"",((METALESPESADOS!$F15-METALESPESADOS!$AO15)*METALESPESADOS!$AP15*METALESPESADOS!$D15*(1/METALESPESADOS!$C15)*METALESPESADOS!$E15*0.001))</f>
        <v/>
      </c>
      <c r="AR15" s="17" t="str">
        <f>IF(AND(METALESPESADOS!$Q15="",METALESPESADOS!$R15="",METALESPESADOS!$S15="",METALESPESADOS!$T15=""),"",AVERAGE(METALESPESADOS!$Q15,METALESPESADOS!$R15,METALESPESADOS!$S15,METALESPESADOS!$T15))</f>
        <v/>
      </c>
      <c r="AS15" s="23">
        <v>1</v>
      </c>
      <c r="AT15" s="31" t="str">
        <f>IF(OR(METALESPESADOS!$A15="",METALESPESADOS!$B15="",METALESPESADOS!$C15="",METALESPESADOS!$D15="",METALESPESADOS!$E15="",METALESPESADOS!$G15="",METALESPESADOS!$AR15="",METALESPESADOS!$AS15=""),"",((METALESPESADOS!$G15-METALESPESADOS!$AR15)*METALESPESADOS!$AS15*METALESPESADOS!$D15*(1/METALESPESADOS!$C15)*METALESPESADOS!$E15))</f>
        <v/>
      </c>
      <c r="AU15" s="17" t="str">
        <f>IF(AND(METALESPESADOS!$U15="",METALESPESADOS!$V15="",METALESPESADOS!$W15="",METALESPESADOS!$X15=""),"",AVERAGE(METALESPESADOS!$U15,METALESPESADOS!$V15,METALESPESADOS!$W15,METALESPESADOS!$X15))</f>
        <v/>
      </c>
      <c r="AV15" s="23">
        <v>1</v>
      </c>
      <c r="AW15" s="31" t="str">
        <f>IF(OR(METALESPESADOS!$A15="",METALESPESADOS!$B15="",METALESPESADOS!$C15="",METALESPESADOS!$D15="",METALESPESADOS!$E15="",METALESPESADOS!$H15="",METALESPESADOS!$AU15="",METALESPESADOS!$AV15=""),"",((METALESPESADOS!$H15-METALESPESADOS!$AU15)*METALESPESADOS!$AV15*METALESPESADOS!$D15*(1/METALESPESADOS!$C15)*METALESPESADOS!$E15))</f>
        <v/>
      </c>
      <c r="AX15" s="17" t="str">
        <f>IF(AND(METALESPESADOS!$Y15="",METALESPESADOS!$Z15="",METALESPESADOS!$AA15="",METALESPESADOS!$AB15=""),"",AVERAGE(METALESPESADOS!$Y15,METALESPESADOS!$Z15,METALESPESADOS!$AA15,METALESPESADOS!$AB15))</f>
        <v/>
      </c>
      <c r="AY15" s="23">
        <v>1</v>
      </c>
      <c r="AZ15" s="31" t="str">
        <f>IF(OR(METALESPESADOS!$A15="",METALESPESADOS!$B15="",METALESPESADOS!$C15="",METALESPESADOS!$D15="",METALESPESADOS!$E15="",METALESPESADOS!$I15="",METALESPESADOS!$AX15="",METALESPESADOS!$AY15=""),"",((METALESPESADOS!$I15-METALESPESADOS!$AX15)*METALESPESADOS!$AY15*METALESPESADOS!$D15*(1/METALESPESADOS!$C15)*METALESPESADOS!$E15))</f>
        <v/>
      </c>
      <c r="BA15" s="17" t="str">
        <f>IF(AND(METALESPESADOS!$AC15="",METALESPESADOS!$AD15="",METALESPESADOS!$AE15="",METALESPESADOS!$AF15=""),"",AVERAGE(METALESPESADOS!$AC15,METALESPESADOS!$AD15,METALESPESADOS!$AE15,METALESPESADOS!$AF15))</f>
        <v/>
      </c>
      <c r="BB15" s="23">
        <v>1</v>
      </c>
      <c r="BC15" s="31" t="str">
        <f>IF(OR(METALESPESADOS!$A15="",METALESPESADOS!$B15="",METALESPESADOS!$C15="",METALESPESADOS!$D15="",METALESPESADOS!$E15="",METALESPESADOS!$J15="",METALESPESADOS!$BA15="",METALESPESADOS!$BB15=""),"",((METALESPESADOS!$J15-METALESPESADOS!$BA15)*METALESPESADOS!$BB15*METALESPESADOS!$D15*(1/METALESPESADOS!$C15)*METALESPESADOS!$E15))</f>
        <v/>
      </c>
      <c r="BD15" s="17" t="str">
        <f>IF(AND(METALESPESADOS!$AG15="",METALESPESADOS!$AH15="",METALESPESADOS!$AI15="",METALESPESADOS!$AJ15=""),"",AVERAGE(METALESPESADOS!$AG15,METALESPESADOS!$AH15,METALESPESADOS!$AI15,METALESPESADOS!$AJ15))</f>
        <v/>
      </c>
      <c r="BE15" s="23">
        <v>1</v>
      </c>
      <c r="BF15" s="31" t="str">
        <f>IF(OR(METALESPESADOS!$A15="",METALESPESADOS!$B15="",METALESPESADOS!$C15="",METALESPESADOS!$D15="",METALESPESADOS!$E15="",METALESPESADOS!$K15="",METALESPESADOS!$BD15="",METALESPESADOS!$BE15=""),"",((METALESPESADOS!$K15-METALESPESADOS!$BD15)*METALESPESADOS!$BE15*METALESPESADOS!$D15*(1/METALESPESADOS!$C15)*METALESPESADOS!$E15))</f>
        <v/>
      </c>
      <c r="BG15" s="17" t="str">
        <f>IF(AND(METALESPESADOS!$AK15="",METALESPESADOS!$AL15="",METALESPESADOS!$AM15="",METALESPESADOS!$AN15=""),"",AVERAGE(METALESPESADOS!$AK15,METALESPESADOS!$AL15,METALESPESADOS!$AM15,METALESPESADOS!$AN15))</f>
        <v/>
      </c>
      <c r="BH15" s="23">
        <v>10</v>
      </c>
      <c r="BI15" s="32" t="str">
        <f>IF(OR(METALESPESADOS!$A15="",METALESPESADOS!$B15="",METALESPESADOS!$C15="",METALESPESADOS!$D15="",METALESPESADOS!$E15="",METALESPESADOS!$L15="",METALESPESADOS!$BG15="",METALESPESADOS!$BH15=""),"",((METALESPESADOS!$L15-METALESPESADOS!$BG15)*METALESPESADOS!$BH15*METALESPESADOS!$D15*(1/METALESPESADOS!$C15)*METALESPESADOS!$E15*0.001))</f>
        <v/>
      </c>
    </row>
    <row r="16" spans="1:61" x14ac:dyDescent="0.3">
      <c r="A16" s="19" t="str">
        <f>IF(Pesada!A16="","",Pesada!A16)</f>
        <v/>
      </c>
      <c r="B16" s="16" t="str">
        <f>IF(Pesada!B16="","",Pesada!B16)</f>
        <v/>
      </c>
      <c r="C16" s="20" t="str">
        <f>IF(Pesada!C16="","",VALUE(Pesada!C16))</f>
        <v/>
      </c>
      <c r="D16" s="23">
        <v>100</v>
      </c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17" t="str">
        <f>IF(AND(METALESPESADOS!$M16="",METALESPESADOS!$N16="",METALESPESADOS!$O16="",METALESPESADOS!$P16=""),"",AVERAGE(METALESPESADOS!$M16,METALESPESADOS!$N16,METALESPESADOS!$O16,METALESPESADOS!$P16))</f>
        <v/>
      </c>
      <c r="AP16" s="23">
        <v>1</v>
      </c>
      <c r="AQ16" s="31" t="str">
        <f>IF(OR(METALESPESADOS!$A16="",METALESPESADOS!$B16="",METALESPESADOS!$C16="",METALESPESADOS!$D16="",METALESPESADOS!$E16="",METALESPESADOS!$F16="",METALESPESADOS!$AO16="",METALESPESADOS!$AP16=""),"",((METALESPESADOS!$F16-METALESPESADOS!$AO16)*METALESPESADOS!$AP16*METALESPESADOS!$D16*(1/METALESPESADOS!$C16)*METALESPESADOS!$E16*0.001))</f>
        <v/>
      </c>
      <c r="AR16" s="17" t="str">
        <f>IF(AND(METALESPESADOS!$Q16="",METALESPESADOS!$R16="",METALESPESADOS!$S16="",METALESPESADOS!$T16=""),"",AVERAGE(METALESPESADOS!$Q16,METALESPESADOS!$R16,METALESPESADOS!$S16,METALESPESADOS!$T16))</f>
        <v/>
      </c>
      <c r="AS16" s="23">
        <v>1</v>
      </c>
      <c r="AT16" s="31" t="str">
        <f>IF(OR(METALESPESADOS!$A16="",METALESPESADOS!$B16="",METALESPESADOS!$C16="",METALESPESADOS!$D16="",METALESPESADOS!$E16="",METALESPESADOS!$G16="",METALESPESADOS!$AR16="",METALESPESADOS!$AS16=""),"",((METALESPESADOS!$G16-METALESPESADOS!$AR16)*METALESPESADOS!$AS16*METALESPESADOS!$D16*(1/METALESPESADOS!$C16)*METALESPESADOS!$E16))</f>
        <v/>
      </c>
      <c r="AU16" s="17" t="str">
        <f>IF(AND(METALESPESADOS!$U16="",METALESPESADOS!$V16="",METALESPESADOS!$W16="",METALESPESADOS!$X16=""),"",AVERAGE(METALESPESADOS!$U16,METALESPESADOS!$V16,METALESPESADOS!$W16,METALESPESADOS!$X16))</f>
        <v/>
      </c>
      <c r="AV16" s="23">
        <v>1</v>
      </c>
      <c r="AW16" s="31" t="str">
        <f>IF(OR(METALESPESADOS!$A16="",METALESPESADOS!$B16="",METALESPESADOS!$C16="",METALESPESADOS!$D16="",METALESPESADOS!$E16="",METALESPESADOS!$H16="",METALESPESADOS!$AU16="",METALESPESADOS!$AV16=""),"",((METALESPESADOS!$H16-METALESPESADOS!$AU16)*METALESPESADOS!$AV16*METALESPESADOS!$D16*(1/METALESPESADOS!$C16)*METALESPESADOS!$E16))</f>
        <v/>
      </c>
      <c r="AX16" s="17" t="str">
        <f>IF(AND(METALESPESADOS!$Y16="",METALESPESADOS!$Z16="",METALESPESADOS!$AA16="",METALESPESADOS!$AB16=""),"",AVERAGE(METALESPESADOS!$Y16,METALESPESADOS!$Z16,METALESPESADOS!$AA16,METALESPESADOS!$AB16))</f>
        <v/>
      </c>
      <c r="AY16" s="23">
        <v>1</v>
      </c>
      <c r="AZ16" s="31" t="str">
        <f>IF(OR(METALESPESADOS!$A16="",METALESPESADOS!$B16="",METALESPESADOS!$C16="",METALESPESADOS!$D16="",METALESPESADOS!$E16="",METALESPESADOS!$I16="",METALESPESADOS!$AX16="",METALESPESADOS!$AY16=""),"",((METALESPESADOS!$I16-METALESPESADOS!$AX16)*METALESPESADOS!$AY16*METALESPESADOS!$D16*(1/METALESPESADOS!$C16)*METALESPESADOS!$E16))</f>
        <v/>
      </c>
      <c r="BA16" s="17" t="str">
        <f>IF(AND(METALESPESADOS!$AC16="",METALESPESADOS!$AD16="",METALESPESADOS!$AE16="",METALESPESADOS!$AF16=""),"",AVERAGE(METALESPESADOS!$AC16,METALESPESADOS!$AD16,METALESPESADOS!$AE16,METALESPESADOS!$AF16))</f>
        <v/>
      </c>
      <c r="BB16" s="23">
        <v>1</v>
      </c>
      <c r="BC16" s="31" t="str">
        <f>IF(OR(METALESPESADOS!$A16="",METALESPESADOS!$B16="",METALESPESADOS!$C16="",METALESPESADOS!$D16="",METALESPESADOS!$E16="",METALESPESADOS!$J16="",METALESPESADOS!$BA16="",METALESPESADOS!$BB16=""),"",((METALESPESADOS!$J16-METALESPESADOS!$BA16)*METALESPESADOS!$BB16*METALESPESADOS!$D16*(1/METALESPESADOS!$C16)*METALESPESADOS!$E16))</f>
        <v/>
      </c>
      <c r="BD16" s="17" t="str">
        <f>IF(AND(METALESPESADOS!$AG16="",METALESPESADOS!$AH16="",METALESPESADOS!$AI16="",METALESPESADOS!$AJ16=""),"",AVERAGE(METALESPESADOS!$AG16,METALESPESADOS!$AH16,METALESPESADOS!$AI16,METALESPESADOS!$AJ16))</f>
        <v/>
      </c>
      <c r="BE16" s="23">
        <v>1</v>
      </c>
      <c r="BF16" s="31" t="str">
        <f>IF(OR(METALESPESADOS!$A16="",METALESPESADOS!$B16="",METALESPESADOS!$C16="",METALESPESADOS!$D16="",METALESPESADOS!$E16="",METALESPESADOS!$K16="",METALESPESADOS!$BD16="",METALESPESADOS!$BE16=""),"",((METALESPESADOS!$K16-METALESPESADOS!$BD16)*METALESPESADOS!$BE16*METALESPESADOS!$D16*(1/METALESPESADOS!$C16)*METALESPESADOS!$E16))</f>
        <v/>
      </c>
      <c r="BG16" s="17" t="str">
        <f>IF(AND(METALESPESADOS!$AK16="",METALESPESADOS!$AL16="",METALESPESADOS!$AM16="",METALESPESADOS!$AN16=""),"",AVERAGE(METALESPESADOS!$AK16,METALESPESADOS!$AL16,METALESPESADOS!$AM16,METALESPESADOS!$AN16))</f>
        <v/>
      </c>
      <c r="BH16" s="23">
        <v>10</v>
      </c>
      <c r="BI16" s="32" t="str">
        <f>IF(OR(METALESPESADOS!$A16="",METALESPESADOS!$B16="",METALESPESADOS!$C16="",METALESPESADOS!$D16="",METALESPESADOS!$E16="",METALESPESADOS!$L16="",METALESPESADOS!$BG16="",METALESPESADOS!$BH16=""),"",((METALESPESADOS!$L16-METALESPESADOS!$BG16)*METALESPESADOS!$BH16*METALESPESADOS!$D16*(1/METALESPESADOS!$C16)*METALESPESADOS!$E16*0.001))</f>
        <v/>
      </c>
    </row>
    <row r="17" spans="1:61" x14ac:dyDescent="0.3">
      <c r="A17" s="19" t="str">
        <f>IF(Pesada!A17="","",Pesada!A17)</f>
        <v/>
      </c>
      <c r="B17" s="16" t="str">
        <f>IF(Pesada!B17="","",Pesada!B17)</f>
        <v/>
      </c>
      <c r="C17" s="20" t="str">
        <f>IF(Pesada!C17="","",VALUE(Pesada!C17))</f>
        <v/>
      </c>
      <c r="D17" s="23">
        <v>100</v>
      </c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17" t="str">
        <f>IF(AND(METALESPESADOS!$M17="",METALESPESADOS!$N17="",METALESPESADOS!$O17="",METALESPESADOS!$P17=""),"",AVERAGE(METALESPESADOS!$M17,METALESPESADOS!$N17,METALESPESADOS!$O17,METALESPESADOS!$P17))</f>
        <v/>
      </c>
      <c r="AP17" s="23">
        <v>1</v>
      </c>
      <c r="AQ17" s="31" t="str">
        <f>IF(OR(METALESPESADOS!$A17="",METALESPESADOS!$B17="",METALESPESADOS!$C17="",METALESPESADOS!$D17="",METALESPESADOS!$E17="",METALESPESADOS!$F17="",METALESPESADOS!$AO17="",METALESPESADOS!$AP17=""),"",((METALESPESADOS!$F17-METALESPESADOS!$AO17)*METALESPESADOS!$AP17*METALESPESADOS!$D17*(1/METALESPESADOS!$C17)*METALESPESADOS!$E17*0.001))</f>
        <v/>
      </c>
      <c r="AR17" s="17" t="str">
        <f>IF(AND(METALESPESADOS!$Q17="",METALESPESADOS!$R17="",METALESPESADOS!$S17="",METALESPESADOS!$T17=""),"",AVERAGE(METALESPESADOS!$Q17,METALESPESADOS!$R17,METALESPESADOS!$S17,METALESPESADOS!$T17))</f>
        <v/>
      </c>
      <c r="AS17" s="23">
        <v>1</v>
      </c>
      <c r="AT17" s="31" t="str">
        <f>IF(OR(METALESPESADOS!$A17="",METALESPESADOS!$B17="",METALESPESADOS!$C17="",METALESPESADOS!$D17="",METALESPESADOS!$E17="",METALESPESADOS!$G17="",METALESPESADOS!$AR17="",METALESPESADOS!$AS17=""),"",((METALESPESADOS!$G17-METALESPESADOS!$AR17)*METALESPESADOS!$AS17*METALESPESADOS!$D17*(1/METALESPESADOS!$C17)*METALESPESADOS!$E17))</f>
        <v/>
      </c>
      <c r="AU17" s="17" t="str">
        <f>IF(AND(METALESPESADOS!$U17="",METALESPESADOS!$V17="",METALESPESADOS!$W17="",METALESPESADOS!$X17=""),"",AVERAGE(METALESPESADOS!$U17,METALESPESADOS!$V17,METALESPESADOS!$W17,METALESPESADOS!$X17))</f>
        <v/>
      </c>
      <c r="AV17" s="23">
        <v>1</v>
      </c>
      <c r="AW17" s="31" t="str">
        <f>IF(OR(METALESPESADOS!$A17="",METALESPESADOS!$B17="",METALESPESADOS!$C17="",METALESPESADOS!$D17="",METALESPESADOS!$E17="",METALESPESADOS!$H17="",METALESPESADOS!$AU17="",METALESPESADOS!$AV17=""),"",((METALESPESADOS!$H17-METALESPESADOS!$AU17)*METALESPESADOS!$AV17*METALESPESADOS!$D17*(1/METALESPESADOS!$C17)*METALESPESADOS!$E17))</f>
        <v/>
      </c>
      <c r="AX17" s="17" t="str">
        <f>IF(AND(METALESPESADOS!$Y17="",METALESPESADOS!$Z17="",METALESPESADOS!$AA17="",METALESPESADOS!$AB17=""),"",AVERAGE(METALESPESADOS!$Y17,METALESPESADOS!$Z17,METALESPESADOS!$AA17,METALESPESADOS!$AB17))</f>
        <v/>
      </c>
      <c r="AY17" s="23">
        <v>1</v>
      </c>
      <c r="AZ17" s="31" t="str">
        <f>IF(OR(METALESPESADOS!$A17="",METALESPESADOS!$B17="",METALESPESADOS!$C17="",METALESPESADOS!$D17="",METALESPESADOS!$E17="",METALESPESADOS!$I17="",METALESPESADOS!$AX17="",METALESPESADOS!$AY17=""),"",((METALESPESADOS!$I17-METALESPESADOS!$AX17)*METALESPESADOS!$AY17*METALESPESADOS!$D17*(1/METALESPESADOS!$C17)*METALESPESADOS!$E17))</f>
        <v/>
      </c>
      <c r="BA17" s="17" t="str">
        <f>IF(AND(METALESPESADOS!$AC17="",METALESPESADOS!$AD17="",METALESPESADOS!$AE17="",METALESPESADOS!$AF17=""),"",AVERAGE(METALESPESADOS!$AC17,METALESPESADOS!$AD17,METALESPESADOS!$AE17,METALESPESADOS!$AF17))</f>
        <v/>
      </c>
      <c r="BB17" s="23">
        <v>1</v>
      </c>
      <c r="BC17" s="31" t="str">
        <f>IF(OR(METALESPESADOS!$A17="",METALESPESADOS!$B17="",METALESPESADOS!$C17="",METALESPESADOS!$D17="",METALESPESADOS!$E17="",METALESPESADOS!$J17="",METALESPESADOS!$BA17="",METALESPESADOS!$BB17=""),"",((METALESPESADOS!$J17-METALESPESADOS!$BA17)*METALESPESADOS!$BB17*METALESPESADOS!$D17*(1/METALESPESADOS!$C17)*METALESPESADOS!$E17))</f>
        <v/>
      </c>
      <c r="BD17" s="17" t="str">
        <f>IF(AND(METALESPESADOS!$AG17="",METALESPESADOS!$AH17="",METALESPESADOS!$AI17="",METALESPESADOS!$AJ17=""),"",AVERAGE(METALESPESADOS!$AG17,METALESPESADOS!$AH17,METALESPESADOS!$AI17,METALESPESADOS!$AJ17))</f>
        <v/>
      </c>
      <c r="BE17" s="23">
        <v>1</v>
      </c>
      <c r="BF17" s="31" t="str">
        <f>IF(OR(METALESPESADOS!$A17="",METALESPESADOS!$B17="",METALESPESADOS!$C17="",METALESPESADOS!$D17="",METALESPESADOS!$E17="",METALESPESADOS!$K17="",METALESPESADOS!$BD17="",METALESPESADOS!$BE17=""),"",((METALESPESADOS!$K17-METALESPESADOS!$BD17)*METALESPESADOS!$BE17*METALESPESADOS!$D17*(1/METALESPESADOS!$C17)*METALESPESADOS!$E17))</f>
        <v/>
      </c>
      <c r="BG17" s="17" t="str">
        <f>IF(AND(METALESPESADOS!$AK17="",METALESPESADOS!$AL17="",METALESPESADOS!$AM17="",METALESPESADOS!$AN17=""),"",AVERAGE(METALESPESADOS!$AK17,METALESPESADOS!$AL17,METALESPESADOS!$AM17,METALESPESADOS!$AN17))</f>
        <v/>
      </c>
      <c r="BH17" s="23">
        <v>10</v>
      </c>
      <c r="BI17" s="32" t="str">
        <f>IF(OR(METALESPESADOS!$A17="",METALESPESADOS!$B17="",METALESPESADOS!$C17="",METALESPESADOS!$D17="",METALESPESADOS!$E17="",METALESPESADOS!$L17="",METALESPESADOS!$BG17="",METALESPESADOS!$BH17=""),"",((METALESPESADOS!$L17-METALESPESADOS!$BG17)*METALESPESADOS!$BH17*METALESPESADOS!$D17*(1/METALESPESADOS!$C17)*METALESPESADOS!$E17*0.001))</f>
        <v/>
      </c>
    </row>
    <row r="18" spans="1:61" x14ac:dyDescent="0.3">
      <c r="A18" s="19" t="str">
        <f>IF(Pesada!A18="","",Pesada!A18)</f>
        <v/>
      </c>
      <c r="B18" s="16" t="str">
        <f>IF(Pesada!B18="","",Pesada!B18)</f>
        <v/>
      </c>
      <c r="C18" s="20" t="str">
        <f>IF(Pesada!C18="","",VALUE(Pesada!C18))</f>
        <v/>
      </c>
      <c r="D18" s="23">
        <v>100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17" t="str">
        <f>IF(AND(METALESPESADOS!$M18="",METALESPESADOS!$N18="",METALESPESADOS!$O18="",METALESPESADOS!$P18=""),"",AVERAGE(METALESPESADOS!$M18,METALESPESADOS!$N18,METALESPESADOS!$O18,METALESPESADOS!$P18))</f>
        <v/>
      </c>
      <c r="AP18" s="23">
        <v>1</v>
      </c>
      <c r="AQ18" s="31" t="str">
        <f>IF(OR(METALESPESADOS!$A18="",METALESPESADOS!$B18="",METALESPESADOS!$C18="",METALESPESADOS!$D18="",METALESPESADOS!$E18="",METALESPESADOS!$F18="",METALESPESADOS!$AO18="",METALESPESADOS!$AP18=""),"",((METALESPESADOS!$F18-METALESPESADOS!$AO18)*METALESPESADOS!$AP18*METALESPESADOS!$D18*(1/METALESPESADOS!$C18)*METALESPESADOS!$E18*0.001))</f>
        <v/>
      </c>
      <c r="AR18" s="17" t="str">
        <f>IF(AND(METALESPESADOS!$Q18="",METALESPESADOS!$R18="",METALESPESADOS!$S18="",METALESPESADOS!$T18=""),"",AVERAGE(METALESPESADOS!$Q18,METALESPESADOS!$R18,METALESPESADOS!$S18,METALESPESADOS!$T18))</f>
        <v/>
      </c>
      <c r="AS18" s="23">
        <v>1</v>
      </c>
      <c r="AT18" s="31" t="str">
        <f>IF(OR(METALESPESADOS!$A18="",METALESPESADOS!$B18="",METALESPESADOS!$C18="",METALESPESADOS!$D18="",METALESPESADOS!$E18="",METALESPESADOS!$G18="",METALESPESADOS!$AR18="",METALESPESADOS!$AS18=""),"",((METALESPESADOS!$G18-METALESPESADOS!$AR18)*METALESPESADOS!$AS18*METALESPESADOS!$D18*(1/METALESPESADOS!$C18)*METALESPESADOS!$E18))</f>
        <v/>
      </c>
      <c r="AU18" s="17" t="str">
        <f>IF(AND(METALESPESADOS!$U18="",METALESPESADOS!$V18="",METALESPESADOS!$W18="",METALESPESADOS!$X18=""),"",AVERAGE(METALESPESADOS!$U18,METALESPESADOS!$V18,METALESPESADOS!$W18,METALESPESADOS!$X18))</f>
        <v/>
      </c>
      <c r="AV18" s="23">
        <v>1</v>
      </c>
      <c r="AW18" s="31" t="str">
        <f>IF(OR(METALESPESADOS!$A18="",METALESPESADOS!$B18="",METALESPESADOS!$C18="",METALESPESADOS!$D18="",METALESPESADOS!$E18="",METALESPESADOS!$H18="",METALESPESADOS!$AU18="",METALESPESADOS!$AV18=""),"",((METALESPESADOS!$H18-METALESPESADOS!$AU18)*METALESPESADOS!$AV18*METALESPESADOS!$D18*(1/METALESPESADOS!$C18)*METALESPESADOS!$E18))</f>
        <v/>
      </c>
      <c r="AX18" s="17" t="str">
        <f>IF(AND(METALESPESADOS!$Y18="",METALESPESADOS!$Z18="",METALESPESADOS!$AA18="",METALESPESADOS!$AB18=""),"",AVERAGE(METALESPESADOS!$Y18,METALESPESADOS!$Z18,METALESPESADOS!$AA18,METALESPESADOS!$AB18))</f>
        <v/>
      </c>
      <c r="AY18" s="23">
        <v>1</v>
      </c>
      <c r="AZ18" s="31" t="str">
        <f>IF(OR(METALESPESADOS!$A18="",METALESPESADOS!$B18="",METALESPESADOS!$C18="",METALESPESADOS!$D18="",METALESPESADOS!$E18="",METALESPESADOS!$I18="",METALESPESADOS!$AX18="",METALESPESADOS!$AY18=""),"",((METALESPESADOS!$I18-METALESPESADOS!$AX18)*METALESPESADOS!$AY18*METALESPESADOS!$D18*(1/METALESPESADOS!$C18)*METALESPESADOS!$E18))</f>
        <v/>
      </c>
      <c r="BA18" s="17" t="str">
        <f>IF(AND(METALESPESADOS!$AC18="",METALESPESADOS!$AD18="",METALESPESADOS!$AE18="",METALESPESADOS!$AF18=""),"",AVERAGE(METALESPESADOS!$AC18,METALESPESADOS!$AD18,METALESPESADOS!$AE18,METALESPESADOS!$AF18))</f>
        <v/>
      </c>
      <c r="BB18" s="23">
        <v>1</v>
      </c>
      <c r="BC18" s="31" t="str">
        <f>IF(OR(METALESPESADOS!$A18="",METALESPESADOS!$B18="",METALESPESADOS!$C18="",METALESPESADOS!$D18="",METALESPESADOS!$E18="",METALESPESADOS!$J18="",METALESPESADOS!$BA18="",METALESPESADOS!$BB18=""),"",((METALESPESADOS!$J18-METALESPESADOS!$BA18)*METALESPESADOS!$BB18*METALESPESADOS!$D18*(1/METALESPESADOS!$C18)*METALESPESADOS!$E18))</f>
        <v/>
      </c>
      <c r="BD18" s="17" t="str">
        <f>IF(AND(METALESPESADOS!$AG18="",METALESPESADOS!$AH18="",METALESPESADOS!$AI18="",METALESPESADOS!$AJ18=""),"",AVERAGE(METALESPESADOS!$AG18,METALESPESADOS!$AH18,METALESPESADOS!$AI18,METALESPESADOS!$AJ18))</f>
        <v/>
      </c>
      <c r="BE18" s="23">
        <v>1</v>
      </c>
      <c r="BF18" s="31" t="str">
        <f>IF(OR(METALESPESADOS!$A18="",METALESPESADOS!$B18="",METALESPESADOS!$C18="",METALESPESADOS!$D18="",METALESPESADOS!$E18="",METALESPESADOS!$K18="",METALESPESADOS!$BD18="",METALESPESADOS!$BE18=""),"",((METALESPESADOS!$K18-METALESPESADOS!$BD18)*METALESPESADOS!$BE18*METALESPESADOS!$D18*(1/METALESPESADOS!$C18)*METALESPESADOS!$E18))</f>
        <v/>
      </c>
      <c r="BG18" s="17" t="str">
        <f>IF(AND(METALESPESADOS!$AK18="",METALESPESADOS!$AL18="",METALESPESADOS!$AM18="",METALESPESADOS!$AN18=""),"",AVERAGE(METALESPESADOS!$AK18,METALESPESADOS!$AL18,METALESPESADOS!$AM18,METALESPESADOS!$AN18))</f>
        <v/>
      </c>
      <c r="BH18" s="23">
        <v>10</v>
      </c>
      <c r="BI18" s="32" t="str">
        <f>IF(OR(METALESPESADOS!$A18="",METALESPESADOS!$B18="",METALESPESADOS!$C18="",METALESPESADOS!$D18="",METALESPESADOS!$E18="",METALESPESADOS!$L18="",METALESPESADOS!$BG18="",METALESPESADOS!$BH18=""),"",((METALESPESADOS!$L18-METALESPESADOS!$BG18)*METALESPESADOS!$BH18*METALESPESADOS!$D18*(1/METALESPESADOS!$C18)*METALESPESADOS!$E18*0.001))</f>
        <v/>
      </c>
    </row>
    <row r="19" spans="1:61" x14ac:dyDescent="0.3">
      <c r="A19" s="19" t="str">
        <f>IF(Pesada!A19="","",Pesada!A19)</f>
        <v/>
      </c>
      <c r="B19" s="16" t="str">
        <f>IF(Pesada!B19="","",Pesada!B19)</f>
        <v/>
      </c>
      <c r="C19" s="20" t="str">
        <f>IF(Pesada!C19="","",VALUE(Pesada!C19))</f>
        <v/>
      </c>
      <c r="D19" s="23">
        <v>100</v>
      </c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17" t="str">
        <f>IF(AND(METALESPESADOS!$M19="",METALESPESADOS!$N19="",METALESPESADOS!$O19="",METALESPESADOS!$P19=""),"",AVERAGE(METALESPESADOS!$M19,METALESPESADOS!$N19,METALESPESADOS!$O19,METALESPESADOS!$P19))</f>
        <v/>
      </c>
      <c r="AP19" s="23">
        <v>1</v>
      </c>
      <c r="AQ19" s="31" t="str">
        <f>IF(OR(METALESPESADOS!$A19="",METALESPESADOS!$B19="",METALESPESADOS!$C19="",METALESPESADOS!$D19="",METALESPESADOS!$E19="",METALESPESADOS!$F19="",METALESPESADOS!$AO19="",METALESPESADOS!$AP19=""),"",((METALESPESADOS!$F19-METALESPESADOS!$AO19)*METALESPESADOS!$AP19*METALESPESADOS!$D19*(1/METALESPESADOS!$C19)*METALESPESADOS!$E19*0.001))</f>
        <v/>
      </c>
      <c r="AR19" s="17" t="str">
        <f>IF(AND(METALESPESADOS!$Q19="",METALESPESADOS!$R19="",METALESPESADOS!$S19="",METALESPESADOS!$T19=""),"",AVERAGE(METALESPESADOS!$Q19,METALESPESADOS!$R19,METALESPESADOS!$S19,METALESPESADOS!$T19))</f>
        <v/>
      </c>
      <c r="AS19" s="23">
        <v>1</v>
      </c>
      <c r="AT19" s="31" t="str">
        <f>IF(OR(METALESPESADOS!$A19="",METALESPESADOS!$B19="",METALESPESADOS!$C19="",METALESPESADOS!$D19="",METALESPESADOS!$E19="",METALESPESADOS!$G19="",METALESPESADOS!$AR19="",METALESPESADOS!$AS19=""),"",((METALESPESADOS!$G19-METALESPESADOS!$AR19)*METALESPESADOS!$AS19*METALESPESADOS!$D19*(1/METALESPESADOS!$C19)*METALESPESADOS!$E19))</f>
        <v/>
      </c>
      <c r="AU19" s="17" t="str">
        <f>IF(AND(METALESPESADOS!$U19="",METALESPESADOS!$V19="",METALESPESADOS!$W19="",METALESPESADOS!$X19=""),"",AVERAGE(METALESPESADOS!$U19,METALESPESADOS!$V19,METALESPESADOS!$W19,METALESPESADOS!$X19))</f>
        <v/>
      </c>
      <c r="AV19" s="23">
        <v>1</v>
      </c>
      <c r="AW19" s="31" t="str">
        <f>IF(OR(METALESPESADOS!$A19="",METALESPESADOS!$B19="",METALESPESADOS!$C19="",METALESPESADOS!$D19="",METALESPESADOS!$E19="",METALESPESADOS!$H19="",METALESPESADOS!$AU19="",METALESPESADOS!$AV19=""),"",((METALESPESADOS!$H19-METALESPESADOS!$AU19)*METALESPESADOS!$AV19*METALESPESADOS!$D19*(1/METALESPESADOS!$C19)*METALESPESADOS!$E19))</f>
        <v/>
      </c>
      <c r="AX19" s="17" t="str">
        <f>IF(AND(METALESPESADOS!$Y19="",METALESPESADOS!$Z19="",METALESPESADOS!$AA19="",METALESPESADOS!$AB19=""),"",AVERAGE(METALESPESADOS!$Y19,METALESPESADOS!$Z19,METALESPESADOS!$AA19,METALESPESADOS!$AB19))</f>
        <v/>
      </c>
      <c r="AY19" s="23">
        <v>1</v>
      </c>
      <c r="AZ19" s="31" t="str">
        <f>IF(OR(METALESPESADOS!$A19="",METALESPESADOS!$B19="",METALESPESADOS!$C19="",METALESPESADOS!$D19="",METALESPESADOS!$E19="",METALESPESADOS!$I19="",METALESPESADOS!$AX19="",METALESPESADOS!$AY19=""),"",((METALESPESADOS!$I19-METALESPESADOS!$AX19)*METALESPESADOS!$AY19*METALESPESADOS!$D19*(1/METALESPESADOS!$C19)*METALESPESADOS!$E19))</f>
        <v/>
      </c>
      <c r="BA19" s="17" t="str">
        <f>IF(AND(METALESPESADOS!$AC19="",METALESPESADOS!$AD19="",METALESPESADOS!$AE19="",METALESPESADOS!$AF19=""),"",AVERAGE(METALESPESADOS!$AC19,METALESPESADOS!$AD19,METALESPESADOS!$AE19,METALESPESADOS!$AF19))</f>
        <v/>
      </c>
      <c r="BB19" s="23">
        <v>1</v>
      </c>
      <c r="BC19" s="31" t="str">
        <f>IF(OR(METALESPESADOS!$A19="",METALESPESADOS!$B19="",METALESPESADOS!$C19="",METALESPESADOS!$D19="",METALESPESADOS!$E19="",METALESPESADOS!$J19="",METALESPESADOS!$BA19="",METALESPESADOS!$BB19=""),"",((METALESPESADOS!$J19-METALESPESADOS!$BA19)*METALESPESADOS!$BB19*METALESPESADOS!$D19*(1/METALESPESADOS!$C19)*METALESPESADOS!$E19))</f>
        <v/>
      </c>
      <c r="BD19" s="17" t="str">
        <f>IF(AND(METALESPESADOS!$AG19="",METALESPESADOS!$AH19="",METALESPESADOS!$AI19="",METALESPESADOS!$AJ19=""),"",AVERAGE(METALESPESADOS!$AG19,METALESPESADOS!$AH19,METALESPESADOS!$AI19,METALESPESADOS!$AJ19))</f>
        <v/>
      </c>
      <c r="BE19" s="23">
        <v>1</v>
      </c>
      <c r="BF19" s="31" t="str">
        <f>IF(OR(METALESPESADOS!$A19="",METALESPESADOS!$B19="",METALESPESADOS!$C19="",METALESPESADOS!$D19="",METALESPESADOS!$E19="",METALESPESADOS!$K19="",METALESPESADOS!$BD19="",METALESPESADOS!$BE19=""),"",((METALESPESADOS!$K19-METALESPESADOS!$BD19)*METALESPESADOS!$BE19*METALESPESADOS!$D19*(1/METALESPESADOS!$C19)*METALESPESADOS!$E19))</f>
        <v/>
      </c>
      <c r="BG19" s="17" t="str">
        <f>IF(AND(METALESPESADOS!$AK19="",METALESPESADOS!$AL19="",METALESPESADOS!$AM19="",METALESPESADOS!$AN19=""),"",AVERAGE(METALESPESADOS!$AK19,METALESPESADOS!$AL19,METALESPESADOS!$AM19,METALESPESADOS!$AN19))</f>
        <v/>
      </c>
      <c r="BH19" s="23">
        <v>10</v>
      </c>
      <c r="BI19" s="32" t="str">
        <f>IF(OR(METALESPESADOS!$A19="",METALESPESADOS!$B19="",METALESPESADOS!$C19="",METALESPESADOS!$D19="",METALESPESADOS!$E19="",METALESPESADOS!$L19="",METALESPESADOS!$BG19="",METALESPESADOS!$BH19=""),"",((METALESPESADOS!$L19-METALESPESADOS!$BG19)*METALESPESADOS!$BH19*METALESPESADOS!$D19*(1/METALESPESADOS!$C19)*METALESPESADOS!$E19*0.001))</f>
        <v/>
      </c>
    </row>
    <row r="20" spans="1:61" x14ac:dyDescent="0.3">
      <c r="A20" s="19" t="str">
        <f>IF(Pesada!A20="","",Pesada!A20)</f>
        <v/>
      </c>
      <c r="B20" s="16" t="str">
        <f>IF(Pesada!B20="","",Pesada!B20)</f>
        <v/>
      </c>
      <c r="C20" s="20" t="str">
        <f>IF(Pesada!C20="","",VALUE(Pesada!C20))</f>
        <v/>
      </c>
      <c r="D20" s="23">
        <v>100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17" t="str">
        <f>IF(AND(METALESPESADOS!$M20="",METALESPESADOS!$N20="",METALESPESADOS!$O20="",METALESPESADOS!$P20=""),"",AVERAGE(METALESPESADOS!$M20,METALESPESADOS!$N20,METALESPESADOS!$O20,METALESPESADOS!$P20))</f>
        <v/>
      </c>
      <c r="AP20" s="23">
        <v>1</v>
      </c>
      <c r="AQ20" s="31" t="str">
        <f>IF(OR(METALESPESADOS!$A20="",METALESPESADOS!$B20="",METALESPESADOS!$C20="",METALESPESADOS!$D20="",METALESPESADOS!$E20="",METALESPESADOS!$F20="",METALESPESADOS!$AO20="",METALESPESADOS!$AP20=""),"",((METALESPESADOS!$F20-METALESPESADOS!$AO20)*METALESPESADOS!$AP20*METALESPESADOS!$D20*(1/METALESPESADOS!$C20)*METALESPESADOS!$E20*0.001))</f>
        <v/>
      </c>
      <c r="AR20" s="17" t="str">
        <f>IF(AND(METALESPESADOS!$Q20="",METALESPESADOS!$R20="",METALESPESADOS!$S20="",METALESPESADOS!$T20=""),"",AVERAGE(METALESPESADOS!$Q20,METALESPESADOS!$R20,METALESPESADOS!$S20,METALESPESADOS!$T20))</f>
        <v/>
      </c>
      <c r="AS20" s="23">
        <v>1</v>
      </c>
      <c r="AT20" s="31" t="str">
        <f>IF(OR(METALESPESADOS!$A20="",METALESPESADOS!$B20="",METALESPESADOS!$C20="",METALESPESADOS!$D20="",METALESPESADOS!$E20="",METALESPESADOS!$G20="",METALESPESADOS!$AR20="",METALESPESADOS!$AS20=""),"",((METALESPESADOS!$G20-METALESPESADOS!$AR20)*METALESPESADOS!$AS20*METALESPESADOS!$D20*(1/METALESPESADOS!$C20)*METALESPESADOS!$E20))</f>
        <v/>
      </c>
      <c r="AU20" s="17" t="str">
        <f>IF(AND(METALESPESADOS!$U20="",METALESPESADOS!$V20="",METALESPESADOS!$W20="",METALESPESADOS!$X20=""),"",AVERAGE(METALESPESADOS!$U20,METALESPESADOS!$V20,METALESPESADOS!$W20,METALESPESADOS!$X20))</f>
        <v/>
      </c>
      <c r="AV20" s="23">
        <v>1</v>
      </c>
      <c r="AW20" s="31" t="str">
        <f>IF(OR(METALESPESADOS!$A20="",METALESPESADOS!$B20="",METALESPESADOS!$C20="",METALESPESADOS!$D20="",METALESPESADOS!$E20="",METALESPESADOS!$H20="",METALESPESADOS!$AU20="",METALESPESADOS!$AV20=""),"",((METALESPESADOS!$H20-METALESPESADOS!$AU20)*METALESPESADOS!$AV20*METALESPESADOS!$D20*(1/METALESPESADOS!$C20)*METALESPESADOS!$E20))</f>
        <v/>
      </c>
      <c r="AX20" s="17" t="str">
        <f>IF(AND(METALESPESADOS!$Y20="",METALESPESADOS!$Z20="",METALESPESADOS!$AA20="",METALESPESADOS!$AB20=""),"",AVERAGE(METALESPESADOS!$Y20,METALESPESADOS!$Z20,METALESPESADOS!$AA20,METALESPESADOS!$AB20))</f>
        <v/>
      </c>
      <c r="AY20" s="23">
        <v>1</v>
      </c>
      <c r="AZ20" s="31" t="str">
        <f>IF(OR(METALESPESADOS!$A20="",METALESPESADOS!$B20="",METALESPESADOS!$C20="",METALESPESADOS!$D20="",METALESPESADOS!$E20="",METALESPESADOS!$I20="",METALESPESADOS!$AX20="",METALESPESADOS!$AY20=""),"",((METALESPESADOS!$I20-METALESPESADOS!$AX20)*METALESPESADOS!$AY20*METALESPESADOS!$D20*(1/METALESPESADOS!$C20)*METALESPESADOS!$E20))</f>
        <v/>
      </c>
      <c r="BA20" s="17" t="str">
        <f>IF(AND(METALESPESADOS!$AC20="",METALESPESADOS!$AD20="",METALESPESADOS!$AE20="",METALESPESADOS!$AF20=""),"",AVERAGE(METALESPESADOS!$AC20,METALESPESADOS!$AD20,METALESPESADOS!$AE20,METALESPESADOS!$AF20))</f>
        <v/>
      </c>
      <c r="BB20" s="23">
        <v>1</v>
      </c>
      <c r="BC20" s="31" t="str">
        <f>IF(OR(METALESPESADOS!$A20="",METALESPESADOS!$B20="",METALESPESADOS!$C20="",METALESPESADOS!$D20="",METALESPESADOS!$E20="",METALESPESADOS!$J20="",METALESPESADOS!$BA20="",METALESPESADOS!$BB20=""),"",((METALESPESADOS!$J20-METALESPESADOS!$BA20)*METALESPESADOS!$BB20*METALESPESADOS!$D20*(1/METALESPESADOS!$C20)*METALESPESADOS!$E20))</f>
        <v/>
      </c>
      <c r="BD20" s="17" t="str">
        <f>IF(AND(METALESPESADOS!$AG20="",METALESPESADOS!$AH20="",METALESPESADOS!$AI20="",METALESPESADOS!$AJ20=""),"",AVERAGE(METALESPESADOS!$AG20,METALESPESADOS!$AH20,METALESPESADOS!$AI20,METALESPESADOS!$AJ20))</f>
        <v/>
      </c>
      <c r="BE20" s="23">
        <v>1</v>
      </c>
      <c r="BF20" s="31" t="str">
        <f>IF(OR(METALESPESADOS!$A20="",METALESPESADOS!$B20="",METALESPESADOS!$C20="",METALESPESADOS!$D20="",METALESPESADOS!$E20="",METALESPESADOS!$K20="",METALESPESADOS!$BD20="",METALESPESADOS!$BE20=""),"",((METALESPESADOS!$K20-METALESPESADOS!$BD20)*METALESPESADOS!$BE20*METALESPESADOS!$D20*(1/METALESPESADOS!$C20)*METALESPESADOS!$E20))</f>
        <v/>
      </c>
      <c r="BG20" s="17" t="str">
        <f>IF(AND(METALESPESADOS!$AK20="",METALESPESADOS!$AL20="",METALESPESADOS!$AM20="",METALESPESADOS!$AN20=""),"",AVERAGE(METALESPESADOS!$AK20,METALESPESADOS!$AL20,METALESPESADOS!$AM20,METALESPESADOS!$AN20))</f>
        <v/>
      </c>
      <c r="BH20" s="23">
        <v>10</v>
      </c>
      <c r="BI20" s="32" t="str">
        <f>IF(OR(METALESPESADOS!$A20="",METALESPESADOS!$B20="",METALESPESADOS!$C20="",METALESPESADOS!$D20="",METALESPESADOS!$E20="",METALESPESADOS!$L20="",METALESPESADOS!$BG20="",METALESPESADOS!$BH20=""),"",((METALESPESADOS!$L20-METALESPESADOS!$BG20)*METALESPESADOS!$BH20*METALESPESADOS!$D20*(1/METALESPESADOS!$C20)*METALESPESADOS!$E20*0.001))</f>
        <v/>
      </c>
    </row>
    <row r="21" spans="1:61" x14ac:dyDescent="0.3">
      <c r="A21" s="19" t="str">
        <f>IF(Pesada!A21="","",Pesada!A21)</f>
        <v/>
      </c>
      <c r="B21" s="16" t="str">
        <f>IF(Pesada!B21="","",Pesada!B21)</f>
        <v/>
      </c>
      <c r="C21" s="20" t="str">
        <f>IF(Pesada!C21="","",VALUE(Pesada!C21))</f>
        <v/>
      </c>
      <c r="D21" s="23">
        <v>100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17" t="str">
        <f>IF(AND(METALESPESADOS!$M21="",METALESPESADOS!$N21="",METALESPESADOS!$O21="",METALESPESADOS!$P21=""),"",AVERAGE(METALESPESADOS!$M21,METALESPESADOS!$N21,METALESPESADOS!$O21,METALESPESADOS!$P21))</f>
        <v/>
      </c>
      <c r="AP21" s="23">
        <v>1</v>
      </c>
      <c r="AQ21" s="31" t="str">
        <f>IF(OR(METALESPESADOS!$A21="",METALESPESADOS!$B21="",METALESPESADOS!$C21="",METALESPESADOS!$D21="",METALESPESADOS!$E21="",METALESPESADOS!$F21="",METALESPESADOS!$AO21="",METALESPESADOS!$AP21=""),"",((METALESPESADOS!$F21-METALESPESADOS!$AO21)*METALESPESADOS!$AP21*METALESPESADOS!$D21*(1/METALESPESADOS!$C21)*METALESPESADOS!$E21*0.001))</f>
        <v/>
      </c>
      <c r="AR21" s="17" t="str">
        <f>IF(AND(METALESPESADOS!$Q21="",METALESPESADOS!$R21="",METALESPESADOS!$S21="",METALESPESADOS!$T21=""),"",AVERAGE(METALESPESADOS!$Q21,METALESPESADOS!$R21,METALESPESADOS!$S21,METALESPESADOS!$T21))</f>
        <v/>
      </c>
      <c r="AS21" s="23">
        <v>1</v>
      </c>
      <c r="AT21" s="31" t="str">
        <f>IF(OR(METALESPESADOS!$A21="",METALESPESADOS!$B21="",METALESPESADOS!$C21="",METALESPESADOS!$D21="",METALESPESADOS!$E21="",METALESPESADOS!$G21="",METALESPESADOS!$AR21="",METALESPESADOS!$AS21=""),"",((METALESPESADOS!$G21-METALESPESADOS!$AR21)*METALESPESADOS!$AS21*METALESPESADOS!$D21*(1/METALESPESADOS!$C21)*METALESPESADOS!$E21))</f>
        <v/>
      </c>
      <c r="AU21" s="17" t="str">
        <f>IF(AND(METALESPESADOS!$U21="",METALESPESADOS!$V21="",METALESPESADOS!$W21="",METALESPESADOS!$X21=""),"",AVERAGE(METALESPESADOS!$U21,METALESPESADOS!$V21,METALESPESADOS!$W21,METALESPESADOS!$X21))</f>
        <v/>
      </c>
      <c r="AV21" s="23">
        <v>1</v>
      </c>
      <c r="AW21" s="31" t="str">
        <f>IF(OR(METALESPESADOS!$A21="",METALESPESADOS!$B21="",METALESPESADOS!$C21="",METALESPESADOS!$D21="",METALESPESADOS!$E21="",METALESPESADOS!$H21="",METALESPESADOS!$AU21="",METALESPESADOS!$AV21=""),"",((METALESPESADOS!$H21-METALESPESADOS!$AU21)*METALESPESADOS!$AV21*METALESPESADOS!$D21*(1/METALESPESADOS!$C21)*METALESPESADOS!$E21))</f>
        <v/>
      </c>
      <c r="AX21" s="17" t="str">
        <f>IF(AND(METALESPESADOS!$Y21="",METALESPESADOS!$Z21="",METALESPESADOS!$AA21="",METALESPESADOS!$AB21=""),"",AVERAGE(METALESPESADOS!$Y21,METALESPESADOS!$Z21,METALESPESADOS!$AA21,METALESPESADOS!$AB21))</f>
        <v/>
      </c>
      <c r="AY21" s="23">
        <v>1</v>
      </c>
      <c r="AZ21" s="31" t="str">
        <f>IF(OR(METALESPESADOS!$A21="",METALESPESADOS!$B21="",METALESPESADOS!$C21="",METALESPESADOS!$D21="",METALESPESADOS!$E21="",METALESPESADOS!$I21="",METALESPESADOS!$AX21="",METALESPESADOS!$AY21=""),"",((METALESPESADOS!$I21-METALESPESADOS!$AX21)*METALESPESADOS!$AY21*METALESPESADOS!$D21*(1/METALESPESADOS!$C21)*METALESPESADOS!$E21))</f>
        <v/>
      </c>
      <c r="BA21" s="17" t="str">
        <f>IF(AND(METALESPESADOS!$AC21="",METALESPESADOS!$AD21="",METALESPESADOS!$AE21="",METALESPESADOS!$AF21=""),"",AVERAGE(METALESPESADOS!$AC21,METALESPESADOS!$AD21,METALESPESADOS!$AE21,METALESPESADOS!$AF21))</f>
        <v/>
      </c>
      <c r="BB21" s="23">
        <v>1</v>
      </c>
      <c r="BC21" s="31" t="str">
        <f>IF(OR(METALESPESADOS!$A21="",METALESPESADOS!$B21="",METALESPESADOS!$C21="",METALESPESADOS!$D21="",METALESPESADOS!$E21="",METALESPESADOS!$J21="",METALESPESADOS!$BA21="",METALESPESADOS!$BB21=""),"",((METALESPESADOS!$J21-METALESPESADOS!$BA21)*METALESPESADOS!$BB21*METALESPESADOS!$D21*(1/METALESPESADOS!$C21)*METALESPESADOS!$E21))</f>
        <v/>
      </c>
      <c r="BD21" s="17" t="str">
        <f>IF(AND(METALESPESADOS!$AG21="",METALESPESADOS!$AH21="",METALESPESADOS!$AI21="",METALESPESADOS!$AJ21=""),"",AVERAGE(METALESPESADOS!$AG21,METALESPESADOS!$AH21,METALESPESADOS!$AI21,METALESPESADOS!$AJ21))</f>
        <v/>
      </c>
      <c r="BE21" s="23">
        <v>1</v>
      </c>
      <c r="BF21" s="31" t="str">
        <f>IF(OR(METALESPESADOS!$A21="",METALESPESADOS!$B21="",METALESPESADOS!$C21="",METALESPESADOS!$D21="",METALESPESADOS!$E21="",METALESPESADOS!$K21="",METALESPESADOS!$BD21="",METALESPESADOS!$BE21=""),"",((METALESPESADOS!$K21-METALESPESADOS!$BD21)*METALESPESADOS!$BE21*METALESPESADOS!$D21*(1/METALESPESADOS!$C21)*METALESPESADOS!$E21))</f>
        <v/>
      </c>
      <c r="BG21" s="17" t="str">
        <f>IF(AND(METALESPESADOS!$AK21="",METALESPESADOS!$AL21="",METALESPESADOS!$AM21="",METALESPESADOS!$AN21=""),"",AVERAGE(METALESPESADOS!$AK21,METALESPESADOS!$AL21,METALESPESADOS!$AM21,METALESPESADOS!$AN21))</f>
        <v/>
      </c>
      <c r="BH21" s="23">
        <v>10</v>
      </c>
      <c r="BI21" s="32" t="str">
        <f>IF(OR(METALESPESADOS!$A21="",METALESPESADOS!$B21="",METALESPESADOS!$C21="",METALESPESADOS!$D21="",METALESPESADOS!$E21="",METALESPESADOS!$L21="",METALESPESADOS!$BG21="",METALESPESADOS!$BH21=""),"",((METALESPESADOS!$L21-METALESPESADOS!$BG21)*METALESPESADOS!$BH21*METALESPESADOS!$D21*(1/METALESPESADOS!$C21)*METALESPESADOS!$E21*0.001))</f>
        <v/>
      </c>
    </row>
    <row r="22" spans="1:61" x14ac:dyDescent="0.3">
      <c r="A22" s="19" t="str">
        <f>IF(Pesada!A22="","",Pesada!A22)</f>
        <v/>
      </c>
      <c r="B22" s="16" t="str">
        <f>IF(Pesada!B22="","",Pesada!B22)</f>
        <v/>
      </c>
      <c r="C22" s="20" t="str">
        <f>IF(Pesada!C22="","",VALUE(Pesada!C22))</f>
        <v/>
      </c>
      <c r="D22" s="23">
        <v>100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17" t="str">
        <f>IF(AND(METALESPESADOS!$M22="",METALESPESADOS!$N22="",METALESPESADOS!$O22="",METALESPESADOS!$P22=""),"",AVERAGE(METALESPESADOS!$M22,METALESPESADOS!$N22,METALESPESADOS!$O22,METALESPESADOS!$P22))</f>
        <v/>
      </c>
      <c r="AP22" s="23">
        <v>1</v>
      </c>
      <c r="AQ22" s="31" t="str">
        <f>IF(OR(METALESPESADOS!$A22="",METALESPESADOS!$B22="",METALESPESADOS!$C22="",METALESPESADOS!$D22="",METALESPESADOS!$E22="",METALESPESADOS!$F22="",METALESPESADOS!$AO22="",METALESPESADOS!$AP22=""),"",((METALESPESADOS!$F22-METALESPESADOS!$AO22)*METALESPESADOS!$AP22*METALESPESADOS!$D22*(1/METALESPESADOS!$C22)*METALESPESADOS!$E22*0.001))</f>
        <v/>
      </c>
      <c r="AR22" s="17" t="str">
        <f>IF(AND(METALESPESADOS!$Q22="",METALESPESADOS!$R22="",METALESPESADOS!$S22="",METALESPESADOS!$T22=""),"",AVERAGE(METALESPESADOS!$Q22,METALESPESADOS!$R22,METALESPESADOS!$S22,METALESPESADOS!$T22))</f>
        <v/>
      </c>
      <c r="AS22" s="23">
        <v>1</v>
      </c>
      <c r="AT22" s="31" t="str">
        <f>IF(OR(METALESPESADOS!$A22="",METALESPESADOS!$B22="",METALESPESADOS!$C22="",METALESPESADOS!$D22="",METALESPESADOS!$E22="",METALESPESADOS!$G22="",METALESPESADOS!$AR22="",METALESPESADOS!$AS22=""),"",((METALESPESADOS!$G22-METALESPESADOS!$AR22)*METALESPESADOS!$AS22*METALESPESADOS!$D22*(1/METALESPESADOS!$C22)*METALESPESADOS!$E22))</f>
        <v/>
      </c>
      <c r="AU22" s="17" t="str">
        <f>IF(AND(METALESPESADOS!$U22="",METALESPESADOS!$V22="",METALESPESADOS!$W22="",METALESPESADOS!$X22=""),"",AVERAGE(METALESPESADOS!$U22,METALESPESADOS!$V22,METALESPESADOS!$W22,METALESPESADOS!$X22))</f>
        <v/>
      </c>
      <c r="AV22" s="23">
        <v>1</v>
      </c>
      <c r="AW22" s="31" t="str">
        <f>IF(OR(METALESPESADOS!$A22="",METALESPESADOS!$B22="",METALESPESADOS!$C22="",METALESPESADOS!$D22="",METALESPESADOS!$E22="",METALESPESADOS!$H22="",METALESPESADOS!$AU22="",METALESPESADOS!$AV22=""),"",((METALESPESADOS!$H22-METALESPESADOS!$AU22)*METALESPESADOS!$AV22*METALESPESADOS!$D22*(1/METALESPESADOS!$C22)*METALESPESADOS!$E22))</f>
        <v/>
      </c>
      <c r="AX22" s="17" t="str">
        <f>IF(AND(METALESPESADOS!$Y22="",METALESPESADOS!$Z22="",METALESPESADOS!$AA22="",METALESPESADOS!$AB22=""),"",AVERAGE(METALESPESADOS!$Y22,METALESPESADOS!$Z22,METALESPESADOS!$AA22,METALESPESADOS!$AB22))</f>
        <v/>
      </c>
      <c r="AY22" s="23">
        <v>1</v>
      </c>
      <c r="AZ22" s="31" t="str">
        <f>IF(OR(METALESPESADOS!$A22="",METALESPESADOS!$B22="",METALESPESADOS!$C22="",METALESPESADOS!$D22="",METALESPESADOS!$E22="",METALESPESADOS!$I22="",METALESPESADOS!$AX22="",METALESPESADOS!$AY22=""),"",((METALESPESADOS!$I22-METALESPESADOS!$AX22)*METALESPESADOS!$AY22*METALESPESADOS!$D22*(1/METALESPESADOS!$C22)*METALESPESADOS!$E22))</f>
        <v/>
      </c>
      <c r="BA22" s="17" t="str">
        <f>IF(AND(METALESPESADOS!$AC22="",METALESPESADOS!$AD22="",METALESPESADOS!$AE22="",METALESPESADOS!$AF22=""),"",AVERAGE(METALESPESADOS!$AC22,METALESPESADOS!$AD22,METALESPESADOS!$AE22,METALESPESADOS!$AF22))</f>
        <v/>
      </c>
      <c r="BB22" s="23">
        <v>1</v>
      </c>
      <c r="BC22" s="31" t="str">
        <f>IF(OR(METALESPESADOS!$A22="",METALESPESADOS!$B22="",METALESPESADOS!$C22="",METALESPESADOS!$D22="",METALESPESADOS!$E22="",METALESPESADOS!$J22="",METALESPESADOS!$BA22="",METALESPESADOS!$BB22=""),"",((METALESPESADOS!$J22-METALESPESADOS!$BA22)*METALESPESADOS!$BB22*METALESPESADOS!$D22*(1/METALESPESADOS!$C22)*METALESPESADOS!$E22))</f>
        <v/>
      </c>
      <c r="BD22" s="17" t="str">
        <f>IF(AND(METALESPESADOS!$AG22="",METALESPESADOS!$AH22="",METALESPESADOS!$AI22="",METALESPESADOS!$AJ22=""),"",AVERAGE(METALESPESADOS!$AG22,METALESPESADOS!$AH22,METALESPESADOS!$AI22,METALESPESADOS!$AJ22))</f>
        <v/>
      </c>
      <c r="BE22" s="23">
        <v>1</v>
      </c>
      <c r="BF22" s="31" t="str">
        <f>IF(OR(METALESPESADOS!$A22="",METALESPESADOS!$B22="",METALESPESADOS!$C22="",METALESPESADOS!$D22="",METALESPESADOS!$E22="",METALESPESADOS!$K22="",METALESPESADOS!$BD22="",METALESPESADOS!$BE22=""),"",((METALESPESADOS!$K22-METALESPESADOS!$BD22)*METALESPESADOS!$BE22*METALESPESADOS!$D22*(1/METALESPESADOS!$C22)*METALESPESADOS!$E22))</f>
        <v/>
      </c>
      <c r="BG22" s="17" t="str">
        <f>IF(AND(METALESPESADOS!$AK22="",METALESPESADOS!$AL22="",METALESPESADOS!$AM22="",METALESPESADOS!$AN22=""),"",AVERAGE(METALESPESADOS!$AK22,METALESPESADOS!$AL22,METALESPESADOS!$AM22,METALESPESADOS!$AN22))</f>
        <v/>
      </c>
      <c r="BH22" s="23">
        <v>10</v>
      </c>
      <c r="BI22" s="32" t="str">
        <f>IF(OR(METALESPESADOS!$A22="",METALESPESADOS!$B22="",METALESPESADOS!$C22="",METALESPESADOS!$D22="",METALESPESADOS!$E22="",METALESPESADOS!$L22="",METALESPESADOS!$BG22="",METALESPESADOS!$BH22=""),"",((METALESPESADOS!$L22-METALESPESADOS!$BG22)*METALESPESADOS!$BH22*METALESPESADOS!$D22*(1/METALESPESADOS!$C22)*METALESPESADOS!$E22*0.001))</f>
        <v/>
      </c>
    </row>
    <row r="23" spans="1:61" x14ac:dyDescent="0.3">
      <c r="A23" s="19" t="str">
        <f>IF(Pesada!A23="","",Pesada!A23)</f>
        <v/>
      </c>
      <c r="B23" s="16" t="str">
        <f>IF(Pesada!B23="","",Pesada!B23)</f>
        <v/>
      </c>
      <c r="C23" s="20" t="str">
        <f>IF(Pesada!C23="","",VALUE(Pesada!C23))</f>
        <v/>
      </c>
      <c r="D23" s="23">
        <v>100</v>
      </c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17" t="str">
        <f>IF(AND(METALESPESADOS!$M23="",METALESPESADOS!$N23="",METALESPESADOS!$O23="",METALESPESADOS!$P23=""),"",AVERAGE(METALESPESADOS!$M23,METALESPESADOS!$N23,METALESPESADOS!$O23,METALESPESADOS!$P23))</f>
        <v/>
      </c>
      <c r="AP23" s="23">
        <v>1</v>
      </c>
      <c r="AQ23" s="31" t="str">
        <f>IF(OR(METALESPESADOS!$A23="",METALESPESADOS!$B23="",METALESPESADOS!$C23="",METALESPESADOS!$D23="",METALESPESADOS!$E23="",METALESPESADOS!$F23="",METALESPESADOS!$AO23="",METALESPESADOS!$AP23=""),"",((METALESPESADOS!$F23-METALESPESADOS!$AO23)*METALESPESADOS!$AP23*METALESPESADOS!$D23*(1/METALESPESADOS!$C23)*METALESPESADOS!$E23*0.001))</f>
        <v/>
      </c>
      <c r="AR23" s="17" t="str">
        <f>IF(AND(METALESPESADOS!$Q23="",METALESPESADOS!$R23="",METALESPESADOS!$S23="",METALESPESADOS!$T23=""),"",AVERAGE(METALESPESADOS!$Q23,METALESPESADOS!$R23,METALESPESADOS!$S23,METALESPESADOS!$T23))</f>
        <v/>
      </c>
      <c r="AS23" s="23">
        <v>1</v>
      </c>
      <c r="AT23" s="31" t="str">
        <f>IF(OR(METALESPESADOS!$A23="",METALESPESADOS!$B23="",METALESPESADOS!$C23="",METALESPESADOS!$D23="",METALESPESADOS!$E23="",METALESPESADOS!$G23="",METALESPESADOS!$AR23="",METALESPESADOS!$AS23=""),"",((METALESPESADOS!$G23-METALESPESADOS!$AR23)*METALESPESADOS!$AS23*METALESPESADOS!$D23*(1/METALESPESADOS!$C23)*METALESPESADOS!$E23))</f>
        <v/>
      </c>
      <c r="AU23" s="17" t="str">
        <f>IF(AND(METALESPESADOS!$U23="",METALESPESADOS!$V23="",METALESPESADOS!$W23="",METALESPESADOS!$X23=""),"",AVERAGE(METALESPESADOS!$U23,METALESPESADOS!$V23,METALESPESADOS!$W23,METALESPESADOS!$X23))</f>
        <v/>
      </c>
      <c r="AV23" s="23">
        <v>1</v>
      </c>
      <c r="AW23" s="31" t="str">
        <f>IF(OR(METALESPESADOS!$A23="",METALESPESADOS!$B23="",METALESPESADOS!$C23="",METALESPESADOS!$D23="",METALESPESADOS!$E23="",METALESPESADOS!$H23="",METALESPESADOS!$AU23="",METALESPESADOS!$AV23=""),"",((METALESPESADOS!$H23-METALESPESADOS!$AU23)*METALESPESADOS!$AV23*METALESPESADOS!$D23*(1/METALESPESADOS!$C23)*METALESPESADOS!$E23))</f>
        <v/>
      </c>
      <c r="AX23" s="17" t="str">
        <f>IF(AND(METALESPESADOS!$Y23="",METALESPESADOS!$Z23="",METALESPESADOS!$AA23="",METALESPESADOS!$AB23=""),"",AVERAGE(METALESPESADOS!$Y23,METALESPESADOS!$Z23,METALESPESADOS!$AA23,METALESPESADOS!$AB23))</f>
        <v/>
      </c>
      <c r="AY23" s="23">
        <v>1</v>
      </c>
      <c r="AZ23" s="31" t="str">
        <f>IF(OR(METALESPESADOS!$A23="",METALESPESADOS!$B23="",METALESPESADOS!$C23="",METALESPESADOS!$D23="",METALESPESADOS!$E23="",METALESPESADOS!$I23="",METALESPESADOS!$AX23="",METALESPESADOS!$AY23=""),"",((METALESPESADOS!$I23-METALESPESADOS!$AX23)*METALESPESADOS!$AY23*METALESPESADOS!$D23*(1/METALESPESADOS!$C23)*METALESPESADOS!$E23))</f>
        <v/>
      </c>
      <c r="BA23" s="17" t="str">
        <f>IF(AND(METALESPESADOS!$AC23="",METALESPESADOS!$AD23="",METALESPESADOS!$AE23="",METALESPESADOS!$AF23=""),"",AVERAGE(METALESPESADOS!$AC23,METALESPESADOS!$AD23,METALESPESADOS!$AE23,METALESPESADOS!$AF23))</f>
        <v/>
      </c>
      <c r="BB23" s="23">
        <v>1</v>
      </c>
      <c r="BC23" s="31" t="str">
        <f>IF(OR(METALESPESADOS!$A23="",METALESPESADOS!$B23="",METALESPESADOS!$C23="",METALESPESADOS!$D23="",METALESPESADOS!$E23="",METALESPESADOS!$J23="",METALESPESADOS!$BA23="",METALESPESADOS!$BB23=""),"",((METALESPESADOS!$J23-METALESPESADOS!$BA23)*METALESPESADOS!$BB23*METALESPESADOS!$D23*(1/METALESPESADOS!$C23)*METALESPESADOS!$E23))</f>
        <v/>
      </c>
      <c r="BD23" s="17" t="str">
        <f>IF(AND(METALESPESADOS!$AG23="",METALESPESADOS!$AH23="",METALESPESADOS!$AI23="",METALESPESADOS!$AJ23=""),"",AVERAGE(METALESPESADOS!$AG23,METALESPESADOS!$AH23,METALESPESADOS!$AI23,METALESPESADOS!$AJ23))</f>
        <v/>
      </c>
      <c r="BE23" s="23">
        <v>1</v>
      </c>
      <c r="BF23" s="31" t="str">
        <f>IF(OR(METALESPESADOS!$A23="",METALESPESADOS!$B23="",METALESPESADOS!$C23="",METALESPESADOS!$D23="",METALESPESADOS!$E23="",METALESPESADOS!$K23="",METALESPESADOS!$BD23="",METALESPESADOS!$BE23=""),"",((METALESPESADOS!$K23-METALESPESADOS!$BD23)*METALESPESADOS!$BE23*METALESPESADOS!$D23*(1/METALESPESADOS!$C23)*METALESPESADOS!$E23))</f>
        <v/>
      </c>
      <c r="BG23" s="17" t="str">
        <f>IF(AND(METALESPESADOS!$AK23="",METALESPESADOS!$AL23="",METALESPESADOS!$AM23="",METALESPESADOS!$AN23=""),"",AVERAGE(METALESPESADOS!$AK23,METALESPESADOS!$AL23,METALESPESADOS!$AM23,METALESPESADOS!$AN23))</f>
        <v/>
      </c>
      <c r="BH23" s="23">
        <v>10</v>
      </c>
      <c r="BI23" s="32" t="str">
        <f>IF(OR(METALESPESADOS!$A23="",METALESPESADOS!$B23="",METALESPESADOS!$C23="",METALESPESADOS!$D23="",METALESPESADOS!$E23="",METALESPESADOS!$L23="",METALESPESADOS!$BG23="",METALESPESADOS!$BH23=""),"",((METALESPESADOS!$L23-METALESPESADOS!$BG23)*METALESPESADOS!$BH23*METALESPESADOS!$D23*(1/METALESPESADOS!$C23)*METALESPESADOS!$E23*0.001))</f>
        <v/>
      </c>
    </row>
    <row r="24" spans="1:61" x14ac:dyDescent="0.3">
      <c r="A24" s="19" t="str">
        <f>IF(Pesada!A24="","",Pesada!A24)</f>
        <v/>
      </c>
      <c r="B24" s="16" t="str">
        <f>IF(Pesada!B24="","",Pesada!B24)</f>
        <v/>
      </c>
      <c r="C24" s="20" t="str">
        <f>IF(Pesada!C24="","",VALUE(Pesada!C24))</f>
        <v/>
      </c>
      <c r="D24" s="23">
        <v>100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17" t="str">
        <f>IF(AND(METALESPESADOS!$M24="",METALESPESADOS!$N24="",METALESPESADOS!$O24="",METALESPESADOS!$P24=""),"",AVERAGE(METALESPESADOS!$M24,METALESPESADOS!$N24,METALESPESADOS!$O24,METALESPESADOS!$P24))</f>
        <v/>
      </c>
      <c r="AP24" s="23">
        <v>1</v>
      </c>
      <c r="AQ24" s="31" t="str">
        <f>IF(OR(METALESPESADOS!$A24="",METALESPESADOS!$B24="",METALESPESADOS!$C24="",METALESPESADOS!$D24="",METALESPESADOS!$E24="",METALESPESADOS!$F24="",METALESPESADOS!$AO24="",METALESPESADOS!$AP24=""),"",((METALESPESADOS!$F24-METALESPESADOS!$AO24)*METALESPESADOS!$AP24*METALESPESADOS!$D24*(1/METALESPESADOS!$C24)*METALESPESADOS!$E24*0.001))</f>
        <v/>
      </c>
      <c r="AR24" s="17" t="str">
        <f>IF(AND(METALESPESADOS!$Q24="",METALESPESADOS!$R24="",METALESPESADOS!$S24="",METALESPESADOS!$T24=""),"",AVERAGE(METALESPESADOS!$Q24,METALESPESADOS!$R24,METALESPESADOS!$S24,METALESPESADOS!$T24))</f>
        <v/>
      </c>
      <c r="AS24" s="23">
        <v>1</v>
      </c>
      <c r="AT24" s="31" t="str">
        <f>IF(OR(METALESPESADOS!$A24="",METALESPESADOS!$B24="",METALESPESADOS!$C24="",METALESPESADOS!$D24="",METALESPESADOS!$E24="",METALESPESADOS!$G24="",METALESPESADOS!$AR24="",METALESPESADOS!$AS24=""),"",((METALESPESADOS!$G24-METALESPESADOS!$AR24)*METALESPESADOS!$AS24*METALESPESADOS!$D24*(1/METALESPESADOS!$C24)*METALESPESADOS!$E24))</f>
        <v/>
      </c>
      <c r="AU24" s="17" t="str">
        <f>IF(AND(METALESPESADOS!$U24="",METALESPESADOS!$V24="",METALESPESADOS!$W24="",METALESPESADOS!$X24=""),"",AVERAGE(METALESPESADOS!$U24,METALESPESADOS!$V24,METALESPESADOS!$W24,METALESPESADOS!$X24))</f>
        <v/>
      </c>
      <c r="AV24" s="23">
        <v>1</v>
      </c>
      <c r="AW24" s="31" t="str">
        <f>IF(OR(METALESPESADOS!$A24="",METALESPESADOS!$B24="",METALESPESADOS!$C24="",METALESPESADOS!$D24="",METALESPESADOS!$E24="",METALESPESADOS!$H24="",METALESPESADOS!$AU24="",METALESPESADOS!$AV24=""),"",((METALESPESADOS!$H24-METALESPESADOS!$AU24)*METALESPESADOS!$AV24*METALESPESADOS!$D24*(1/METALESPESADOS!$C24)*METALESPESADOS!$E24))</f>
        <v/>
      </c>
      <c r="AX24" s="17" t="str">
        <f>IF(AND(METALESPESADOS!$Y24="",METALESPESADOS!$Z24="",METALESPESADOS!$AA24="",METALESPESADOS!$AB24=""),"",AVERAGE(METALESPESADOS!$Y24,METALESPESADOS!$Z24,METALESPESADOS!$AA24,METALESPESADOS!$AB24))</f>
        <v/>
      </c>
      <c r="AY24" s="23">
        <v>1</v>
      </c>
      <c r="AZ24" s="31" t="str">
        <f>IF(OR(METALESPESADOS!$A24="",METALESPESADOS!$B24="",METALESPESADOS!$C24="",METALESPESADOS!$D24="",METALESPESADOS!$E24="",METALESPESADOS!$I24="",METALESPESADOS!$AX24="",METALESPESADOS!$AY24=""),"",((METALESPESADOS!$I24-METALESPESADOS!$AX24)*METALESPESADOS!$AY24*METALESPESADOS!$D24*(1/METALESPESADOS!$C24)*METALESPESADOS!$E24))</f>
        <v/>
      </c>
      <c r="BA24" s="17" t="str">
        <f>IF(AND(METALESPESADOS!$AC24="",METALESPESADOS!$AD24="",METALESPESADOS!$AE24="",METALESPESADOS!$AF24=""),"",AVERAGE(METALESPESADOS!$AC24,METALESPESADOS!$AD24,METALESPESADOS!$AE24,METALESPESADOS!$AF24))</f>
        <v/>
      </c>
      <c r="BB24" s="23">
        <v>1</v>
      </c>
      <c r="BC24" s="31" t="str">
        <f>IF(OR(METALESPESADOS!$A24="",METALESPESADOS!$B24="",METALESPESADOS!$C24="",METALESPESADOS!$D24="",METALESPESADOS!$E24="",METALESPESADOS!$J24="",METALESPESADOS!$BA24="",METALESPESADOS!$BB24=""),"",((METALESPESADOS!$J24-METALESPESADOS!$BA24)*METALESPESADOS!$BB24*METALESPESADOS!$D24*(1/METALESPESADOS!$C24)*METALESPESADOS!$E24))</f>
        <v/>
      </c>
      <c r="BD24" s="17" t="str">
        <f>IF(AND(METALESPESADOS!$AG24="",METALESPESADOS!$AH24="",METALESPESADOS!$AI24="",METALESPESADOS!$AJ24=""),"",AVERAGE(METALESPESADOS!$AG24,METALESPESADOS!$AH24,METALESPESADOS!$AI24,METALESPESADOS!$AJ24))</f>
        <v/>
      </c>
      <c r="BE24" s="23">
        <v>1</v>
      </c>
      <c r="BF24" s="31" t="str">
        <f>IF(OR(METALESPESADOS!$A24="",METALESPESADOS!$B24="",METALESPESADOS!$C24="",METALESPESADOS!$D24="",METALESPESADOS!$E24="",METALESPESADOS!$K24="",METALESPESADOS!$BD24="",METALESPESADOS!$BE24=""),"",((METALESPESADOS!$K24-METALESPESADOS!$BD24)*METALESPESADOS!$BE24*METALESPESADOS!$D24*(1/METALESPESADOS!$C24)*METALESPESADOS!$E24))</f>
        <v/>
      </c>
      <c r="BG24" s="17" t="str">
        <f>IF(AND(METALESPESADOS!$AK24="",METALESPESADOS!$AL24="",METALESPESADOS!$AM24="",METALESPESADOS!$AN24=""),"",AVERAGE(METALESPESADOS!$AK24,METALESPESADOS!$AL24,METALESPESADOS!$AM24,METALESPESADOS!$AN24))</f>
        <v/>
      </c>
      <c r="BH24" s="23">
        <v>10</v>
      </c>
      <c r="BI24" s="32" t="str">
        <f>IF(OR(METALESPESADOS!$A24="",METALESPESADOS!$B24="",METALESPESADOS!$C24="",METALESPESADOS!$D24="",METALESPESADOS!$E24="",METALESPESADOS!$L24="",METALESPESADOS!$BG24="",METALESPESADOS!$BH24=""),"",((METALESPESADOS!$L24-METALESPESADOS!$BG24)*METALESPESADOS!$BH24*METALESPESADOS!$D24*(1/METALESPESADOS!$C24)*METALESPESADOS!$E24*0.001))</f>
        <v/>
      </c>
    </row>
    <row r="25" spans="1:61" x14ac:dyDescent="0.3">
      <c r="A25" s="19" t="str">
        <f>IF(Pesada!A25="","",Pesada!A25)</f>
        <v/>
      </c>
      <c r="B25" s="16" t="str">
        <f>IF(Pesada!B25="","",Pesada!B25)</f>
        <v/>
      </c>
      <c r="C25" s="20" t="str">
        <f>IF(Pesada!C25="","",VALUE(Pesada!C25))</f>
        <v/>
      </c>
      <c r="D25" s="23">
        <v>100</v>
      </c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17" t="str">
        <f>IF(AND(METALESPESADOS!$M25="",METALESPESADOS!$N25="",METALESPESADOS!$O25="",METALESPESADOS!$P25=""),"",AVERAGE(METALESPESADOS!$M25,METALESPESADOS!$N25,METALESPESADOS!$O25,METALESPESADOS!$P25))</f>
        <v/>
      </c>
      <c r="AP25" s="23">
        <v>1</v>
      </c>
      <c r="AQ25" s="31" t="str">
        <f>IF(OR(METALESPESADOS!$A25="",METALESPESADOS!$B25="",METALESPESADOS!$C25="",METALESPESADOS!$D25="",METALESPESADOS!$E25="",METALESPESADOS!$F25="",METALESPESADOS!$AO25="",METALESPESADOS!$AP25=""),"",((METALESPESADOS!$F25-METALESPESADOS!$AO25)*METALESPESADOS!$AP25*METALESPESADOS!$D25*(1/METALESPESADOS!$C25)*METALESPESADOS!$E25*0.001))</f>
        <v/>
      </c>
      <c r="AR25" s="17" t="str">
        <f>IF(AND(METALESPESADOS!$Q25="",METALESPESADOS!$R25="",METALESPESADOS!$S25="",METALESPESADOS!$T25=""),"",AVERAGE(METALESPESADOS!$Q25,METALESPESADOS!$R25,METALESPESADOS!$S25,METALESPESADOS!$T25))</f>
        <v/>
      </c>
      <c r="AS25" s="23">
        <v>1</v>
      </c>
      <c r="AT25" s="31" t="str">
        <f>IF(OR(METALESPESADOS!$A25="",METALESPESADOS!$B25="",METALESPESADOS!$C25="",METALESPESADOS!$D25="",METALESPESADOS!$E25="",METALESPESADOS!$G25="",METALESPESADOS!$AR25="",METALESPESADOS!$AS25=""),"",((METALESPESADOS!$G25-METALESPESADOS!$AR25)*METALESPESADOS!$AS25*METALESPESADOS!$D25*(1/METALESPESADOS!$C25)*METALESPESADOS!$E25))</f>
        <v/>
      </c>
      <c r="AU25" s="17" t="str">
        <f>IF(AND(METALESPESADOS!$U25="",METALESPESADOS!$V25="",METALESPESADOS!$W25="",METALESPESADOS!$X25=""),"",AVERAGE(METALESPESADOS!$U25,METALESPESADOS!$V25,METALESPESADOS!$W25,METALESPESADOS!$X25))</f>
        <v/>
      </c>
      <c r="AV25" s="23">
        <v>1</v>
      </c>
      <c r="AW25" s="31" t="str">
        <f>IF(OR(METALESPESADOS!$A25="",METALESPESADOS!$B25="",METALESPESADOS!$C25="",METALESPESADOS!$D25="",METALESPESADOS!$E25="",METALESPESADOS!$H25="",METALESPESADOS!$AU25="",METALESPESADOS!$AV25=""),"",((METALESPESADOS!$H25-METALESPESADOS!$AU25)*METALESPESADOS!$AV25*METALESPESADOS!$D25*(1/METALESPESADOS!$C25)*METALESPESADOS!$E25))</f>
        <v/>
      </c>
      <c r="AX25" s="17" t="str">
        <f>IF(AND(METALESPESADOS!$Y25="",METALESPESADOS!$Z25="",METALESPESADOS!$AA25="",METALESPESADOS!$AB25=""),"",AVERAGE(METALESPESADOS!$Y25,METALESPESADOS!$Z25,METALESPESADOS!$AA25,METALESPESADOS!$AB25))</f>
        <v/>
      </c>
      <c r="AY25" s="23">
        <v>1</v>
      </c>
      <c r="AZ25" s="31" t="str">
        <f>IF(OR(METALESPESADOS!$A25="",METALESPESADOS!$B25="",METALESPESADOS!$C25="",METALESPESADOS!$D25="",METALESPESADOS!$E25="",METALESPESADOS!$I25="",METALESPESADOS!$AX25="",METALESPESADOS!$AY25=""),"",((METALESPESADOS!$I25-METALESPESADOS!$AX25)*METALESPESADOS!$AY25*METALESPESADOS!$D25*(1/METALESPESADOS!$C25)*METALESPESADOS!$E25))</f>
        <v/>
      </c>
      <c r="BA25" s="17" t="str">
        <f>IF(AND(METALESPESADOS!$AC25="",METALESPESADOS!$AD25="",METALESPESADOS!$AE25="",METALESPESADOS!$AF25=""),"",AVERAGE(METALESPESADOS!$AC25,METALESPESADOS!$AD25,METALESPESADOS!$AE25,METALESPESADOS!$AF25))</f>
        <v/>
      </c>
      <c r="BB25" s="23">
        <v>1</v>
      </c>
      <c r="BC25" s="31" t="str">
        <f>IF(OR(METALESPESADOS!$A25="",METALESPESADOS!$B25="",METALESPESADOS!$C25="",METALESPESADOS!$D25="",METALESPESADOS!$E25="",METALESPESADOS!$J25="",METALESPESADOS!$BA25="",METALESPESADOS!$BB25=""),"",((METALESPESADOS!$J25-METALESPESADOS!$BA25)*METALESPESADOS!$BB25*METALESPESADOS!$D25*(1/METALESPESADOS!$C25)*METALESPESADOS!$E25))</f>
        <v/>
      </c>
      <c r="BD25" s="17" t="str">
        <f>IF(AND(METALESPESADOS!$AG25="",METALESPESADOS!$AH25="",METALESPESADOS!$AI25="",METALESPESADOS!$AJ25=""),"",AVERAGE(METALESPESADOS!$AG25,METALESPESADOS!$AH25,METALESPESADOS!$AI25,METALESPESADOS!$AJ25))</f>
        <v/>
      </c>
      <c r="BE25" s="23">
        <v>1</v>
      </c>
      <c r="BF25" s="31" t="str">
        <f>IF(OR(METALESPESADOS!$A25="",METALESPESADOS!$B25="",METALESPESADOS!$C25="",METALESPESADOS!$D25="",METALESPESADOS!$E25="",METALESPESADOS!$K25="",METALESPESADOS!$BD25="",METALESPESADOS!$BE25=""),"",((METALESPESADOS!$K25-METALESPESADOS!$BD25)*METALESPESADOS!$BE25*METALESPESADOS!$D25*(1/METALESPESADOS!$C25)*METALESPESADOS!$E25))</f>
        <v/>
      </c>
      <c r="BG25" s="17" t="str">
        <f>IF(AND(METALESPESADOS!$AK25="",METALESPESADOS!$AL25="",METALESPESADOS!$AM25="",METALESPESADOS!$AN25=""),"",AVERAGE(METALESPESADOS!$AK25,METALESPESADOS!$AL25,METALESPESADOS!$AM25,METALESPESADOS!$AN25))</f>
        <v/>
      </c>
      <c r="BH25" s="23">
        <v>10</v>
      </c>
      <c r="BI25" s="32" t="str">
        <f>IF(OR(METALESPESADOS!$A25="",METALESPESADOS!$B25="",METALESPESADOS!$C25="",METALESPESADOS!$D25="",METALESPESADOS!$E25="",METALESPESADOS!$L25="",METALESPESADOS!$BG25="",METALESPESADOS!$BH25=""),"",((METALESPESADOS!$L25-METALESPESADOS!$BG25)*METALESPESADOS!$BH25*METALESPESADOS!$D25*(1/METALESPESADOS!$C25)*METALESPESADOS!$E25*0.001))</f>
        <v/>
      </c>
    </row>
    <row r="26" spans="1:61" x14ac:dyDescent="0.3">
      <c r="A26" s="19" t="str">
        <f>IF(Pesada!A26="","",Pesada!A26)</f>
        <v/>
      </c>
      <c r="B26" s="16" t="str">
        <f>IF(Pesada!B26="","",Pesada!B26)</f>
        <v/>
      </c>
      <c r="C26" s="20" t="str">
        <f>IF(Pesada!C26="","",VALUE(Pesada!C26))</f>
        <v/>
      </c>
      <c r="D26" s="23">
        <v>100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17" t="str">
        <f>IF(AND(METALESPESADOS!$M26="",METALESPESADOS!$N26="",METALESPESADOS!$O26="",METALESPESADOS!$P26=""),"",AVERAGE(METALESPESADOS!$M26,METALESPESADOS!$N26,METALESPESADOS!$O26,METALESPESADOS!$P26))</f>
        <v/>
      </c>
      <c r="AP26" s="23">
        <v>1</v>
      </c>
      <c r="AQ26" s="31" t="str">
        <f>IF(OR(METALESPESADOS!$A26="",METALESPESADOS!$B26="",METALESPESADOS!$C26="",METALESPESADOS!$D26="",METALESPESADOS!$E26="",METALESPESADOS!$F26="",METALESPESADOS!$AO26="",METALESPESADOS!$AP26=""),"",((METALESPESADOS!$F26-METALESPESADOS!$AO26)*METALESPESADOS!$AP26*METALESPESADOS!$D26*(1/METALESPESADOS!$C26)*METALESPESADOS!$E26*0.001))</f>
        <v/>
      </c>
      <c r="AR26" s="17" t="str">
        <f>IF(AND(METALESPESADOS!$Q26="",METALESPESADOS!$R26="",METALESPESADOS!$S26="",METALESPESADOS!$T26=""),"",AVERAGE(METALESPESADOS!$Q26,METALESPESADOS!$R26,METALESPESADOS!$S26,METALESPESADOS!$T26))</f>
        <v/>
      </c>
      <c r="AS26" s="23">
        <v>1</v>
      </c>
      <c r="AT26" s="31" t="str">
        <f>IF(OR(METALESPESADOS!$A26="",METALESPESADOS!$B26="",METALESPESADOS!$C26="",METALESPESADOS!$D26="",METALESPESADOS!$E26="",METALESPESADOS!$G26="",METALESPESADOS!$AR26="",METALESPESADOS!$AS26=""),"",((METALESPESADOS!$G26-METALESPESADOS!$AR26)*METALESPESADOS!$AS26*METALESPESADOS!$D26*(1/METALESPESADOS!$C26)*METALESPESADOS!$E26))</f>
        <v/>
      </c>
      <c r="AU26" s="17" t="str">
        <f>IF(AND(METALESPESADOS!$U26="",METALESPESADOS!$V26="",METALESPESADOS!$W26="",METALESPESADOS!$X26=""),"",AVERAGE(METALESPESADOS!$U26,METALESPESADOS!$V26,METALESPESADOS!$W26,METALESPESADOS!$X26))</f>
        <v/>
      </c>
      <c r="AV26" s="23">
        <v>1</v>
      </c>
      <c r="AW26" s="31" t="str">
        <f>IF(OR(METALESPESADOS!$A26="",METALESPESADOS!$B26="",METALESPESADOS!$C26="",METALESPESADOS!$D26="",METALESPESADOS!$E26="",METALESPESADOS!$H26="",METALESPESADOS!$AU26="",METALESPESADOS!$AV26=""),"",((METALESPESADOS!$H26-METALESPESADOS!$AU26)*METALESPESADOS!$AV26*METALESPESADOS!$D26*(1/METALESPESADOS!$C26)*METALESPESADOS!$E26))</f>
        <v/>
      </c>
      <c r="AX26" s="17" t="str">
        <f>IF(AND(METALESPESADOS!$Y26="",METALESPESADOS!$Z26="",METALESPESADOS!$AA26="",METALESPESADOS!$AB26=""),"",AVERAGE(METALESPESADOS!$Y26,METALESPESADOS!$Z26,METALESPESADOS!$AA26,METALESPESADOS!$AB26))</f>
        <v/>
      </c>
      <c r="AY26" s="23">
        <v>1</v>
      </c>
      <c r="AZ26" s="31" t="str">
        <f>IF(OR(METALESPESADOS!$A26="",METALESPESADOS!$B26="",METALESPESADOS!$C26="",METALESPESADOS!$D26="",METALESPESADOS!$E26="",METALESPESADOS!$I26="",METALESPESADOS!$AX26="",METALESPESADOS!$AY26=""),"",((METALESPESADOS!$I26-METALESPESADOS!$AX26)*METALESPESADOS!$AY26*METALESPESADOS!$D26*(1/METALESPESADOS!$C26)*METALESPESADOS!$E26))</f>
        <v/>
      </c>
      <c r="BA26" s="17" t="str">
        <f>IF(AND(METALESPESADOS!$AC26="",METALESPESADOS!$AD26="",METALESPESADOS!$AE26="",METALESPESADOS!$AF26=""),"",AVERAGE(METALESPESADOS!$AC26,METALESPESADOS!$AD26,METALESPESADOS!$AE26,METALESPESADOS!$AF26))</f>
        <v/>
      </c>
      <c r="BB26" s="23">
        <v>1</v>
      </c>
      <c r="BC26" s="31" t="str">
        <f>IF(OR(METALESPESADOS!$A26="",METALESPESADOS!$B26="",METALESPESADOS!$C26="",METALESPESADOS!$D26="",METALESPESADOS!$E26="",METALESPESADOS!$J26="",METALESPESADOS!$BA26="",METALESPESADOS!$BB26=""),"",((METALESPESADOS!$J26-METALESPESADOS!$BA26)*METALESPESADOS!$BB26*METALESPESADOS!$D26*(1/METALESPESADOS!$C26)*METALESPESADOS!$E26))</f>
        <v/>
      </c>
      <c r="BD26" s="17" t="str">
        <f>IF(AND(METALESPESADOS!$AG26="",METALESPESADOS!$AH26="",METALESPESADOS!$AI26="",METALESPESADOS!$AJ26=""),"",AVERAGE(METALESPESADOS!$AG26,METALESPESADOS!$AH26,METALESPESADOS!$AI26,METALESPESADOS!$AJ26))</f>
        <v/>
      </c>
      <c r="BE26" s="23">
        <v>1</v>
      </c>
      <c r="BF26" s="31" t="str">
        <f>IF(OR(METALESPESADOS!$A26="",METALESPESADOS!$B26="",METALESPESADOS!$C26="",METALESPESADOS!$D26="",METALESPESADOS!$E26="",METALESPESADOS!$K26="",METALESPESADOS!$BD26="",METALESPESADOS!$BE26=""),"",((METALESPESADOS!$K26-METALESPESADOS!$BD26)*METALESPESADOS!$BE26*METALESPESADOS!$D26*(1/METALESPESADOS!$C26)*METALESPESADOS!$E26))</f>
        <v/>
      </c>
      <c r="BG26" s="17" t="str">
        <f>IF(AND(METALESPESADOS!$AK26="",METALESPESADOS!$AL26="",METALESPESADOS!$AM26="",METALESPESADOS!$AN26=""),"",AVERAGE(METALESPESADOS!$AK26,METALESPESADOS!$AL26,METALESPESADOS!$AM26,METALESPESADOS!$AN26))</f>
        <v/>
      </c>
      <c r="BH26" s="23">
        <v>10</v>
      </c>
      <c r="BI26" s="32" t="str">
        <f>IF(OR(METALESPESADOS!$A26="",METALESPESADOS!$B26="",METALESPESADOS!$C26="",METALESPESADOS!$D26="",METALESPESADOS!$E26="",METALESPESADOS!$L26="",METALESPESADOS!$BG26="",METALESPESADOS!$BH26=""),"",((METALESPESADOS!$L26-METALESPESADOS!$BG26)*METALESPESADOS!$BH26*METALESPESADOS!$D26*(1/METALESPESADOS!$C26)*METALESPESADOS!$E26*0.001))</f>
        <v/>
      </c>
    </row>
    <row r="27" spans="1:61" x14ac:dyDescent="0.3">
      <c r="A27" s="19" t="str">
        <f>IF(Pesada!A27="","",Pesada!A27)</f>
        <v/>
      </c>
      <c r="B27" s="16" t="str">
        <f>IF(Pesada!B27="","",Pesada!B27)</f>
        <v/>
      </c>
      <c r="C27" s="20" t="str">
        <f>IF(Pesada!C27="","",VALUE(Pesada!C27))</f>
        <v/>
      </c>
      <c r="D27" s="23">
        <v>100</v>
      </c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17" t="str">
        <f>IF(AND(METALESPESADOS!$M27="",METALESPESADOS!$N27="",METALESPESADOS!$O27="",METALESPESADOS!$P27=""),"",AVERAGE(METALESPESADOS!$M27,METALESPESADOS!$N27,METALESPESADOS!$O27,METALESPESADOS!$P27))</f>
        <v/>
      </c>
      <c r="AP27" s="23">
        <v>1</v>
      </c>
      <c r="AQ27" s="31" t="str">
        <f>IF(OR(METALESPESADOS!$A27="",METALESPESADOS!$B27="",METALESPESADOS!$C27="",METALESPESADOS!$D27="",METALESPESADOS!$E27="",METALESPESADOS!$F27="",METALESPESADOS!$AO27="",METALESPESADOS!$AP27=""),"",((METALESPESADOS!$F27-METALESPESADOS!$AO27)*METALESPESADOS!$AP27*METALESPESADOS!$D27*(1/METALESPESADOS!$C27)*METALESPESADOS!$E27*0.001))</f>
        <v/>
      </c>
      <c r="AR27" s="17" t="str">
        <f>IF(AND(METALESPESADOS!$Q27="",METALESPESADOS!$R27="",METALESPESADOS!$S27="",METALESPESADOS!$T27=""),"",AVERAGE(METALESPESADOS!$Q27,METALESPESADOS!$R27,METALESPESADOS!$S27,METALESPESADOS!$T27))</f>
        <v/>
      </c>
      <c r="AS27" s="23">
        <v>1</v>
      </c>
      <c r="AT27" s="31" t="str">
        <f>IF(OR(METALESPESADOS!$A27="",METALESPESADOS!$B27="",METALESPESADOS!$C27="",METALESPESADOS!$D27="",METALESPESADOS!$E27="",METALESPESADOS!$G27="",METALESPESADOS!$AR27="",METALESPESADOS!$AS27=""),"",((METALESPESADOS!$G27-METALESPESADOS!$AR27)*METALESPESADOS!$AS27*METALESPESADOS!$D27*(1/METALESPESADOS!$C27)*METALESPESADOS!$E27))</f>
        <v/>
      </c>
      <c r="AU27" s="17" t="str">
        <f>IF(AND(METALESPESADOS!$U27="",METALESPESADOS!$V27="",METALESPESADOS!$W27="",METALESPESADOS!$X27=""),"",AVERAGE(METALESPESADOS!$U27,METALESPESADOS!$V27,METALESPESADOS!$W27,METALESPESADOS!$X27))</f>
        <v/>
      </c>
      <c r="AV27" s="23">
        <v>1</v>
      </c>
      <c r="AW27" s="31" t="str">
        <f>IF(OR(METALESPESADOS!$A27="",METALESPESADOS!$B27="",METALESPESADOS!$C27="",METALESPESADOS!$D27="",METALESPESADOS!$E27="",METALESPESADOS!$H27="",METALESPESADOS!$AU27="",METALESPESADOS!$AV27=""),"",((METALESPESADOS!$H27-METALESPESADOS!$AU27)*METALESPESADOS!$AV27*METALESPESADOS!$D27*(1/METALESPESADOS!$C27)*METALESPESADOS!$E27))</f>
        <v/>
      </c>
      <c r="AX27" s="17" t="str">
        <f>IF(AND(METALESPESADOS!$Y27="",METALESPESADOS!$Z27="",METALESPESADOS!$AA27="",METALESPESADOS!$AB27=""),"",AVERAGE(METALESPESADOS!$Y27,METALESPESADOS!$Z27,METALESPESADOS!$AA27,METALESPESADOS!$AB27))</f>
        <v/>
      </c>
      <c r="AY27" s="23">
        <v>1</v>
      </c>
      <c r="AZ27" s="31" t="str">
        <f>IF(OR(METALESPESADOS!$A27="",METALESPESADOS!$B27="",METALESPESADOS!$C27="",METALESPESADOS!$D27="",METALESPESADOS!$E27="",METALESPESADOS!$I27="",METALESPESADOS!$AX27="",METALESPESADOS!$AY27=""),"",((METALESPESADOS!$I27-METALESPESADOS!$AX27)*METALESPESADOS!$AY27*METALESPESADOS!$D27*(1/METALESPESADOS!$C27)*METALESPESADOS!$E27))</f>
        <v/>
      </c>
      <c r="BA27" s="17" t="str">
        <f>IF(AND(METALESPESADOS!$AC27="",METALESPESADOS!$AD27="",METALESPESADOS!$AE27="",METALESPESADOS!$AF27=""),"",AVERAGE(METALESPESADOS!$AC27,METALESPESADOS!$AD27,METALESPESADOS!$AE27,METALESPESADOS!$AF27))</f>
        <v/>
      </c>
      <c r="BB27" s="23">
        <v>1</v>
      </c>
      <c r="BC27" s="31" t="str">
        <f>IF(OR(METALESPESADOS!$A27="",METALESPESADOS!$B27="",METALESPESADOS!$C27="",METALESPESADOS!$D27="",METALESPESADOS!$E27="",METALESPESADOS!$J27="",METALESPESADOS!$BA27="",METALESPESADOS!$BB27=""),"",((METALESPESADOS!$J27-METALESPESADOS!$BA27)*METALESPESADOS!$BB27*METALESPESADOS!$D27*(1/METALESPESADOS!$C27)*METALESPESADOS!$E27))</f>
        <v/>
      </c>
      <c r="BD27" s="17" t="str">
        <f>IF(AND(METALESPESADOS!$AG27="",METALESPESADOS!$AH27="",METALESPESADOS!$AI27="",METALESPESADOS!$AJ27=""),"",AVERAGE(METALESPESADOS!$AG27,METALESPESADOS!$AH27,METALESPESADOS!$AI27,METALESPESADOS!$AJ27))</f>
        <v/>
      </c>
      <c r="BE27" s="23">
        <v>1</v>
      </c>
      <c r="BF27" s="31" t="str">
        <f>IF(OR(METALESPESADOS!$A27="",METALESPESADOS!$B27="",METALESPESADOS!$C27="",METALESPESADOS!$D27="",METALESPESADOS!$E27="",METALESPESADOS!$K27="",METALESPESADOS!$BD27="",METALESPESADOS!$BE27=""),"",((METALESPESADOS!$K27-METALESPESADOS!$BD27)*METALESPESADOS!$BE27*METALESPESADOS!$D27*(1/METALESPESADOS!$C27)*METALESPESADOS!$E27))</f>
        <v/>
      </c>
      <c r="BG27" s="17" t="str">
        <f>IF(AND(METALESPESADOS!$AK27="",METALESPESADOS!$AL27="",METALESPESADOS!$AM27="",METALESPESADOS!$AN27=""),"",AVERAGE(METALESPESADOS!$AK27,METALESPESADOS!$AL27,METALESPESADOS!$AM27,METALESPESADOS!$AN27))</f>
        <v/>
      </c>
      <c r="BH27" s="23">
        <v>10</v>
      </c>
      <c r="BI27" s="32" t="str">
        <f>IF(OR(METALESPESADOS!$A27="",METALESPESADOS!$B27="",METALESPESADOS!$C27="",METALESPESADOS!$D27="",METALESPESADOS!$E27="",METALESPESADOS!$L27="",METALESPESADOS!$BG27="",METALESPESADOS!$BH27=""),"",((METALESPESADOS!$L27-METALESPESADOS!$BG27)*METALESPESADOS!$BH27*METALESPESADOS!$D27*(1/METALESPESADOS!$C27)*METALESPESADOS!$E27*0.001))</f>
        <v/>
      </c>
    </row>
    <row r="28" spans="1:61" x14ac:dyDescent="0.3">
      <c r="A28" s="19" t="str">
        <f>IF(Pesada!A28="","",Pesada!A28)</f>
        <v/>
      </c>
      <c r="B28" s="16" t="str">
        <f>IF(Pesada!B28="","",Pesada!B28)</f>
        <v/>
      </c>
      <c r="C28" s="20" t="str">
        <f>IF(Pesada!C28="","",VALUE(Pesada!C28))</f>
        <v/>
      </c>
      <c r="D28" s="23">
        <v>100</v>
      </c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17" t="str">
        <f>IF(AND(METALESPESADOS!$M28="",METALESPESADOS!$N28="",METALESPESADOS!$O28="",METALESPESADOS!$P28=""),"",AVERAGE(METALESPESADOS!$M28,METALESPESADOS!$N28,METALESPESADOS!$O28,METALESPESADOS!$P28))</f>
        <v/>
      </c>
      <c r="AP28" s="23">
        <v>1</v>
      </c>
      <c r="AQ28" s="31" t="str">
        <f>IF(OR(METALESPESADOS!$A28="",METALESPESADOS!$B28="",METALESPESADOS!$C28="",METALESPESADOS!$D28="",METALESPESADOS!$E28="",METALESPESADOS!$F28="",METALESPESADOS!$AO28="",METALESPESADOS!$AP28=""),"",((METALESPESADOS!$F28-METALESPESADOS!$AO28)*METALESPESADOS!$AP28*METALESPESADOS!$D28*(1/METALESPESADOS!$C28)*METALESPESADOS!$E28*0.001))</f>
        <v/>
      </c>
      <c r="AR28" s="17" t="str">
        <f>IF(AND(METALESPESADOS!$Q28="",METALESPESADOS!$R28="",METALESPESADOS!$S28="",METALESPESADOS!$T28=""),"",AVERAGE(METALESPESADOS!$Q28,METALESPESADOS!$R28,METALESPESADOS!$S28,METALESPESADOS!$T28))</f>
        <v/>
      </c>
      <c r="AS28" s="23">
        <v>1</v>
      </c>
      <c r="AT28" s="31" t="str">
        <f>IF(OR(METALESPESADOS!$A28="",METALESPESADOS!$B28="",METALESPESADOS!$C28="",METALESPESADOS!$D28="",METALESPESADOS!$E28="",METALESPESADOS!$G28="",METALESPESADOS!$AR28="",METALESPESADOS!$AS28=""),"",((METALESPESADOS!$G28-METALESPESADOS!$AR28)*METALESPESADOS!$AS28*METALESPESADOS!$D28*(1/METALESPESADOS!$C28)*METALESPESADOS!$E28))</f>
        <v/>
      </c>
      <c r="AU28" s="17" t="str">
        <f>IF(AND(METALESPESADOS!$U28="",METALESPESADOS!$V28="",METALESPESADOS!$W28="",METALESPESADOS!$X28=""),"",AVERAGE(METALESPESADOS!$U28,METALESPESADOS!$V28,METALESPESADOS!$W28,METALESPESADOS!$X28))</f>
        <v/>
      </c>
      <c r="AV28" s="23">
        <v>1</v>
      </c>
      <c r="AW28" s="31" t="str">
        <f>IF(OR(METALESPESADOS!$A28="",METALESPESADOS!$B28="",METALESPESADOS!$C28="",METALESPESADOS!$D28="",METALESPESADOS!$E28="",METALESPESADOS!$H28="",METALESPESADOS!$AU28="",METALESPESADOS!$AV28=""),"",((METALESPESADOS!$H28-METALESPESADOS!$AU28)*METALESPESADOS!$AV28*METALESPESADOS!$D28*(1/METALESPESADOS!$C28)*METALESPESADOS!$E28))</f>
        <v/>
      </c>
      <c r="AX28" s="17" t="str">
        <f>IF(AND(METALESPESADOS!$Y28="",METALESPESADOS!$Z28="",METALESPESADOS!$AA28="",METALESPESADOS!$AB28=""),"",AVERAGE(METALESPESADOS!$Y28,METALESPESADOS!$Z28,METALESPESADOS!$AA28,METALESPESADOS!$AB28))</f>
        <v/>
      </c>
      <c r="AY28" s="23">
        <v>1</v>
      </c>
      <c r="AZ28" s="31" t="str">
        <f>IF(OR(METALESPESADOS!$A28="",METALESPESADOS!$B28="",METALESPESADOS!$C28="",METALESPESADOS!$D28="",METALESPESADOS!$E28="",METALESPESADOS!$I28="",METALESPESADOS!$AX28="",METALESPESADOS!$AY28=""),"",((METALESPESADOS!$I28-METALESPESADOS!$AX28)*METALESPESADOS!$AY28*METALESPESADOS!$D28*(1/METALESPESADOS!$C28)*METALESPESADOS!$E28))</f>
        <v/>
      </c>
      <c r="BA28" s="17" t="str">
        <f>IF(AND(METALESPESADOS!$AC28="",METALESPESADOS!$AD28="",METALESPESADOS!$AE28="",METALESPESADOS!$AF28=""),"",AVERAGE(METALESPESADOS!$AC28,METALESPESADOS!$AD28,METALESPESADOS!$AE28,METALESPESADOS!$AF28))</f>
        <v/>
      </c>
      <c r="BB28" s="23">
        <v>1</v>
      </c>
      <c r="BC28" s="31" t="str">
        <f>IF(OR(METALESPESADOS!$A28="",METALESPESADOS!$B28="",METALESPESADOS!$C28="",METALESPESADOS!$D28="",METALESPESADOS!$E28="",METALESPESADOS!$J28="",METALESPESADOS!$BA28="",METALESPESADOS!$BB28=""),"",((METALESPESADOS!$J28-METALESPESADOS!$BA28)*METALESPESADOS!$BB28*METALESPESADOS!$D28*(1/METALESPESADOS!$C28)*METALESPESADOS!$E28))</f>
        <v/>
      </c>
      <c r="BD28" s="17" t="str">
        <f>IF(AND(METALESPESADOS!$AG28="",METALESPESADOS!$AH28="",METALESPESADOS!$AI28="",METALESPESADOS!$AJ28=""),"",AVERAGE(METALESPESADOS!$AG28,METALESPESADOS!$AH28,METALESPESADOS!$AI28,METALESPESADOS!$AJ28))</f>
        <v/>
      </c>
      <c r="BE28" s="23">
        <v>1</v>
      </c>
      <c r="BF28" s="31" t="str">
        <f>IF(OR(METALESPESADOS!$A28="",METALESPESADOS!$B28="",METALESPESADOS!$C28="",METALESPESADOS!$D28="",METALESPESADOS!$E28="",METALESPESADOS!$K28="",METALESPESADOS!$BD28="",METALESPESADOS!$BE28=""),"",((METALESPESADOS!$K28-METALESPESADOS!$BD28)*METALESPESADOS!$BE28*METALESPESADOS!$D28*(1/METALESPESADOS!$C28)*METALESPESADOS!$E28))</f>
        <v/>
      </c>
      <c r="BG28" s="17" t="str">
        <f>IF(AND(METALESPESADOS!$AK28="",METALESPESADOS!$AL28="",METALESPESADOS!$AM28="",METALESPESADOS!$AN28=""),"",AVERAGE(METALESPESADOS!$AK28,METALESPESADOS!$AL28,METALESPESADOS!$AM28,METALESPESADOS!$AN28))</f>
        <v/>
      </c>
      <c r="BH28" s="23">
        <v>10</v>
      </c>
      <c r="BI28" s="32" t="str">
        <f>IF(OR(METALESPESADOS!$A28="",METALESPESADOS!$B28="",METALESPESADOS!$C28="",METALESPESADOS!$D28="",METALESPESADOS!$E28="",METALESPESADOS!$L28="",METALESPESADOS!$BG28="",METALESPESADOS!$BH28=""),"",((METALESPESADOS!$L28-METALESPESADOS!$BG28)*METALESPESADOS!$BH28*METALESPESADOS!$D28*(1/METALESPESADOS!$C28)*METALESPESADOS!$E28*0.001))</f>
        <v/>
      </c>
    </row>
    <row r="29" spans="1:61" x14ac:dyDescent="0.3">
      <c r="A29" s="19" t="str">
        <f>IF(Pesada!A29="","",Pesada!A29)</f>
        <v/>
      </c>
      <c r="B29" s="16" t="str">
        <f>IF(Pesada!B29="","",Pesada!B29)</f>
        <v/>
      </c>
      <c r="C29" s="20" t="str">
        <f>IF(Pesada!C29="","",VALUE(Pesada!C29))</f>
        <v/>
      </c>
      <c r="D29" s="23">
        <v>100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17" t="str">
        <f>IF(AND(METALESPESADOS!$M29="",METALESPESADOS!$N29="",METALESPESADOS!$O29="",METALESPESADOS!$P29=""),"",AVERAGE(METALESPESADOS!$M29,METALESPESADOS!$N29,METALESPESADOS!$O29,METALESPESADOS!$P29))</f>
        <v/>
      </c>
      <c r="AP29" s="23">
        <v>1</v>
      </c>
      <c r="AQ29" s="31" t="str">
        <f>IF(OR(METALESPESADOS!$A29="",METALESPESADOS!$B29="",METALESPESADOS!$C29="",METALESPESADOS!$D29="",METALESPESADOS!$E29="",METALESPESADOS!$F29="",METALESPESADOS!$AO29="",METALESPESADOS!$AP29=""),"",((METALESPESADOS!$F29-METALESPESADOS!$AO29)*METALESPESADOS!$AP29*METALESPESADOS!$D29*(1/METALESPESADOS!$C29)*METALESPESADOS!$E29*0.001))</f>
        <v/>
      </c>
      <c r="AR29" s="17" t="str">
        <f>IF(AND(METALESPESADOS!$Q29="",METALESPESADOS!$R29="",METALESPESADOS!$S29="",METALESPESADOS!$T29=""),"",AVERAGE(METALESPESADOS!$Q29,METALESPESADOS!$R29,METALESPESADOS!$S29,METALESPESADOS!$T29))</f>
        <v/>
      </c>
      <c r="AS29" s="23">
        <v>1</v>
      </c>
      <c r="AT29" s="31" t="str">
        <f>IF(OR(METALESPESADOS!$A29="",METALESPESADOS!$B29="",METALESPESADOS!$C29="",METALESPESADOS!$D29="",METALESPESADOS!$E29="",METALESPESADOS!$G29="",METALESPESADOS!$AR29="",METALESPESADOS!$AS29=""),"",((METALESPESADOS!$G29-METALESPESADOS!$AR29)*METALESPESADOS!$AS29*METALESPESADOS!$D29*(1/METALESPESADOS!$C29)*METALESPESADOS!$E29))</f>
        <v/>
      </c>
      <c r="AU29" s="17" t="str">
        <f>IF(AND(METALESPESADOS!$U29="",METALESPESADOS!$V29="",METALESPESADOS!$W29="",METALESPESADOS!$X29=""),"",AVERAGE(METALESPESADOS!$U29,METALESPESADOS!$V29,METALESPESADOS!$W29,METALESPESADOS!$X29))</f>
        <v/>
      </c>
      <c r="AV29" s="23">
        <v>1</v>
      </c>
      <c r="AW29" s="31" t="str">
        <f>IF(OR(METALESPESADOS!$A29="",METALESPESADOS!$B29="",METALESPESADOS!$C29="",METALESPESADOS!$D29="",METALESPESADOS!$E29="",METALESPESADOS!$H29="",METALESPESADOS!$AU29="",METALESPESADOS!$AV29=""),"",((METALESPESADOS!$H29-METALESPESADOS!$AU29)*METALESPESADOS!$AV29*METALESPESADOS!$D29*(1/METALESPESADOS!$C29)*METALESPESADOS!$E29))</f>
        <v/>
      </c>
      <c r="AX29" s="17" t="str">
        <f>IF(AND(METALESPESADOS!$Y29="",METALESPESADOS!$Z29="",METALESPESADOS!$AA29="",METALESPESADOS!$AB29=""),"",AVERAGE(METALESPESADOS!$Y29,METALESPESADOS!$Z29,METALESPESADOS!$AA29,METALESPESADOS!$AB29))</f>
        <v/>
      </c>
      <c r="AY29" s="23">
        <v>1</v>
      </c>
      <c r="AZ29" s="31" t="str">
        <f>IF(OR(METALESPESADOS!$A29="",METALESPESADOS!$B29="",METALESPESADOS!$C29="",METALESPESADOS!$D29="",METALESPESADOS!$E29="",METALESPESADOS!$I29="",METALESPESADOS!$AX29="",METALESPESADOS!$AY29=""),"",((METALESPESADOS!$I29-METALESPESADOS!$AX29)*METALESPESADOS!$AY29*METALESPESADOS!$D29*(1/METALESPESADOS!$C29)*METALESPESADOS!$E29))</f>
        <v/>
      </c>
      <c r="BA29" s="17" t="str">
        <f>IF(AND(METALESPESADOS!$AC29="",METALESPESADOS!$AD29="",METALESPESADOS!$AE29="",METALESPESADOS!$AF29=""),"",AVERAGE(METALESPESADOS!$AC29,METALESPESADOS!$AD29,METALESPESADOS!$AE29,METALESPESADOS!$AF29))</f>
        <v/>
      </c>
      <c r="BB29" s="23">
        <v>1</v>
      </c>
      <c r="BC29" s="31" t="str">
        <f>IF(OR(METALESPESADOS!$A29="",METALESPESADOS!$B29="",METALESPESADOS!$C29="",METALESPESADOS!$D29="",METALESPESADOS!$E29="",METALESPESADOS!$J29="",METALESPESADOS!$BA29="",METALESPESADOS!$BB29=""),"",((METALESPESADOS!$J29-METALESPESADOS!$BA29)*METALESPESADOS!$BB29*METALESPESADOS!$D29*(1/METALESPESADOS!$C29)*METALESPESADOS!$E29))</f>
        <v/>
      </c>
      <c r="BD29" s="17" t="str">
        <f>IF(AND(METALESPESADOS!$AG29="",METALESPESADOS!$AH29="",METALESPESADOS!$AI29="",METALESPESADOS!$AJ29=""),"",AVERAGE(METALESPESADOS!$AG29,METALESPESADOS!$AH29,METALESPESADOS!$AI29,METALESPESADOS!$AJ29))</f>
        <v/>
      </c>
      <c r="BE29" s="23">
        <v>1</v>
      </c>
      <c r="BF29" s="31" t="str">
        <f>IF(OR(METALESPESADOS!$A29="",METALESPESADOS!$B29="",METALESPESADOS!$C29="",METALESPESADOS!$D29="",METALESPESADOS!$E29="",METALESPESADOS!$K29="",METALESPESADOS!$BD29="",METALESPESADOS!$BE29=""),"",((METALESPESADOS!$K29-METALESPESADOS!$BD29)*METALESPESADOS!$BE29*METALESPESADOS!$D29*(1/METALESPESADOS!$C29)*METALESPESADOS!$E29))</f>
        <v/>
      </c>
      <c r="BG29" s="17" t="str">
        <f>IF(AND(METALESPESADOS!$AK29="",METALESPESADOS!$AL29="",METALESPESADOS!$AM29="",METALESPESADOS!$AN29=""),"",AVERAGE(METALESPESADOS!$AK29,METALESPESADOS!$AL29,METALESPESADOS!$AM29,METALESPESADOS!$AN29))</f>
        <v/>
      </c>
      <c r="BH29" s="23">
        <v>10</v>
      </c>
      <c r="BI29" s="32" t="str">
        <f>IF(OR(METALESPESADOS!$A29="",METALESPESADOS!$B29="",METALESPESADOS!$C29="",METALESPESADOS!$D29="",METALESPESADOS!$E29="",METALESPESADOS!$L29="",METALESPESADOS!$BG29="",METALESPESADOS!$BH29=""),"",((METALESPESADOS!$L29-METALESPESADOS!$BG29)*METALESPESADOS!$BH29*METALESPESADOS!$D29*(1/METALESPESADOS!$C29)*METALESPESADOS!$E29*0.001))</f>
        <v/>
      </c>
    </row>
    <row r="30" spans="1:61" x14ac:dyDescent="0.3">
      <c r="A30" s="19" t="str">
        <f>IF(Pesada!A30="","",Pesada!A30)</f>
        <v/>
      </c>
      <c r="B30" s="16" t="str">
        <f>IF(Pesada!B30="","",Pesada!B30)</f>
        <v/>
      </c>
      <c r="C30" s="20" t="str">
        <f>IF(Pesada!C30="","",VALUE(Pesada!C30))</f>
        <v/>
      </c>
      <c r="D30" s="23">
        <v>100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17" t="str">
        <f>IF(AND(METALESPESADOS!$M30="",METALESPESADOS!$N30="",METALESPESADOS!$O30="",METALESPESADOS!$P30=""),"",AVERAGE(METALESPESADOS!$M30,METALESPESADOS!$N30,METALESPESADOS!$O30,METALESPESADOS!$P30))</f>
        <v/>
      </c>
      <c r="AP30" s="23">
        <v>1</v>
      </c>
      <c r="AQ30" s="31" t="str">
        <f>IF(OR(METALESPESADOS!$A30="",METALESPESADOS!$B30="",METALESPESADOS!$C30="",METALESPESADOS!$D30="",METALESPESADOS!$E30="",METALESPESADOS!$F30="",METALESPESADOS!$AO30="",METALESPESADOS!$AP30=""),"",((METALESPESADOS!$F30-METALESPESADOS!$AO30)*METALESPESADOS!$AP30*METALESPESADOS!$D30*(1/METALESPESADOS!$C30)*METALESPESADOS!$E30*0.001))</f>
        <v/>
      </c>
      <c r="AR30" s="17" t="str">
        <f>IF(AND(METALESPESADOS!$Q30="",METALESPESADOS!$R30="",METALESPESADOS!$S30="",METALESPESADOS!$T30=""),"",AVERAGE(METALESPESADOS!$Q30,METALESPESADOS!$R30,METALESPESADOS!$S30,METALESPESADOS!$T30))</f>
        <v/>
      </c>
      <c r="AS30" s="23">
        <v>1</v>
      </c>
      <c r="AT30" s="31" t="str">
        <f>IF(OR(METALESPESADOS!$A30="",METALESPESADOS!$B30="",METALESPESADOS!$C30="",METALESPESADOS!$D30="",METALESPESADOS!$E30="",METALESPESADOS!$G30="",METALESPESADOS!$AR30="",METALESPESADOS!$AS30=""),"",((METALESPESADOS!$G30-METALESPESADOS!$AR30)*METALESPESADOS!$AS30*METALESPESADOS!$D30*(1/METALESPESADOS!$C30)*METALESPESADOS!$E30))</f>
        <v/>
      </c>
      <c r="AU30" s="17" t="str">
        <f>IF(AND(METALESPESADOS!$U30="",METALESPESADOS!$V30="",METALESPESADOS!$W30="",METALESPESADOS!$X30=""),"",AVERAGE(METALESPESADOS!$U30,METALESPESADOS!$V30,METALESPESADOS!$W30,METALESPESADOS!$X30))</f>
        <v/>
      </c>
      <c r="AV30" s="23">
        <v>1</v>
      </c>
      <c r="AW30" s="31" t="str">
        <f>IF(OR(METALESPESADOS!$A30="",METALESPESADOS!$B30="",METALESPESADOS!$C30="",METALESPESADOS!$D30="",METALESPESADOS!$E30="",METALESPESADOS!$H30="",METALESPESADOS!$AU30="",METALESPESADOS!$AV30=""),"",((METALESPESADOS!$H30-METALESPESADOS!$AU30)*METALESPESADOS!$AV30*METALESPESADOS!$D30*(1/METALESPESADOS!$C30)*METALESPESADOS!$E30))</f>
        <v/>
      </c>
      <c r="AX30" s="17" t="str">
        <f>IF(AND(METALESPESADOS!$Y30="",METALESPESADOS!$Z30="",METALESPESADOS!$AA30="",METALESPESADOS!$AB30=""),"",AVERAGE(METALESPESADOS!$Y30,METALESPESADOS!$Z30,METALESPESADOS!$AA30,METALESPESADOS!$AB30))</f>
        <v/>
      </c>
      <c r="AY30" s="23">
        <v>1</v>
      </c>
      <c r="AZ30" s="31" t="str">
        <f>IF(OR(METALESPESADOS!$A30="",METALESPESADOS!$B30="",METALESPESADOS!$C30="",METALESPESADOS!$D30="",METALESPESADOS!$E30="",METALESPESADOS!$I30="",METALESPESADOS!$AX30="",METALESPESADOS!$AY30=""),"",((METALESPESADOS!$I30-METALESPESADOS!$AX30)*METALESPESADOS!$AY30*METALESPESADOS!$D30*(1/METALESPESADOS!$C30)*METALESPESADOS!$E30))</f>
        <v/>
      </c>
      <c r="BA30" s="17" t="str">
        <f>IF(AND(METALESPESADOS!$AC30="",METALESPESADOS!$AD30="",METALESPESADOS!$AE30="",METALESPESADOS!$AF30=""),"",AVERAGE(METALESPESADOS!$AC30,METALESPESADOS!$AD30,METALESPESADOS!$AE30,METALESPESADOS!$AF30))</f>
        <v/>
      </c>
      <c r="BB30" s="23">
        <v>1</v>
      </c>
      <c r="BC30" s="31" t="str">
        <f>IF(OR(METALESPESADOS!$A30="",METALESPESADOS!$B30="",METALESPESADOS!$C30="",METALESPESADOS!$D30="",METALESPESADOS!$E30="",METALESPESADOS!$J30="",METALESPESADOS!$BA30="",METALESPESADOS!$BB30=""),"",((METALESPESADOS!$J30-METALESPESADOS!$BA30)*METALESPESADOS!$BB30*METALESPESADOS!$D30*(1/METALESPESADOS!$C30)*METALESPESADOS!$E30))</f>
        <v/>
      </c>
      <c r="BD30" s="17" t="str">
        <f>IF(AND(METALESPESADOS!$AG30="",METALESPESADOS!$AH30="",METALESPESADOS!$AI30="",METALESPESADOS!$AJ30=""),"",AVERAGE(METALESPESADOS!$AG30,METALESPESADOS!$AH30,METALESPESADOS!$AI30,METALESPESADOS!$AJ30))</f>
        <v/>
      </c>
      <c r="BE30" s="23">
        <v>1</v>
      </c>
      <c r="BF30" s="31" t="str">
        <f>IF(OR(METALESPESADOS!$A30="",METALESPESADOS!$B30="",METALESPESADOS!$C30="",METALESPESADOS!$D30="",METALESPESADOS!$E30="",METALESPESADOS!$K30="",METALESPESADOS!$BD30="",METALESPESADOS!$BE30=""),"",((METALESPESADOS!$K30-METALESPESADOS!$BD30)*METALESPESADOS!$BE30*METALESPESADOS!$D30*(1/METALESPESADOS!$C30)*METALESPESADOS!$E30))</f>
        <v/>
      </c>
      <c r="BG30" s="17" t="str">
        <f>IF(AND(METALESPESADOS!$AK30="",METALESPESADOS!$AL30="",METALESPESADOS!$AM30="",METALESPESADOS!$AN30=""),"",AVERAGE(METALESPESADOS!$AK30,METALESPESADOS!$AL30,METALESPESADOS!$AM30,METALESPESADOS!$AN30))</f>
        <v/>
      </c>
      <c r="BH30" s="23">
        <v>10</v>
      </c>
      <c r="BI30" s="32" t="str">
        <f>IF(OR(METALESPESADOS!$A30="",METALESPESADOS!$B30="",METALESPESADOS!$C30="",METALESPESADOS!$D30="",METALESPESADOS!$E30="",METALESPESADOS!$L30="",METALESPESADOS!$BG30="",METALESPESADOS!$BH30=""),"",((METALESPESADOS!$L30-METALESPESADOS!$BG30)*METALESPESADOS!$BH30*METALESPESADOS!$D30*(1/METALESPESADOS!$C30)*METALESPESADOS!$E30*0.001))</f>
        <v/>
      </c>
    </row>
    <row r="31" spans="1:61" x14ac:dyDescent="0.3">
      <c r="A31" s="19" t="str">
        <f>IF(Pesada!A31="","",Pesada!A31)</f>
        <v/>
      </c>
      <c r="B31" s="16" t="str">
        <f>IF(Pesada!B31="","",Pesada!B31)</f>
        <v/>
      </c>
      <c r="C31" s="20" t="str">
        <f>IF(Pesada!C31="","",VALUE(Pesada!C31))</f>
        <v/>
      </c>
      <c r="D31" s="23">
        <v>100</v>
      </c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17" t="str">
        <f>IF(AND(METALESPESADOS!$M31="",METALESPESADOS!$N31="",METALESPESADOS!$O31="",METALESPESADOS!$P31=""),"",AVERAGE(METALESPESADOS!$M31,METALESPESADOS!$N31,METALESPESADOS!$O31,METALESPESADOS!$P31))</f>
        <v/>
      </c>
      <c r="AP31" s="23">
        <v>1</v>
      </c>
      <c r="AQ31" s="31" t="str">
        <f>IF(OR(METALESPESADOS!$A31="",METALESPESADOS!$B31="",METALESPESADOS!$C31="",METALESPESADOS!$D31="",METALESPESADOS!$E31="",METALESPESADOS!$F31="",METALESPESADOS!$AO31="",METALESPESADOS!$AP31=""),"",((METALESPESADOS!$F31-METALESPESADOS!$AO31)*METALESPESADOS!$AP31*METALESPESADOS!$D31*(1/METALESPESADOS!$C31)*METALESPESADOS!$E31*0.001))</f>
        <v/>
      </c>
      <c r="AR31" s="17" t="str">
        <f>IF(AND(METALESPESADOS!$Q31="",METALESPESADOS!$R31="",METALESPESADOS!$S31="",METALESPESADOS!$T31=""),"",AVERAGE(METALESPESADOS!$Q31,METALESPESADOS!$R31,METALESPESADOS!$S31,METALESPESADOS!$T31))</f>
        <v/>
      </c>
      <c r="AS31" s="23">
        <v>1</v>
      </c>
      <c r="AT31" s="31" t="str">
        <f>IF(OR(METALESPESADOS!$A31="",METALESPESADOS!$B31="",METALESPESADOS!$C31="",METALESPESADOS!$D31="",METALESPESADOS!$E31="",METALESPESADOS!$G31="",METALESPESADOS!$AR31="",METALESPESADOS!$AS31=""),"",((METALESPESADOS!$G31-METALESPESADOS!$AR31)*METALESPESADOS!$AS31*METALESPESADOS!$D31*(1/METALESPESADOS!$C31)*METALESPESADOS!$E31))</f>
        <v/>
      </c>
      <c r="AU31" s="17" t="str">
        <f>IF(AND(METALESPESADOS!$U31="",METALESPESADOS!$V31="",METALESPESADOS!$W31="",METALESPESADOS!$X31=""),"",AVERAGE(METALESPESADOS!$U31,METALESPESADOS!$V31,METALESPESADOS!$W31,METALESPESADOS!$X31))</f>
        <v/>
      </c>
      <c r="AV31" s="23">
        <v>1</v>
      </c>
      <c r="AW31" s="31" t="str">
        <f>IF(OR(METALESPESADOS!$A31="",METALESPESADOS!$B31="",METALESPESADOS!$C31="",METALESPESADOS!$D31="",METALESPESADOS!$E31="",METALESPESADOS!$H31="",METALESPESADOS!$AU31="",METALESPESADOS!$AV31=""),"",((METALESPESADOS!$H31-METALESPESADOS!$AU31)*METALESPESADOS!$AV31*METALESPESADOS!$D31*(1/METALESPESADOS!$C31)*METALESPESADOS!$E31))</f>
        <v/>
      </c>
      <c r="AX31" s="17" t="str">
        <f>IF(AND(METALESPESADOS!$Y31="",METALESPESADOS!$Z31="",METALESPESADOS!$AA31="",METALESPESADOS!$AB31=""),"",AVERAGE(METALESPESADOS!$Y31,METALESPESADOS!$Z31,METALESPESADOS!$AA31,METALESPESADOS!$AB31))</f>
        <v/>
      </c>
      <c r="AY31" s="23">
        <v>1</v>
      </c>
      <c r="AZ31" s="31" t="str">
        <f>IF(OR(METALESPESADOS!$A31="",METALESPESADOS!$B31="",METALESPESADOS!$C31="",METALESPESADOS!$D31="",METALESPESADOS!$E31="",METALESPESADOS!$I31="",METALESPESADOS!$AX31="",METALESPESADOS!$AY31=""),"",((METALESPESADOS!$I31-METALESPESADOS!$AX31)*METALESPESADOS!$AY31*METALESPESADOS!$D31*(1/METALESPESADOS!$C31)*METALESPESADOS!$E31))</f>
        <v/>
      </c>
      <c r="BA31" s="17" t="str">
        <f>IF(AND(METALESPESADOS!$AC31="",METALESPESADOS!$AD31="",METALESPESADOS!$AE31="",METALESPESADOS!$AF31=""),"",AVERAGE(METALESPESADOS!$AC31,METALESPESADOS!$AD31,METALESPESADOS!$AE31,METALESPESADOS!$AF31))</f>
        <v/>
      </c>
      <c r="BB31" s="23">
        <v>1</v>
      </c>
      <c r="BC31" s="31" t="str">
        <f>IF(OR(METALESPESADOS!$A31="",METALESPESADOS!$B31="",METALESPESADOS!$C31="",METALESPESADOS!$D31="",METALESPESADOS!$E31="",METALESPESADOS!$J31="",METALESPESADOS!$BA31="",METALESPESADOS!$BB31=""),"",((METALESPESADOS!$J31-METALESPESADOS!$BA31)*METALESPESADOS!$BB31*METALESPESADOS!$D31*(1/METALESPESADOS!$C31)*METALESPESADOS!$E31))</f>
        <v/>
      </c>
      <c r="BD31" s="17" t="str">
        <f>IF(AND(METALESPESADOS!$AG31="",METALESPESADOS!$AH31="",METALESPESADOS!$AI31="",METALESPESADOS!$AJ31=""),"",AVERAGE(METALESPESADOS!$AG31,METALESPESADOS!$AH31,METALESPESADOS!$AI31,METALESPESADOS!$AJ31))</f>
        <v/>
      </c>
      <c r="BE31" s="23">
        <v>1</v>
      </c>
      <c r="BF31" s="31" t="str">
        <f>IF(OR(METALESPESADOS!$A31="",METALESPESADOS!$B31="",METALESPESADOS!$C31="",METALESPESADOS!$D31="",METALESPESADOS!$E31="",METALESPESADOS!$K31="",METALESPESADOS!$BD31="",METALESPESADOS!$BE31=""),"",((METALESPESADOS!$K31-METALESPESADOS!$BD31)*METALESPESADOS!$BE31*METALESPESADOS!$D31*(1/METALESPESADOS!$C31)*METALESPESADOS!$E31))</f>
        <v/>
      </c>
      <c r="BG31" s="17" t="str">
        <f>IF(AND(METALESPESADOS!$AK31="",METALESPESADOS!$AL31="",METALESPESADOS!$AM31="",METALESPESADOS!$AN31=""),"",AVERAGE(METALESPESADOS!$AK31,METALESPESADOS!$AL31,METALESPESADOS!$AM31,METALESPESADOS!$AN31))</f>
        <v/>
      </c>
      <c r="BH31" s="23">
        <v>10</v>
      </c>
      <c r="BI31" s="32" t="str">
        <f>IF(OR(METALESPESADOS!$A31="",METALESPESADOS!$B31="",METALESPESADOS!$C31="",METALESPESADOS!$D31="",METALESPESADOS!$E31="",METALESPESADOS!$L31="",METALESPESADOS!$BG31="",METALESPESADOS!$BH31=""),"",((METALESPESADOS!$L31-METALESPESADOS!$BG31)*METALESPESADOS!$BH31*METALESPESADOS!$D31*(1/METALESPESADOS!$C31)*METALESPESADOS!$E31*0.001))</f>
        <v/>
      </c>
    </row>
    <row r="32" spans="1:61" x14ac:dyDescent="0.3">
      <c r="A32" s="19" t="str">
        <f>IF(Pesada!A32="","",Pesada!A32)</f>
        <v/>
      </c>
      <c r="B32" s="16" t="str">
        <f>IF(Pesada!B32="","",Pesada!B32)</f>
        <v/>
      </c>
      <c r="C32" s="20" t="str">
        <f>IF(Pesada!C32="","",VALUE(Pesada!C32))</f>
        <v/>
      </c>
      <c r="D32" s="23">
        <v>100</v>
      </c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17" t="str">
        <f>IF(AND(METALESPESADOS!$M32="",METALESPESADOS!$N32="",METALESPESADOS!$O32="",METALESPESADOS!$P32=""),"",AVERAGE(METALESPESADOS!$M32,METALESPESADOS!$N32,METALESPESADOS!$O32,METALESPESADOS!$P32))</f>
        <v/>
      </c>
      <c r="AP32" s="23">
        <v>1</v>
      </c>
      <c r="AQ32" s="31" t="str">
        <f>IF(OR(METALESPESADOS!$A32="",METALESPESADOS!$B32="",METALESPESADOS!$C32="",METALESPESADOS!$D32="",METALESPESADOS!$E32="",METALESPESADOS!$F32="",METALESPESADOS!$AO32="",METALESPESADOS!$AP32=""),"",((METALESPESADOS!$F32-METALESPESADOS!$AO32)*METALESPESADOS!$AP32*METALESPESADOS!$D32*(1/METALESPESADOS!$C32)*METALESPESADOS!$E32*0.001))</f>
        <v/>
      </c>
      <c r="AR32" s="17" t="str">
        <f>IF(AND(METALESPESADOS!$Q32="",METALESPESADOS!$R32="",METALESPESADOS!$S32="",METALESPESADOS!$T32=""),"",AVERAGE(METALESPESADOS!$Q32,METALESPESADOS!$R32,METALESPESADOS!$S32,METALESPESADOS!$T32))</f>
        <v/>
      </c>
      <c r="AS32" s="23">
        <v>1</v>
      </c>
      <c r="AT32" s="31" t="str">
        <f>IF(OR(METALESPESADOS!$A32="",METALESPESADOS!$B32="",METALESPESADOS!$C32="",METALESPESADOS!$D32="",METALESPESADOS!$E32="",METALESPESADOS!$G32="",METALESPESADOS!$AR32="",METALESPESADOS!$AS32=""),"",((METALESPESADOS!$G32-METALESPESADOS!$AR32)*METALESPESADOS!$AS32*METALESPESADOS!$D32*(1/METALESPESADOS!$C32)*METALESPESADOS!$E32))</f>
        <v/>
      </c>
      <c r="AU32" s="17" t="str">
        <f>IF(AND(METALESPESADOS!$U32="",METALESPESADOS!$V32="",METALESPESADOS!$W32="",METALESPESADOS!$X32=""),"",AVERAGE(METALESPESADOS!$U32,METALESPESADOS!$V32,METALESPESADOS!$W32,METALESPESADOS!$X32))</f>
        <v/>
      </c>
      <c r="AV32" s="23">
        <v>1</v>
      </c>
      <c r="AW32" s="31" t="str">
        <f>IF(OR(METALESPESADOS!$A32="",METALESPESADOS!$B32="",METALESPESADOS!$C32="",METALESPESADOS!$D32="",METALESPESADOS!$E32="",METALESPESADOS!$H32="",METALESPESADOS!$AU32="",METALESPESADOS!$AV32=""),"",((METALESPESADOS!$H32-METALESPESADOS!$AU32)*METALESPESADOS!$AV32*METALESPESADOS!$D32*(1/METALESPESADOS!$C32)*METALESPESADOS!$E32))</f>
        <v/>
      </c>
      <c r="AX32" s="17" t="str">
        <f>IF(AND(METALESPESADOS!$Y32="",METALESPESADOS!$Z32="",METALESPESADOS!$AA32="",METALESPESADOS!$AB32=""),"",AVERAGE(METALESPESADOS!$Y32,METALESPESADOS!$Z32,METALESPESADOS!$AA32,METALESPESADOS!$AB32))</f>
        <v/>
      </c>
      <c r="AY32" s="23">
        <v>1</v>
      </c>
      <c r="AZ32" s="31" t="str">
        <f>IF(OR(METALESPESADOS!$A32="",METALESPESADOS!$B32="",METALESPESADOS!$C32="",METALESPESADOS!$D32="",METALESPESADOS!$E32="",METALESPESADOS!$I32="",METALESPESADOS!$AX32="",METALESPESADOS!$AY32=""),"",((METALESPESADOS!$I32-METALESPESADOS!$AX32)*METALESPESADOS!$AY32*METALESPESADOS!$D32*(1/METALESPESADOS!$C32)*METALESPESADOS!$E32))</f>
        <v/>
      </c>
      <c r="BA32" s="17" t="str">
        <f>IF(AND(METALESPESADOS!$AC32="",METALESPESADOS!$AD32="",METALESPESADOS!$AE32="",METALESPESADOS!$AF32=""),"",AVERAGE(METALESPESADOS!$AC32,METALESPESADOS!$AD32,METALESPESADOS!$AE32,METALESPESADOS!$AF32))</f>
        <v/>
      </c>
      <c r="BB32" s="23">
        <v>1</v>
      </c>
      <c r="BC32" s="31" t="str">
        <f>IF(OR(METALESPESADOS!$A32="",METALESPESADOS!$B32="",METALESPESADOS!$C32="",METALESPESADOS!$D32="",METALESPESADOS!$E32="",METALESPESADOS!$J32="",METALESPESADOS!$BA32="",METALESPESADOS!$BB32=""),"",((METALESPESADOS!$J32-METALESPESADOS!$BA32)*METALESPESADOS!$BB32*METALESPESADOS!$D32*(1/METALESPESADOS!$C32)*METALESPESADOS!$E32))</f>
        <v/>
      </c>
      <c r="BD32" s="17" t="str">
        <f>IF(AND(METALESPESADOS!$AG32="",METALESPESADOS!$AH32="",METALESPESADOS!$AI32="",METALESPESADOS!$AJ32=""),"",AVERAGE(METALESPESADOS!$AG32,METALESPESADOS!$AH32,METALESPESADOS!$AI32,METALESPESADOS!$AJ32))</f>
        <v/>
      </c>
      <c r="BE32" s="23">
        <v>1</v>
      </c>
      <c r="BF32" s="31" t="str">
        <f>IF(OR(METALESPESADOS!$A32="",METALESPESADOS!$B32="",METALESPESADOS!$C32="",METALESPESADOS!$D32="",METALESPESADOS!$E32="",METALESPESADOS!$K32="",METALESPESADOS!$BD32="",METALESPESADOS!$BE32=""),"",((METALESPESADOS!$K32-METALESPESADOS!$BD32)*METALESPESADOS!$BE32*METALESPESADOS!$D32*(1/METALESPESADOS!$C32)*METALESPESADOS!$E32))</f>
        <v/>
      </c>
      <c r="BG32" s="17" t="str">
        <f>IF(AND(METALESPESADOS!$AK32="",METALESPESADOS!$AL32="",METALESPESADOS!$AM32="",METALESPESADOS!$AN32=""),"",AVERAGE(METALESPESADOS!$AK32,METALESPESADOS!$AL32,METALESPESADOS!$AM32,METALESPESADOS!$AN32))</f>
        <v/>
      </c>
      <c r="BH32" s="23">
        <v>10</v>
      </c>
      <c r="BI32" s="32" t="str">
        <f>IF(OR(METALESPESADOS!$A32="",METALESPESADOS!$B32="",METALESPESADOS!$C32="",METALESPESADOS!$D32="",METALESPESADOS!$E32="",METALESPESADOS!$L32="",METALESPESADOS!$BG32="",METALESPESADOS!$BH32=""),"",((METALESPESADOS!$L32-METALESPESADOS!$BG32)*METALESPESADOS!$BH32*METALESPESADOS!$D32*(1/METALESPESADOS!$C32)*METALESPESADOS!$E32*0.001))</f>
        <v/>
      </c>
    </row>
    <row r="33" spans="1:61" x14ac:dyDescent="0.3">
      <c r="A33" s="19" t="str">
        <f>IF(Pesada!A33="","",Pesada!A33)</f>
        <v/>
      </c>
      <c r="B33" s="16" t="str">
        <f>IF(Pesada!B33="","",Pesada!B33)</f>
        <v/>
      </c>
      <c r="C33" s="20" t="str">
        <f>IF(Pesada!C33="","",VALUE(Pesada!C33))</f>
        <v/>
      </c>
      <c r="D33" s="23">
        <v>100</v>
      </c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17" t="str">
        <f>IF(AND(METALESPESADOS!$M33="",METALESPESADOS!$N33="",METALESPESADOS!$O33="",METALESPESADOS!$P33=""),"",AVERAGE(METALESPESADOS!$M33,METALESPESADOS!$N33,METALESPESADOS!$O33,METALESPESADOS!$P33))</f>
        <v/>
      </c>
      <c r="AP33" s="23">
        <v>1</v>
      </c>
      <c r="AQ33" s="31" t="str">
        <f>IF(OR(METALESPESADOS!$A33="",METALESPESADOS!$B33="",METALESPESADOS!$C33="",METALESPESADOS!$D33="",METALESPESADOS!$E33="",METALESPESADOS!$F33="",METALESPESADOS!$AO33="",METALESPESADOS!$AP33=""),"",((METALESPESADOS!$F33-METALESPESADOS!$AO33)*METALESPESADOS!$AP33*METALESPESADOS!$D33*(1/METALESPESADOS!$C33)*METALESPESADOS!$E33*0.001))</f>
        <v/>
      </c>
      <c r="AR33" s="17" t="str">
        <f>IF(AND(METALESPESADOS!$Q33="",METALESPESADOS!$R33="",METALESPESADOS!$S33="",METALESPESADOS!$T33=""),"",AVERAGE(METALESPESADOS!$Q33,METALESPESADOS!$R33,METALESPESADOS!$S33,METALESPESADOS!$T33))</f>
        <v/>
      </c>
      <c r="AS33" s="23">
        <v>1</v>
      </c>
      <c r="AT33" s="31" t="str">
        <f>IF(OR(METALESPESADOS!$A33="",METALESPESADOS!$B33="",METALESPESADOS!$C33="",METALESPESADOS!$D33="",METALESPESADOS!$E33="",METALESPESADOS!$G33="",METALESPESADOS!$AR33="",METALESPESADOS!$AS33=""),"",((METALESPESADOS!$G33-METALESPESADOS!$AR33)*METALESPESADOS!$AS33*METALESPESADOS!$D33*(1/METALESPESADOS!$C33)*METALESPESADOS!$E33))</f>
        <v/>
      </c>
      <c r="AU33" s="17" t="str">
        <f>IF(AND(METALESPESADOS!$U33="",METALESPESADOS!$V33="",METALESPESADOS!$W33="",METALESPESADOS!$X33=""),"",AVERAGE(METALESPESADOS!$U33,METALESPESADOS!$V33,METALESPESADOS!$W33,METALESPESADOS!$X33))</f>
        <v/>
      </c>
      <c r="AV33" s="23">
        <v>1</v>
      </c>
      <c r="AW33" s="31" t="str">
        <f>IF(OR(METALESPESADOS!$A33="",METALESPESADOS!$B33="",METALESPESADOS!$C33="",METALESPESADOS!$D33="",METALESPESADOS!$E33="",METALESPESADOS!$H33="",METALESPESADOS!$AU33="",METALESPESADOS!$AV33=""),"",((METALESPESADOS!$H33-METALESPESADOS!$AU33)*METALESPESADOS!$AV33*METALESPESADOS!$D33*(1/METALESPESADOS!$C33)*METALESPESADOS!$E33))</f>
        <v/>
      </c>
      <c r="AX33" s="17" t="str">
        <f>IF(AND(METALESPESADOS!$Y33="",METALESPESADOS!$Z33="",METALESPESADOS!$AA33="",METALESPESADOS!$AB33=""),"",AVERAGE(METALESPESADOS!$Y33,METALESPESADOS!$Z33,METALESPESADOS!$AA33,METALESPESADOS!$AB33))</f>
        <v/>
      </c>
      <c r="AY33" s="23">
        <v>1</v>
      </c>
      <c r="AZ33" s="31" t="str">
        <f>IF(OR(METALESPESADOS!$A33="",METALESPESADOS!$B33="",METALESPESADOS!$C33="",METALESPESADOS!$D33="",METALESPESADOS!$E33="",METALESPESADOS!$I33="",METALESPESADOS!$AX33="",METALESPESADOS!$AY33=""),"",((METALESPESADOS!$I33-METALESPESADOS!$AX33)*METALESPESADOS!$AY33*METALESPESADOS!$D33*(1/METALESPESADOS!$C33)*METALESPESADOS!$E33))</f>
        <v/>
      </c>
      <c r="BA33" s="17" t="str">
        <f>IF(AND(METALESPESADOS!$AC33="",METALESPESADOS!$AD33="",METALESPESADOS!$AE33="",METALESPESADOS!$AF33=""),"",AVERAGE(METALESPESADOS!$AC33,METALESPESADOS!$AD33,METALESPESADOS!$AE33,METALESPESADOS!$AF33))</f>
        <v/>
      </c>
      <c r="BB33" s="23">
        <v>1</v>
      </c>
      <c r="BC33" s="31" t="str">
        <f>IF(OR(METALESPESADOS!$A33="",METALESPESADOS!$B33="",METALESPESADOS!$C33="",METALESPESADOS!$D33="",METALESPESADOS!$E33="",METALESPESADOS!$J33="",METALESPESADOS!$BA33="",METALESPESADOS!$BB33=""),"",((METALESPESADOS!$J33-METALESPESADOS!$BA33)*METALESPESADOS!$BB33*METALESPESADOS!$D33*(1/METALESPESADOS!$C33)*METALESPESADOS!$E33))</f>
        <v/>
      </c>
      <c r="BD33" s="17" t="str">
        <f>IF(AND(METALESPESADOS!$AG33="",METALESPESADOS!$AH33="",METALESPESADOS!$AI33="",METALESPESADOS!$AJ33=""),"",AVERAGE(METALESPESADOS!$AG33,METALESPESADOS!$AH33,METALESPESADOS!$AI33,METALESPESADOS!$AJ33))</f>
        <v/>
      </c>
      <c r="BE33" s="23">
        <v>1</v>
      </c>
      <c r="BF33" s="31" t="str">
        <f>IF(OR(METALESPESADOS!$A33="",METALESPESADOS!$B33="",METALESPESADOS!$C33="",METALESPESADOS!$D33="",METALESPESADOS!$E33="",METALESPESADOS!$K33="",METALESPESADOS!$BD33="",METALESPESADOS!$BE33=""),"",((METALESPESADOS!$K33-METALESPESADOS!$BD33)*METALESPESADOS!$BE33*METALESPESADOS!$D33*(1/METALESPESADOS!$C33)*METALESPESADOS!$E33))</f>
        <v/>
      </c>
      <c r="BG33" s="17" t="str">
        <f>IF(AND(METALESPESADOS!$AK33="",METALESPESADOS!$AL33="",METALESPESADOS!$AM33="",METALESPESADOS!$AN33=""),"",AVERAGE(METALESPESADOS!$AK33,METALESPESADOS!$AL33,METALESPESADOS!$AM33,METALESPESADOS!$AN33))</f>
        <v/>
      </c>
      <c r="BH33" s="23">
        <v>10</v>
      </c>
      <c r="BI33" s="32" t="str">
        <f>IF(OR(METALESPESADOS!$A33="",METALESPESADOS!$B33="",METALESPESADOS!$C33="",METALESPESADOS!$D33="",METALESPESADOS!$E33="",METALESPESADOS!$L33="",METALESPESADOS!$BG33="",METALESPESADOS!$BH33=""),"",((METALESPESADOS!$L33-METALESPESADOS!$BG33)*METALESPESADOS!$BH33*METALESPESADOS!$D33*(1/METALESPESADOS!$C33)*METALESPESADOS!$E33*0.001))</f>
        <v/>
      </c>
    </row>
    <row r="34" spans="1:61" x14ac:dyDescent="0.3">
      <c r="A34" s="19" t="str">
        <f>IF(Pesada!A34="","",Pesada!A34)</f>
        <v/>
      </c>
      <c r="B34" s="16" t="str">
        <f>IF(Pesada!B34="","",Pesada!B34)</f>
        <v/>
      </c>
      <c r="C34" s="20" t="str">
        <f>IF(Pesada!C34="","",VALUE(Pesada!C34))</f>
        <v/>
      </c>
      <c r="D34" s="23">
        <v>100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17" t="str">
        <f>IF(AND(METALESPESADOS!$M34="",METALESPESADOS!$N34="",METALESPESADOS!$O34="",METALESPESADOS!$P34=""),"",AVERAGE(METALESPESADOS!$M34,METALESPESADOS!$N34,METALESPESADOS!$O34,METALESPESADOS!$P34))</f>
        <v/>
      </c>
      <c r="AP34" s="23">
        <v>1</v>
      </c>
      <c r="AQ34" s="31" t="str">
        <f>IF(OR(METALESPESADOS!$A34="",METALESPESADOS!$B34="",METALESPESADOS!$C34="",METALESPESADOS!$D34="",METALESPESADOS!$E34="",METALESPESADOS!$F34="",METALESPESADOS!$AO34="",METALESPESADOS!$AP34=""),"",((METALESPESADOS!$F34-METALESPESADOS!$AO34)*METALESPESADOS!$AP34*METALESPESADOS!$D34*(1/METALESPESADOS!$C34)*METALESPESADOS!$E34*0.001))</f>
        <v/>
      </c>
      <c r="AR34" s="17" t="str">
        <f>IF(AND(METALESPESADOS!$Q34="",METALESPESADOS!$R34="",METALESPESADOS!$S34="",METALESPESADOS!$T34=""),"",AVERAGE(METALESPESADOS!$Q34,METALESPESADOS!$R34,METALESPESADOS!$S34,METALESPESADOS!$T34))</f>
        <v/>
      </c>
      <c r="AS34" s="23">
        <v>1</v>
      </c>
      <c r="AT34" s="31" t="str">
        <f>IF(OR(METALESPESADOS!$A34="",METALESPESADOS!$B34="",METALESPESADOS!$C34="",METALESPESADOS!$D34="",METALESPESADOS!$E34="",METALESPESADOS!$G34="",METALESPESADOS!$AR34="",METALESPESADOS!$AS34=""),"",((METALESPESADOS!$G34-METALESPESADOS!$AR34)*METALESPESADOS!$AS34*METALESPESADOS!$D34*(1/METALESPESADOS!$C34)*METALESPESADOS!$E34))</f>
        <v/>
      </c>
      <c r="AU34" s="17" t="str">
        <f>IF(AND(METALESPESADOS!$U34="",METALESPESADOS!$V34="",METALESPESADOS!$W34="",METALESPESADOS!$X34=""),"",AVERAGE(METALESPESADOS!$U34,METALESPESADOS!$V34,METALESPESADOS!$W34,METALESPESADOS!$X34))</f>
        <v/>
      </c>
      <c r="AV34" s="23">
        <v>1</v>
      </c>
      <c r="AW34" s="31" t="str">
        <f>IF(OR(METALESPESADOS!$A34="",METALESPESADOS!$B34="",METALESPESADOS!$C34="",METALESPESADOS!$D34="",METALESPESADOS!$E34="",METALESPESADOS!$H34="",METALESPESADOS!$AU34="",METALESPESADOS!$AV34=""),"",((METALESPESADOS!$H34-METALESPESADOS!$AU34)*METALESPESADOS!$AV34*METALESPESADOS!$D34*(1/METALESPESADOS!$C34)*METALESPESADOS!$E34))</f>
        <v/>
      </c>
      <c r="AX34" s="17" t="str">
        <f>IF(AND(METALESPESADOS!$Y34="",METALESPESADOS!$Z34="",METALESPESADOS!$AA34="",METALESPESADOS!$AB34=""),"",AVERAGE(METALESPESADOS!$Y34,METALESPESADOS!$Z34,METALESPESADOS!$AA34,METALESPESADOS!$AB34))</f>
        <v/>
      </c>
      <c r="AY34" s="23">
        <v>1</v>
      </c>
      <c r="AZ34" s="31" t="str">
        <f>IF(OR(METALESPESADOS!$A34="",METALESPESADOS!$B34="",METALESPESADOS!$C34="",METALESPESADOS!$D34="",METALESPESADOS!$E34="",METALESPESADOS!$I34="",METALESPESADOS!$AX34="",METALESPESADOS!$AY34=""),"",((METALESPESADOS!$I34-METALESPESADOS!$AX34)*METALESPESADOS!$AY34*METALESPESADOS!$D34*(1/METALESPESADOS!$C34)*METALESPESADOS!$E34))</f>
        <v/>
      </c>
      <c r="BA34" s="17" t="str">
        <f>IF(AND(METALESPESADOS!$AC34="",METALESPESADOS!$AD34="",METALESPESADOS!$AE34="",METALESPESADOS!$AF34=""),"",AVERAGE(METALESPESADOS!$AC34,METALESPESADOS!$AD34,METALESPESADOS!$AE34,METALESPESADOS!$AF34))</f>
        <v/>
      </c>
      <c r="BB34" s="23">
        <v>1</v>
      </c>
      <c r="BC34" s="31" t="str">
        <f>IF(OR(METALESPESADOS!$A34="",METALESPESADOS!$B34="",METALESPESADOS!$C34="",METALESPESADOS!$D34="",METALESPESADOS!$E34="",METALESPESADOS!$J34="",METALESPESADOS!$BA34="",METALESPESADOS!$BB34=""),"",((METALESPESADOS!$J34-METALESPESADOS!$BA34)*METALESPESADOS!$BB34*METALESPESADOS!$D34*(1/METALESPESADOS!$C34)*METALESPESADOS!$E34))</f>
        <v/>
      </c>
      <c r="BD34" s="17" t="str">
        <f>IF(AND(METALESPESADOS!$AG34="",METALESPESADOS!$AH34="",METALESPESADOS!$AI34="",METALESPESADOS!$AJ34=""),"",AVERAGE(METALESPESADOS!$AG34,METALESPESADOS!$AH34,METALESPESADOS!$AI34,METALESPESADOS!$AJ34))</f>
        <v/>
      </c>
      <c r="BE34" s="23">
        <v>1</v>
      </c>
      <c r="BF34" s="31" t="str">
        <f>IF(OR(METALESPESADOS!$A34="",METALESPESADOS!$B34="",METALESPESADOS!$C34="",METALESPESADOS!$D34="",METALESPESADOS!$E34="",METALESPESADOS!$K34="",METALESPESADOS!$BD34="",METALESPESADOS!$BE34=""),"",((METALESPESADOS!$K34-METALESPESADOS!$BD34)*METALESPESADOS!$BE34*METALESPESADOS!$D34*(1/METALESPESADOS!$C34)*METALESPESADOS!$E34))</f>
        <v/>
      </c>
      <c r="BG34" s="17" t="str">
        <f>IF(AND(METALESPESADOS!$AK34="",METALESPESADOS!$AL34="",METALESPESADOS!$AM34="",METALESPESADOS!$AN34=""),"",AVERAGE(METALESPESADOS!$AK34,METALESPESADOS!$AL34,METALESPESADOS!$AM34,METALESPESADOS!$AN34))</f>
        <v/>
      </c>
      <c r="BH34" s="23">
        <v>10</v>
      </c>
      <c r="BI34" s="32" t="str">
        <f>IF(OR(METALESPESADOS!$A34="",METALESPESADOS!$B34="",METALESPESADOS!$C34="",METALESPESADOS!$D34="",METALESPESADOS!$E34="",METALESPESADOS!$L34="",METALESPESADOS!$BG34="",METALESPESADOS!$BH34=""),"",((METALESPESADOS!$L34-METALESPESADOS!$BG34)*METALESPESADOS!$BH34*METALESPESADOS!$D34*(1/METALESPESADOS!$C34)*METALESPESADOS!$E34*0.001))</f>
        <v/>
      </c>
    </row>
    <row r="35" spans="1:61" x14ac:dyDescent="0.3">
      <c r="A35" s="19" t="str">
        <f>IF(Pesada!A35="","",Pesada!A35)</f>
        <v/>
      </c>
      <c r="B35" s="16" t="str">
        <f>IF(Pesada!B35="","",Pesada!B35)</f>
        <v/>
      </c>
      <c r="C35" s="20" t="str">
        <f>IF(Pesada!C35="","",VALUE(Pesada!C35))</f>
        <v/>
      </c>
      <c r="D35" s="23">
        <v>100</v>
      </c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17" t="str">
        <f>IF(AND(METALESPESADOS!$M35="",METALESPESADOS!$N35="",METALESPESADOS!$O35="",METALESPESADOS!$P35=""),"",AVERAGE(METALESPESADOS!$M35,METALESPESADOS!$N35,METALESPESADOS!$O35,METALESPESADOS!$P35))</f>
        <v/>
      </c>
      <c r="AP35" s="23">
        <v>1</v>
      </c>
      <c r="AQ35" s="31" t="str">
        <f>IF(OR(METALESPESADOS!$A35="",METALESPESADOS!$B35="",METALESPESADOS!$C35="",METALESPESADOS!$D35="",METALESPESADOS!$E35="",METALESPESADOS!$F35="",METALESPESADOS!$AO35="",METALESPESADOS!$AP35=""),"",((METALESPESADOS!$F35-METALESPESADOS!$AO35)*METALESPESADOS!$AP35*METALESPESADOS!$D35*(1/METALESPESADOS!$C35)*METALESPESADOS!$E35*0.001))</f>
        <v/>
      </c>
      <c r="AR35" s="17" t="str">
        <f>IF(AND(METALESPESADOS!$Q35="",METALESPESADOS!$R35="",METALESPESADOS!$S35="",METALESPESADOS!$T35=""),"",AVERAGE(METALESPESADOS!$Q35,METALESPESADOS!$R35,METALESPESADOS!$S35,METALESPESADOS!$T35))</f>
        <v/>
      </c>
      <c r="AS35" s="23">
        <v>1</v>
      </c>
      <c r="AT35" s="31" t="str">
        <f>IF(OR(METALESPESADOS!$A35="",METALESPESADOS!$B35="",METALESPESADOS!$C35="",METALESPESADOS!$D35="",METALESPESADOS!$E35="",METALESPESADOS!$G35="",METALESPESADOS!$AR35="",METALESPESADOS!$AS35=""),"",((METALESPESADOS!$G35-METALESPESADOS!$AR35)*METALESPESADOS!$AS35*METALESPESADOS!$D35*(1/METALESPESADOS!$C35)*METALESPESADOS!$E35))</f>
        <v/>
      </c>
      <c r="AU35" s="17" t="str">
        <f>IF(AND(METALESPESADOS!$U35="",METALESPESADOS!$V35="",METALESPESADOS!$W35="",METALESPESADOS!$X35=""),"",AVERAGE(METALESPESADOS!$U35,METALESPESADOS!$V35,METALESPESADOS!$W35,METALESPESADOS!$X35))</f>
        <v/>
      </c>
      <c r="AV35" s="23">
        <v>1</v>
      </c>
      <c r="AW35" s="31" t="str">
        <f>IF(OR(METALESPESADOS!$A35="",METALESPESADOS!$B35="",METALESPESADOS!$C35="",METALESPESADOS!$D35="",METALESPESADOS!$E35="",METALESPESADOS!$H35="",METALESPESADOS!$AU35="",METALESPESADOS!$AV35=""),"",((METALESPESADOS!$H35-METALESPESADOS!$AU35)*METALESPESADOS!$AV35*METALESPESADOS!$D35*(1/METALESPESADOS!$C35)*METALESPESADOS!$E35))</f>
        <v/>
      </c>
      <c r="AX35" s="17" t="str">
        <f>IF(AND(METALESPESADOS!$Y35="",METALESPESADOS!$Z35="",METALESPESADOS!$AA35="",METALESPESADOS!$AB35=""),"",AVERAGE(METALESPESADOS!$Y35,METALESPESADOS!$Z35,METALESPESADOS!$AA35,METALESPESADOS!$AB35))</f>
        <v/>
      </c>
      <c r="AY35" s="23">
        <v>1</v>
      </c>
      <c r="AZ35" s="31" t="str">
        <f>IF(OR(METALESPESADOS!$A35="",METALESPESADOS!$B35="",METALESPESADOS!$C35="",METALESPESADOS!$D35="",METALESPESADOS!$E35="",METALESPESADOS!$I35="",METALESPESADOS!$AX35="",METALESPESADOS!$AY35=""),"",((METALESPESADOS!$I35-METALESPESADOS!$AX35)*METALESPESADOS!$AY35*METALESPESADOS!$D35*(1/METALESPESADOS!$C35)*METALESPESADOS!$E35))</f>
        <v/>
      </c>
      <c r="BA35" s="17" t="str">
        <f>IF(AND(METALESPESADOS!$AC35="",METALESPESADOS!$AD35="",METALESPESADOS!$AE35="",METALESPESADOS!$AF35=""),"",AVERAGE(METALESPESADOS!$AC35,METALESPESADOS!$AD35,METALESPESADOS!$AE35,METALESPESADOS!$AF35))</f>
        <v/>
      </c>
      <c r="BB35" s="23">
        <v>1</v>
      </c>
      <c r="BC35" s="31" t="str">
        <f>IF(OR(METALESPESADOS!$A35="",METALESPESADOS!$B35="",METALESPESADOS!$C35="",METALESPESADOS!$D35="",METALESPESADOS!$E35="",METALESPESADOS!$J35="",METALESPESADOS!$BA35="",METALESPESADOS!$BB35=""),"",((METALESPESADOS!$J35-METALESPESADOS!$BA35)*METALESPESADOS!$BB35*METALESPESADOS!$D35*(1/METALESPESADOS!$C35)*METALESPESADOS!$E35))</f>
        <v/>
      </c>
      <c r="BD35" s="17" t="str">
        <f>IF(AND(METALESPESADOS!$AG35="",METALESPESADOS!$AH35="",METALESPESADOS!$AI35="",METALESPESADOS!$AJ35=""),"",AVERAGE(METALESPESADOS!$AG35,METALESPESADOS!$AH35,METALESPESADOS!$AI35,METALESPESADOS!$AJ35))</f>
        <v/>
      </c>
      <c r="BE35" s="23">
        <v>1</v>
      </c>
      <c r="BF35" s="31" t="str">
        <f>IF(OR(METALESPESADOS!$A35="",METALESPESADOS!$B35="",METALESPESADOS!$C35="",METALESPESADOS!$D35="",METALESPESADOS!$E35="",METALESPESADOS!$K35="",METALESPESADOS!$BD35="",METALESPESADOS!$BE35=""),"",((METALESPESADOS!$K35-METALESPESADOS!$BD35)*METALESPESADOS!$BE35*METALESPESADOS!$D35*(1/METALESPESADOS!$C35)*METALESPESADOS!$E35))</f>
        <v/>
      </c>
      <c r="BG35" s="17" t="str">
        <f>IF(AND(METALESPESADOS!$AK35="",METALESPESADOS!$AL35="",METALESPESADOS!$AM35="",METALESPESADOS!$AN35=""),"",AVERAGE(METALESPESADOS!$AK35,METALESPESADOS!$AL35,METALESPESADOS!$AM35,METALESPESADOS!$AN35))</f>
        <v/>
      </c>
      <c r="BH35" s="23">
        <v>10</v>
      </c>
      <c r="BI35" s="32" t="str">
        <f>IF(OR(METALESPESADOS!$A35="",METALESPESADOS!$B35="",METALESPESADOS!$C35="",METALESPESADOS!$D35="",METALESPESADOS!$E35="",METALESPESADOS!$L35="",METALESPESADOS!$BG35="",METALESPESADOS!$BH35=""),"",((METALESPESADOS!$L35-METALESPESADOS!$BG35)*METALESPESADOS!$BH35*METALESPESADOS!$D35*(1/METALESPESADOS!$C35)*METALESPESADOS!$E35*0.001))</f>
        <v/>
      </c>
    </row>
    <row r="36" spans="1:61" x14ac:dyDescent="0.3">
      <c r="A36" s="19" t="str">
        <f>IF(Pesada!A36="","",Pesada!A36)</f>
        <v/>
      </c>
      <c r="B36" s="16" t="str">
        <f>IF(Pesada!B36="","",Pesada!B36)</f>
        <v/>
      </c>
      <c r="C36" s="20" t="str">
        <f>IF(Pesada!C36="","",VALUE(Pesada!C36))</f>
        <v/>
      </c>
      <c r="D36" s="23">
        <v>100</v>
      </c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17" t="str">
        <f>IF(AND(METALESPESADOS!$M36="",METALESPESADOS!$N36="",METALESPESADOS!$O36="",METALESPESADOS!$P36=""),"",AVERAGE(METALESPESADOS!$M36,METALESPESADOS!$N36,METALESPESADOS!$O36,METALESPESADOS!$P36))</f>
        <v/>
      </c>
      <c r="AP36" s="23">
        <v>1</v>
      </c>
      <c r="AQ36" s="31" t="str">
        <f>IF(OR(METALESPESADOS!$A36="",METALESPESADOS!$B36="",METALESPESADOS!$C36="",METALESPESADOS!$D36="",METALESPESADOS!$E36="",METALESPESADOS!$F36="",METALESPESADOS!$AO36="",METALESPESADOS!$AP36=""),"",((METALESPESADOS!$F36-METALESPESADOS!$AO36)*METALESPESADOS!$AP36*METALESPESADOS!$D36*(1/METALESPESADOS!$C36)*METALESPESADOS!$E36*0.001))</f>
        <v/>
      </c>
      <c r="AR36" s="17" t="str">
        <f>IF(AND(METALESPESADOS!$Q36="",METALESPESADOS!$R36="",METALESPESADOS!$S36="",METALESPESADOS!$T36=""),"",AVERAGE(METALESPESADOS!$Q36,METALESPESADOS!$R36,METALESPESADOS!$S36,METALESPESADOS!$T36))</f>
        <v/>
      </c>
      <c r="AS36" s="23">
        <v>1</v>
      </c>
      <c r="AT36" s="31" t="str">
        <f>IF(OR(METALESPESADOS!$A36="",METALESPESADOS!$B36="",METALESPESADOS!$C36="",METALESPESADOS!$D36="",METALESPESADOS!$E36="",METALESPESADOS!$G36="",METALESPESADOS!$AR36="",METALESPESADOS!$AS36=""),"",((METALESPESADOS!$G36-METALESPESADOS!$AR36)*METALESPESADOS!$AS36*METALESPESADOS!$D36*(1/METALESPESADOS!$C36)*METALESPESADOS!$E36))</f>
        <v/>
      </c>
      <c r="AU36" s="17" t="str">
        <f>IF(AND(METALESPESADOS!$U36="",METALESPESADOS!$V36="",METALESPESADOS!$W36="",METALESPESADOS!$X36=""),"",AVERAGE(METALESPESADOS!$U36,METALESPESADOS!$V36,METALESPESADOS!$W36,METALESPESADOS!$X36))</f>
        <v/>
      </c>
      <c r="AV36" s="23">
        <v>1</v>
      </c>
      <c r="AW36" s="31" t="str">
        <f>IF(OR(METALESPESADOS!$A36="",METALESPESADOS!$B36="",METALESPESADOS!$C36="",METALESPESADOS!$D36="",METALESPESADOS!$E36="",METALESPESADOS!$H36="",METALESPESADOS!$AU36="",METALESPESADOS!$AV36=""),"",((METALESPESADOS!$H36-METALESPESADOS!$AU36)*METALESPESADOS!$AV36*METALESPESADOS!$D36*(1/METALESPESADOS!$C36)*METALESPESADOS!$E36))</f>
        <v/>
      </c>
      <c r="AX36" s="17" t="str">
        <f>IF(AND(METALESPESADOS!$Y36="",METALESPESADOS!$Z36="",METALESPESADOS!$AA36="",METALESPESADOS!$AB36=""),"",AVERAGE(METALESPESADOS!$Y36,METALESPESADOS!$Z36,METALESPESADOS!$AA36,METALESPESADOS!$AB36))</f>
        <v/>
      </c>
      <c r="AY36" s="23">
        <v>1</v>
      </c>
      <c r="AZ36" s="31" t="str">
        <f>IF(OR(METALESPESADOS!$A36="",METALESPESADOS!$B36="",METALESPESADOS!$C36="",METALESPESADOS!$D36="",METALESPESADOS!$E36="",METALESPESADOS!$I36="",METALESPESADOS!$AX36="",METALESPESADOS!$AY36=""),"",((METALESPESADOS!$I36-METALESPESADOS!$AX36)*METALESPESADOS!$AY36*METALESPESADOS!$D36*(1/METALESPESADOS!$C36)*METALESPESADOS!$E36))</f>
        <v/>
      </c>
      <c r="BA36" s="17" t="str">
        <f>IF(AND(METALESPESADOS!$AC36="",METALESPESADOS!$AD36="",METALESPESADOS!$AE36="",METALESPESADOS!$AF36=""),"",AVERAGE(METALESPESADOS!$AC36,METALESPESADOS!$AD36,METALESPESADOS!$AE36,METALESPESADOS!$AF36))</f>
        <v/>
      </c>
      <c r="BB36" s="23">
        <v>1</v>
      </c>
      <c r="BC36" s="31" t="str">
        <f>IF(OR(METALESPESADOS!$A36="",METALESPESADOS!$B36="",METALESPESADOS!$C36="",METALESPESADOS!$D36="",METALESPESADOS!$E36="",METALESPESADOS!$J36="",METALESPESADOS!$BA36="",METALESPESADOS!$BB36=""),"",((METALESPESADOS!$J36-METALESPESADOS!$BA36)*METALESPESADOS!$BB36*METALESPESADOS!$D36*(1/METALESPESADOS!$C36)*METALESPESADOS!$E36))</f>
        <v/>
      </c>
      <c r="BD36" s="17" t="str">
        <f>IF(AND(METALESPESADOS!$AG36="",METALESPESADOS!$AH36="",METALESPESADOS!$AI36="",METALESPESADOS!$AJ36=""),"",AVERAGE(METALESPESADOS!$AG36,METALESPESADOS!$AH36,METALESPESADOS!$AI36,METALESPESADOS!$AJ36))</f>
        <v/>
      </c>
      <c r="BE36" s="23">
        <v>1</v>
      </c>
      <c r="BF36" s="31" t="str">
        <f>IF(OR(METALESPESADOS!$A36="",METALESPESADOS!$B36="",METALESPESADOS!$C36="",METALESPESADOS!$D36="",METALESPESADOS!$E36="",METALESPESADOS!$K36="",METALESPESADOS!$BD36="",METALESPESADOS!$BE36=""),"",((METALESPESADOS!$K36-METALESPESADOS!$BD36)*METALESPESADOS!$BE36*METALESPESADOS!$D36*(1/METALESPESADOS!$C36)*METALESPESADOS!$E36))</f>
        <v/>
      </c>
      <c r="BG36" s="17" t="str">
        <f>IF(AND(METALESPESADOS!$AK36="",METALESPESADOS!$AL36="",METALESPESADOS!$AM36="",METALESPESADOS!$AN36=""),"",AVERAGE(METALESPESADOS!$AK36,METALESPESADOS!$AL36,METALESPESADOS!$AM36,METALESPESADOS!$AN36))</f>
        <v/>
      </c>
      <c r="BH36" s="23">
        <v>10</v>
      </c>
      <c r="BI36" s="32" t="str">
        <f>IF(OR(METALESPESADOS!$A36="",METALESPESADOS!$B36="",METALESPESADOS!$C36="",METALESPESADOS!$D36="",METALESPESADOS!$E36="",METALESPESADOS!$L36="",METALESPESADOS!$BG36="",METALESPESADOS!$BH36=""),"",((METALESPESADOS!$L36-METALESPESADOS!$BG36)*METALESPESADOS!$BH36*METALESPESADOS!$D36*(1/METALESPESADOS!$C36)*METALESPESADOS!$E36*0.001))</f>
        <v/>
      </c>
    </row>
    <row r="37" spans="1:61" x14ac:dyDescent="0.3">
      <c r="A37" s="19" t="str">
        <f>IF(Pesada!A37="","",Pesada!A37)</f>
        <v/>
      </c>
      <c r="B37" s="16" t="str">
        <f>IF(Pesada!B37="","",Pesada!B37)</f>
        <v/>
      </c>
      <c r="C37" s="20" t="str">
        <f>IF(Pesada!C37="","",VALUE(Pesada!C37))</f>
        <v/>
      </c>
      <c r="D37" s="23">
        <v>100</v>
      </c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17" t="str">
        <f>IF(AND(METALESPESADOS!$M37="",METALESPESADOS!$N37="",METALESPESADOS!$O37="",METALESPESADOS!$P37=""),"",AVERAGE(METALESPESADOS!$M37,METALESPESADOS!$N37,METALESPESADOS!$O37,METALESPESADOS!$P37))</f>
        <v/>
      </c>
      <c r="AP37" s="23">
        <v>1</v>
      </c>
      <c r="AQ37" s="31" t="str">
        <f>IF(OR(METALESPESADOS!$A37="",METALESPESADOS!$B37="",METALESPESADOS!$C37="",METALESPESADOS!$D37="",METALESPESADOS!$E37="",METALESPESADOS!$F37="",METALESPESADOS!$AO37="",METALESPESADOS!$AP37=""),"",((METALESPESADOS!$F37-METALESPESADOS!$AO37)*METALESPESADOS!$AP37*METALESPESADOS!$D37*(1/METALESPESADOS!$C37)*METALESPESADOS!$E37*0.001))</f>
        <v/>
      </c>
      <c r="AR37" s="17" t="str">
        <f>IF(AND(METALESPESADOS!$Q37="",METALESPESADOS!$R37="",METALESPESADOS!$S37="",METALESPESADOS!$T37=""),"",AVERAGE(METALESPESADOS!$Q37,METALESPESADOS!$R37,METALESPESADOS!$S37,METALESPESADOS!$T37))</f>
        <v/>
      </c>
      <c r="AS37" s="23">
        <v>1</v>
      </c>
      <c r="AT37" s="31" t="str">
        <f>IF(OR(METALESPESADOS!$A37="",METALESPESADOS!$B37="",METALESPESADOS!$C37="",METALESPESADOS!$D37="",METALESPESADOS!$E37="",METALESPESADOS!$G37="",METALESPESADOS!$AR37="",METALESPESADOS!$AS37=""),"",((METALESPESADOS!$G37-METALESPESADOS!$AR37)*METALESPESADOS!$AS37*METALESPESADOS!$D37*(1/METALESPESADOS!$C37)*METALESPESADOS!$E37))</f>
        <v/>
      </c>
      <c r="AU37" s="17" t="str">
        <f>IF(AND(METALESPESADOS!$U37="",METALESPESADOS!$V37="",METALESPESADOS!$W37="",METALESPESADOS!$X37=""),"",AVERAGE(METALESPESADOS!$U37,METALESPESADOS!$V37,METALESPESADOS!$W37,METALESPESADOS!$X37))</f>
        <v/>
      </c>
      <c r="AV37" s="23">
        <v>1</v>
      </c>
      <c r="AW37" s="31" t="str">
        <f>IF(OR(METALESPESADOS!$A37="",METALESPESADOS!$B37="",METALESPESADOS!$C37="",METALESPESADOS!$D37="",METALESPESADOS!$E37="",METALESPESADOS!$H37="",METALESPESADOS!$AU37="",METALESPESADOS!$AV37=""),"",((METALESPESADOS!$H37-METALESPESADOS!$AU37)*METALESPESADOS!$AV37*METALESPESADOS!$D37*(1/METALESPESADOS!$C37)*METALESPESADOS!$E37))</f>
        <v/>
      </c>
      <c r="AX37" s="17" t="str">
        <f>IF(AND(METALESPESADOS!$Y37="",METALESPESADOS!$Z37="",METALESPESADOS!$AA37="",METALESPESADOS!$AB37=""),"",AVERAGE(METALESPESADOS!$Y37,METALESPESADOS!$Z37,METALESPESADOS!$AA37,METALESPESADOS!$AB37))</f>
        <v/>
      </c>
      <c r="AY37" s="23">
        <v>1</v>
      </c>
      <c r="AZ37" s="31" t="str">
        <f>IF(OR(METALESPESADOS!$A37="",METALESPESADOS!$B37="",METALESPESADOS!$C37="",METALESPESADOS!$D37="",METALESPESADOS!$E37="",METALESPESADOS!$I37="",METALESPESADOS!$AX37="",METALESPESADOS!$AY37=""),"",((METALESPESADOS!$I37-METALESPESADOS!$AX37)*METALESPESADOS!$AY37*METALESPESADOS!$D37*(1/METALESPESADOS!$C37)*METALESPESADOS!$E37))</f>
        <v/>
      </c>
      <c r="BA37" s="17" t="str">
        <f>IF(AND(METALESPESADOS!$AC37="",METALESPESADOS!$AD37="",METALESPESADOS!$AE37="",METALESPESADOS!$AF37=""),"",AVERAGE(METALESPESADOS!$AC37,METALESPESADOS!$AD37,METALESPESADOS!$AE37,METALESPESADOS!$AF37))</f>
        <v/>
      </c>
      <c r="BB37" s="23">
        <v>1</v>
      </c>
      <c r="BC37" s="31" t="str">
        <f>IF(OR(METALESPESADOS!$A37="",METALESPESADOS!$B37="",METALESPESADOS!$C37="",METALESPESADOS!$D37="",METALESPESADOS!$E37="",METALESPESADOS!$J37="",METALESPESADOS!$BA37="",METALESPESADOS!$BB37=""),"",((METALESPESADOS!$J37-METALESPESADOS!$BA37)*METALESPESADOS!$BB37*METALESPESADOS!$D37*(1/METALESPESADOS!$C37)*METALESPESADOS!$E37))</f>
        <v/>
      </c>
      <c r="BD37" s="17" t="str">
        <f>IF(AND(METALESPESADOS!$AG37="",METALESPESADOS!$AH37="",METALESPESADOS!$AI37="",METALESPESADOS!$AJ37=""),"",AVERAGE(METALESPESADOS!$AG37,METALESPESADOS!$AH37,METALESPESADOS!$AI37,METALESPESADOS!$AJ37))</f>
        <v/>
      </c>
      <c r="BE37" s="23">
        <v>1</v>
      </c>
      <c r="BF37" s="31" t="str">
        <f>IF(OR(METALESPESADOS!$A37="",METALESPESADOS!$B37="",METALESPESADOS!$C37="",METALESPESADOS!$D37="",METALESPESADOS!$E37="",METALESPESADOS!$K37="",METALESPESADOS!$BD37="",METALESPESADOS!$BE37=""),"",((METALESPESADOS!$K37-METALESPESADOS!$BD37)*METALESPESADOS!$BE37*METALESPESADOS!$D37*(1/METALESPESADOS!$C37)*METALESPESADOS!$E37))</f>
        <v/>
      </c>
      <c r="BG37" s="17" t="str">
        <f>IF(AND(METALESPESADOS!$AK37="",METALESPESADOS!$AL37="",METALESPESADOS!$AM37="",METALESPESADOS!$AN37=""),"",AVERAGE(METALESPESADOS!$AK37,METALESPESADOS!$AL37,METALESPESADOS!$AM37,METALESPESADOS!$AN37))</f>
        <v/>
      </c>
      <c r="BH37" s="23">
        <v>10</v>
      </c>
      <c r="BI37" s="32" t="str">
        <f>IF(OR(METALESPESADOS!$A37="",METALESPESADOS!$B37="",METALESPESADOS!$C37="",METALESPESADOS!$D37="",METALESPESADOS!$E37="",METALESPESADOS!$L37="",METALESPESADOS!$BG37="",METALESPESADOS!$BH37=""),"",((METALESPESADOS!$L37-METALESPESADOS!$BG37)*METALESPESADOS!$BH37*METALESPESADOS!$D37*(1/METALESPESADOS!$C37)*METALESPESADOS!$E37*0.001))</f>
        <v/>
      </c>
    </row>
    <row r="38" spans="1:61" x14ac:dyDescent="0.3">
      <c r="A38" s="19" t="str">
        <f>IF(Pesada!A38="","",Pesada!A38)</f>
        <v/>
      </c>
      <c r="B38" s="16" t="str">
        <f>IF(Pesada!B38="","",Pesada!B38)</f>
        <v/>
      </c>
      <c r="C38" s="20" t="str">
        <f>IF(Pesada!C38="","",VALUE(Pesada!C38))</f>
        <v/>
      </c>
      <c r="D38" s="23">
        <v>100</v>
      </c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17" t="str">
        <f>IF(AND(METALESPESADOS!$M38="",METALESPESADOS!$N38="",METALESPESADOS!$O38="",METALESPESADOS!$P38=""),"",AVERAGE(METALESPESADOS!$M38,METALESPESADOS!$N38,METALESPESADOS!$O38,METALESPESADOS!$P38))</f>
        <v/>
      </c>
      <c r="AP38" s="23">
        <v>1</v>
      </c>
      <c r="AQ38" s="31" t="str">
        <f>IF(OR(METALESPESADOS!$A38="",METALESPESADOS!$B38="",METALESPESADOS!$C38="",METALESPESADOS!$D38="",METALESPESADOS!$E38="",METALESPESADOS!$F38="",METALESPESADOS!$AO38="",METALESPESADOS!$AP38=""),"",((METALESPESADOS!$F38-METALESPESADOS!$AO38)*METALESPESADOS!$AP38*METALESPESADOS!$D38*(1/METALESPESADOS!$C38)*METALESPESADOS!$E38*0.001))</f>
        <v/>
      </c>
      <c r="AR38" s="17" t="str">
        <f>IF(AND(METALESPESADOS!$Q38="",METALESPESADOS!$R38="",METALESPESADOS!$S38="",METALESPESADOS!$T38=""),"",AVERAGE(METALESPESADOS!$Q38,METALESPESADOS!$R38,METALESPESADOS!$S38,METALESPESADOS!$T38))</f>
        <v/>
      </c>
      <c r="AS38" s="23">
        <v>1</v>
      </c>
      <c r="AT38" s="31" t="str">
        <f>IF(OR(METALESPESADOS!$A38="",METALESPESADOS!$B38="",METALESPESADOS!$C38="",METALESPESADOS!$D38="",METALESPESADOS!$E38="",METALESPESADOS!$G38="",METALESPESADOS!$AR38="",METALESPESADOS!$AS38=""),"",((METALESPESADOS!$G38-METALESPESADOS!$AR38)*METALESPESADOS!$AS38*METALESPESADOS!$D38*(1/METALESPESADOS!$C38)*METALESPESADOS!$E38))</f>
        <v/>
      </c>
      <c r="AU38" s="17" t="str">
        <f>IF(AND(METALESPESADOS!$U38="",METALESPESADOS!$V38="",METALESPESADOS!$W38="",METALESPESADOS!$X38=""),"",AVERAGE(METALESPESADOS!$U38,METALESPESADOS!$V38,METALESPESADOS!$W38,METALESPESADOS!$X38))</f>
        <v/>
      </c>
      <c r="AV38" s="23">
        <v>1</v>
      </c>
      <c r="AW38" s="31" t="str">
        <f>IF(OR(METALESPESADOS!$A38="",METALESPESADOS!$B38="",METALESPESADOS!$C38="",METALESPESADOS!$D38="",METALESPESADOS!$E38="",METALESPESADOS!$H38="",METALESPESADOS!$AU38="",METALESPESADOS!$AV38=""),"",((METALESPESADOS!$H38-METALESPESADOS!$AU38)*METALESPESADOS!$AV38*METALESPESADOS!$D38*(1/METALESPESADOS!$C38)*METALESPESADOS!$E38))</f>
        <v/>
      </c>
      <c r="AX38" s="17" t="str">
        <f>IF(AND(METALESPESADOS!$Y38="",METALESPESADOS!$Z38="",METALESPESADOS!$AA38="",METALESPESADOS!$AB38=""),"",AVERAGE(METALESPESADOS!$Y38,METALESPESADOS!$Z38,METALESPESADOS!$AA38,METALESPESADOS!$AB38))</f>
        <v/>
      </c>
      <c r="AY38" s="23">
        <v>1</v>
      </c>
      <c r="AZ38" s="31" t="str">
        <f>IF(OR(METALESPESADOS!$A38="",METALESPESADOS!$B38="",METALESPESADOS!$C38="",METALESPESADOS!$D38="",METALESPESADOS!$E38="",METALESPESADOS!$I38="",METALESPESADOS!$AX38="",METALESPESADOS!$AY38=""),"",((METALESPESADOS!$I38-METALESPESADOS!$AX38)*METALESPESADOS!$AY38*METALESPESADOS!$D38*(1/METALESPESADOS!$C38)*METALESPESADOS!$E38))</f>
        <v/>
      </c>
      <c r="BA38" s="17" t="str">
        <f>IF(AND(METALESPESADOS!$AC38="",METALESPESADOS!$AD38="",METALESPESADOS!$AE38="",METALESPESADOS!$AF38=""),"",AVERAGE(METALESPESADOS!$AC38,METALESPESADOS!$AD38,METALESPESADOS!$AE38,METALESPESADOS!$AF38))</f>
        <v/>
      </c>
      <c r="BB38" s="23">
        <v>1</v>
      </c>
      <c r="BC38" s="31" t="str">
        <f>IF(OR(METALESPESADOS!$A38="",METALESPESADOS!$B38="",METALESPESADOS!$C38="",METALESPESADOS!$D38="",METALESPESADOS!$E38="",METALESPESADOS!$J38="",METALESPESADOS!$BA38="",METALESPESADOS!$BB38=""),"",((METALESPESADOS!$J38-METALESPESADOS!$BA38)*METALESPESADOS!$BB38*METALESPESADOS!$D38*(1/METALESPESADOS!$C38)*METALESPESADOS!$E38))</f>
        <v/>
      </c>
      <c r="BD38" s="17" t="str">
        <f>IF(AND(METALESPESADOS!$AG38="",METALESPESADOS!$AH38="",METALESPESADOS!$AI38="",METALESPESADOS!$AJ38=""),"",AVERAGE(METALESPESADOS!$AG38,METALESPESADOS!$AH38,METALESPESADOS!$AI38,METALESPESADOS!$AJ38))</f>
        <v/>
      </c>
      <c r="BE38" s="23">
        <v>1</v>
      </c>
      <c r="BF38" s="31" t="str">
        <f>IF(OR(METALESPESADOS!$A38="",METALESPESADOS!$B38="",METALESPESADOS!$C38="",METALESPESADOS!$D38="",METALESPESADOS!$E38="",METALESPESADOS!$K38="",METALESPESADOS!$BD38="",METALESPESADOS!$BE38=""),"",((METALESPESADOS!$K38-METALESPESADOS!$BD38)*METALESPESADOS!$BE38*METALESPESADOS!$D38*(1/METALESPESADOS!$C38)*METALESPESADOS!$E38))</f>
        <v/>
      </c>
      <c r="BG38" s="17" t="str">
        <f>IF(AND(METALESPESADOS!$AK38="",METALESPESADOS!$AL38="",METALESPESADOS!$AM38="",METALESPESADOS!$AN38=""),"",AVERAGE(METALESPESADOS!$AK38,METALESPESADOS!$AL38,METALESPESADOS!$AM38,METALESPESADOS!$AN38))</f>
        <v/>
      </c>
      <c r="BH38" s="23">
        <v>10</v>
      </c>
      <c r="BI38" s="32" t="str">
        <f>IF(OR(METALESPESADOS!$A38="",METALESPESADOS!$B38="",METALESPESADOS!$C38="",METALESPESADOS!$D38="",METALESPESADOS!$E38="",METALESPESADOS!$L38="",METALESPESADOS!$BG38="",METALESPESADOS!$BH38=""),"",((METALESPESADOS!$L38-METALESPESADOS!$BG38)*METALESPESADOS!$BH38*METALESPESADOS!$D38*(1/METALESPESADOS!$C38)*METALESPESADOS!$E38*0.001))</f>
        <v/>
      </c>
    </row>
    <row r="39" spans="1:61" x14ac:dyDescent="0.3">
      <c r="A39" s="19" t="str">
        <f>IF(Pesada!A39="","",Pesada!A39)</f>
        <v/>
      </c>
      <c r="B39" s="16" t="str">
        <f>IF(Pesada!B39="","",Pesada!B39)</f>
        <v/>
      </c>
      <c r="C39" s="20" t="str">
        <f>IF(Pesada!C39="","",VALUE(Pesada!C39))</f>
        <v/>
      </c>
      <c r="D39" s="23">
        <v>100</v>
      </c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17" t="str">
        <f>IF(AND(METALESPESADOS!$M39="",METALESPESADOS!$N39="",METALESPESADOS!$O39="",METALESPESADOS!$P39=""),"",AVERAGE(METALESPESADOS!$M39,METALESPESADOS!$N39,METALESPESADOS!$O39,METALESPESADOS!$P39))</f>
        <v/>
      </c>
      <c r="AP39" s="23">
        <v>1</v>
      </c>
      <c r="AQ39" s="31" t="str">
        <f>IF(OR(METALESPESADOS!$A39="",METALESPESADOS!$B39="",METALESPESADOS!$C39="",METALESPESADOS!$D39="",METALESPESADOS!$E39="",METALESPESADOS!$F39="",METALESPESADOS!$AO39="",METALESPESADOS!$AP39=""),"",((METALESPESADOS!$F39-METALESPESADOS!$AO39)*METALESPESADOS!$AP39*METALESPESADOS!$D39*(1/METALESPESADOS!$C39)*METALESPESADOS!$E39*0.001))</f>
        <v/>
      </c>
      <c r="AR39" s="17" t="str">
        <f>IF(AND(METALESPESADOS!$Q39="",METALESPESADOS!$R39="",METALESPESADOS!$S39="",METALESPESADOS!$T39=""),"",AVERAGE(METALESPESADOS!$Q39,METALESPESADOS!$R39,METALESPESADOS!$S39,METALESPESADOS!$T39))</f>
        <v/>
      </c>
      <c r="AS39" s="23">
        <v>1</v>
      </c>
      <c r="AT39" s="31" t="str">
        <f>IF(OR(METALESPESADOS!$A39="",METALESPESADOS!$B39="",METALESPESADOS!$C39="",METALESPESADOS!$D39="",METALESPESADOS!$E39="",METALESPESADOS!$G39="",METALESPESADOS!$AR39="",METALESPESADOS!$AS39=""),"",((METALESPESADOS!$G39-METALESPESADOS!$AR39)*METALESPESADOS!$AS39*METALESPESADOS!$D39*(1/METALESPESADOS!$C39)*METALESPESADOS!$E39))</f>
        <v/>
      </c>
      <c r="AU39" s="17" t="str">
        <f>IF(AND(METALESPESADOS!$U39="",METALESPESADOS!$V39="",METALESPESADOS!$W39="",METALESPESADOS!$X39=""),"",AVERAGE(METALESPESADOS!$U39,METALESPESADOS!$V39,METALESPESADOS!$W39,METALESPESADOS!$X39))</f>
        <v/>
      </c>
      <c r="AV39" s="23">
        <v>1</v>
      </c>
      <c r="AW39" s="31" t="str">
        <f>IF(OR(METALESPESADOS!$A39="",METALESPESADOS!$B39="",METALESPESADOS!$C39="",METALESPESADOS!$D39="",METALESPESADOS!$E39="",METALESPESADOS!$H39="",METALESPESADOS!$AU39="",METALESPESADOS!$AV39=""),"",((METALESPESADOS!$H39-METALESPESADOS!$AU39)*METALESPESADOS!$AV39*METALESPESADOS!$D39*(1/METALESPESADOS!$C39)*METALESPESADOS!$E39))</f>
        <v/>
      </c>
      <c r="AX39" s="17" t="str">
        <f>IF(AND(METALESPESADOS!$Y39="",METALESPESADOS!$Z39="",METALESPESADOS!$AA39="",METALESPESADOS!$AB39=""),"",AVERAGE(METALESPESADOS!$Y39,METALESPESADOS!$Z39,METALESPESADOS!$AA39,METALESPESADOS!$AB39))</f>
        <v/>
      </c>
      <c r="AY39" s="23">
        <v>1</v>
      </c>
      <c r="AZ39" s="31" t="str">
        <f>IF(OR(METALESPESADOS!$A39="",METALESPESADOS!$B39="",METALESPESADOS!$C39="",METALESPESADOS!$D39="",METALESPESADOS!$E39="",METALESPESADOS!$I39="",METALESPESADOS!$AX39="",METALESPESADOS!$AY39=""),"",((METALESPESADOS!$I39-METALESPESADOS!$AX39)*METALESPESADOS!$AY39*METALESPESADOS!$D39*(1/METALESPESADOS!$C39)*METALESPESADOS!$E39))</f>
        <v/>
      </c>
      <c r="BA39" s="17" t="str">
        <f>IF(AND(METALESPESADOS!$AC39="",METALESPESADOS!$AD39="",METALESPESADOS!$AE39="",METALESPESADOS!$AF39=""),"",AVERAGE(METALESPESADOS!$AC39,METALESPESADOS!$AD39,METALESPESADOS!$AE39,METALESPESADOS!$AF39))</f>
        <v/>
      </c>
      <c r="BB39" s="23">
        <v>1</v>
      </c>
      <c r="BC39" s="31" t="str">
        <f>IF(OR(METALESPESADOS!$A39="",METALESPESADOS!$B39="",METALESPESADOS!$C39="",METALESPESADOS!$D39="",METALESPESADOS!$E39="",METALESPESADOS!$J39="",METALESPESADOS!$BA39="",METALESPESADOS!$BB39=""),"",((METALESPESADOS!$J39-METALESPESADOS!$BA39)*METALESPESADOS!$BB39*METALESPESADOS!$D39*(1/METALESPESADOS!$C39)*METALESPESADOS!$E39))</f>
        <v/>
      </c>
      <c r="BD39" s="17" t="str">
        <f>IF(AND(METALESPESADOS!$AG39="",METALESPESADOS!$AH39="",METALESPESADOS!$AI39="",METALESPESADOS!$AJ39=""),"",AVERAGE(METALESPESADOS!$AG39,METALESPESADOS!$AH39,METALESPESADOS!$AI39,METALESPESADOS!$AJ39))</f>
        <v/>
      </c>
      <c r="BE39" s="23">
        <v>1</v>
      </c>
      <c r="BF39" s="31" t="str">
        <f>IF(OR(METALESPESADOS!$A39="",METALESPESADOS!$B39="",METALESPESADOS!$C39="",METALESPESADOS!$D39="",METALESPESADOS!$E39="",METALESPESADOS!$K39="",METALESPESADOS!$BD39="",METALESPESADOS!$BE39=""),"",((METALESPESADOS!$K39-METALESPESADOS!$BD39)*METALESPESADOS!$BE39*METALESPESADOS!$D39*(1/METALESPESADOS!$C39)*METALESPESADOS!$E39))</f>
        <v/>
      </c>
      <c r="BG39" s="17" t="str">
        <f>IF(AND(METALESPESADOS!$AK39="",METALESPESADOS!$AL39="",METALESPESADOS!$AM39="",METALESPESADOS!$AN39=""),"",AVERAGE(METALESPESADOS!$AK39,METALESPESADOS!$AL39,METALESPESADOS!$AM39,METALESPESADOS!$AN39))</f>
        <v/>
      </c>
      <c r="BH39" s="23">
        <v>10</v>
      </c>
      <c r="BI39" s="32" t="str">
        <f>IF(OR(METALESPESADOS!$A39="",METALESPESADOS!$B39="",METALESPESADOS!$C39="",METALESPESADOS!$D39="",METALESPESADOS!$E39="",METALESPESADOS!$L39="",METALESPESADOS!$BG39="",METALESPESADOS!$BH39=""),"",((METALESPESADOS!$L39-METALESPESADOS!$BG39)*METALESPESADOS!$BH39*METALESPESADOS!$D39*(1/METALESPESADOS!$C39)*METALESPESADOS!$E39*0.001))</f>
        <v/>
      </c>
    </row>
    <row r="40" spans="1:61" x14ac:dyDescent="0.3">
      <c r="A40" s="19" t="str">
        <f>IF(Pesada!A40="","",Pesada!A40)</f>
        <v/>
      </c>
      <c r="B40" s="16" t="str">
        <f>IF(Pesada!B40="","",Pesada!B40)</f>
        <v/>
      </c>
      <c r="C40" s="20" t="str">
        <f>IF(Pesada!C40="","",VALUE(Pesada!C40))</f>
        <v/>
      </c>
      <c r="D40" s="23">
        <v>100</v>
      </c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17" t="str">
        <f>IF(AND(METALESPESADOS!$M40="",METALESPESADOS!$N40="",METALESPESADOS!$O40="",METALESPESADOS!$P40=""),"",AVERAGE(METALESPESADOS!$M40,METALESPESADOS!$N40,METALESPESADOS!$O40,METALESPESADOS!$P40))</f>
        <v/>
      </c>
      <c r="AP40" s="23">
        <v>1</v>
      </c>
      <c r="AQ40" s="31" t="str">
        <f>IF(OR(METALESPESADOS!$A40="",METALESPESADOS!$B40="",METALESPESADOS!$C40="",METALESPESADOS!$D40="",METALESPESADOS!$E40="",METALESPESADOS!$F40="",METALESPESADOS!$AO40="",METALESPESADOS!$AP40=""),"",((METALESPESADOS!$F40-METALESPESADOS!$AO40)*METALESPESADOS!$AP40*METALESPESADOS!$D40*(1/METALESPESADOS!$C40)*METALESPESADOS!$E40*0.001))</f>
        <v/>
      </c>
      <c r="AR40" s="17" t="str">
        <f>IF(AND(METALESPESADOS!$Q40="",METALESPESADOS!$R40="",METALESPESADOS!$S40="",METALESPESADOS!$T40=""),"",AVERAGE(METALESPESADOS!$Q40,METALESPESADOS!$R40,METALESPESADOS!$S40,METALESPESADOS!$T40))</f>
        <v/>
      </c>
      <c r="AS40" s="23">
        <v>1</v>
      </c>
      <c r="AT40" s="31" t="str">
        <f>IF(OR(METALESPESADOS!$A40="",METALESPESADOS!$B40="",METALESPESADOS!$C40="",METALESPESADOS!$D40="",METALESPESADOS!$E40="",METALESPESADOS!$G40="",METALESPESADOS!$AR40="",METALESPESADOS!$AS40=""),"",((METALESPESADOS!$G40-METALESPESADOS!$AR40)*METALESPESADOS!$AS40*METALESPESADOS!$D40*(1/METALESPESADOS!$C40)*METALESPESADOS!$E40))</f>
        <v/>
      </c>
      <c r="AU40" s="17" t="str">
        <f>IF(AND(METALESPESADOS!$U40="",METALESPESADOS!$V40="",METALESPESADOS!$W40="",METALESPESADOS!$X40=""),"",AVERAGE(METALESPESADOS!$U40,METALESPESADOS!$V40,METALESPESADOS!$W40,METALESPESADOS!$X40))</f>
        <v/>
      </c>
      <c r="AV40" s="23">
        <v>1</v>
      </c>
      <c r="AW40" s="31" t="str">
        <f>IF(OR(METALESPESADOS!$A40="",METALESPESADOS!$B40="",METALESPESADOS!$C40="",METALESPESADOS!$D40="",METALESPESADOS!$E40="",METALESPESADOS!$H40="",METALESPESADOS!$AU40="",METALESPESADOS!$AV40=""),"",((METALESPESADOS!$H40-METALESPESADOS!$AU40)*METALESPESADOS!$AV40*METALESPESADOS!$D40*(1/METALESPESADOS!$C40)*METALESPESADOS!$E40))</f>
        <v/>
      </c>
      <c r="AX40" s="17" t="str">
        <f>IF(AND(METALESPESADOS!$Y40="",METALESPESADOS!$Z40="",METALESPESADOS!$AA40="",METALESPESADOS!$AB40=""),"",AVERAGE(METALESPESADOS!$Y40,METALESPESADOS!$Z40,METALESPESADOS!$AA40,METALESPESADOS!$AB40))</f>
        <v/>
      </c>
      <c r="AY40" s="23">
        <v>1</v>
      </c>
      <c r="AZ40" s="31" t="str">
        <f>IF(OR(METALESPESADOS!$A40="",METALESPESADOS!$B40="",METALESPESADOS!$C40="",METALESPESADOS!$D40="",METALESPESADOS!$E40="",METALESPESADOS!$I40="",METALESPESADOS!$AX40="",METALESPESADOS!$AY40=""),"",((METALESPESADOS!$I40-METALESPESADOS!$AX40)*METALESPESADOS!$AY40*METALESPESADOS!$D40*(1/METALESPESADOS!$C40)*METALESPESADOS!$E40))</f>
        <v/>
      </c>
      <c r="BA40" s="17" t="str">
        <f>IF(AND(METALESPESADOS!$AC40="",METALESPESADOS!$AD40="",METALESPESADOS!$AE40="",METALESPESADOS!$AF40=""),"",AVERAGE(METALESPESADOS!$AC40,METALESPESADOS!$AD40,METALESPESADOS!$AE40,METALESPESADOS!$AF40))</f>
        <v/>
      </c>
      <c r="BB40" s="23">
        <v>1</v>
      </c>
      <c r="BC40" s="31" t="str">
        <f>IF(OR(METALESPESADOS!$A40="",METALESPESADOS!$B40="",METALESPESADOS!$C40="",METALESPESADOS!$D40="",METALESPESADOS!$E40="",METALESPESADOS!$J40="",METALESPESADOS!$BA40="",METALESPESADOS!$BB40=""),"",((METALESPESADOS!$J40-METALESPESADOS!$BA40)*METALESPESADOS!$BB40*METALESPESADOS!$D40*(1/METALESPESADOS!$C40)*METALESPESADOS!$E40))</f>
        <v/>
      </c>
      <c r="BD40" s="17" t="str">
        <f>IF(AND(METALESPESADOS!$AG40="",METALESPESADOS!$AH40="",METALESPESADOS!$AI40="",METALESPESADOS!$AJ40=""),"",AVERAGE(METALESPESADOS!$AG40,METALESPESADOS!$AH40,METALESPESADOS!$AI40,METALESPESADOS!$AJ40))</f>
        <v/>
      </c>
      <c r="BE40" s="23">
        <v>1</v>
      </c>
      <c r="BF40" s="31" t="str">
        <f>IF(OR(METALESPESADOS!$A40="",METALESPESADOS!$B40="",METALESPESADOS!$C40="",METALESPESADOS!$D40="",METALESPESADOS!$E40="",METALESPESADOS!$K40="",METALESPESADOS!$BD40="",METALESPESADOS!$BE40=""),"",((METALESPESADOS!$K40-METALESPESADOS!$BD40)*METALESPESADOS!$BE40*METALESPESADOS!$D40*(1/METALESPESADOS!$C40)*METALESPESADOS!$E40))</f>
        <v/>
      </c>
      <c r="BG40" s="17" t="str">
        <f>IF(AND(METALESPESADOS!$AK40="",METALESPESADOS!$AL40="",METALESPESADOS!$AM40="",METALESPESADOS!$AN40=""),"",AVERAGE(METALESPESADOS!$AK40,METALESPESADOS!$AL40,METALESPESADOS!$AM40,METALESPESADOS!$AN40))</f>
        <v/>
      </c>
      <c r="BH40" s="23">
        <v>10</v>
      </c>
      <c r="BI40" s="32" t="str">
        <f>IF(OR(METALESPESADOS!$A40="",METALESPESADOS!$B40="",METALESPESADOS!$C40="",METALESPESADOS!$D40="",METALESPESADOS!$E40="",METALESPESADOS!$L40="",METALESPESADOS!$BG40="",METALESPESADOS!$BH40=""),"",((METALESPESADOS!$L40-METALESPESADOS!$BG40)*METALESPESADOS!$BH40*METALESPESADOS!$D40*(1/METALESPESADOS!$C40)*METALESPESADOS!$E40*0.001))</f>
        <v/>
      </c>
    </row>
    <row r="41" spans="1:61" x14ac:dyDescent="0.3">
      <c r="A41" s="19" t="str">
        <f>IF(Pesada!A41="","",Pesada!A41)</f>
        <v/>
      </c>
      <c r="B41" s="16" t="str">
        <f>IF(Pesada!B41="","",Pesada!B41)</f>
        <v/>
      </c>
      <c r="C41" s="20" t="str">
        <f>IF(Pesada!C41="","",VALUE(Pesada!C41))</f>
        <v/>
      </c>
      <c r="D41" s="23">
        <v>100</v>
      </c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17" t="str">
        <f>IF(AND(METALESPESADOS!$M41="",METALESPESADOS!$N41="",METALESPESADOS!$O41="",METALESPESADOS!$P41=""),"",AVERAGE(METALESPESADOS!$M41,METALESPESADOS!$N41,METALESPESADOS!$O41,METALESPESADOS!$P41))</f>
        <v/>
      </c>
      <c r="AP41" s="23">
        <v>1</v>
      </c>
      <c r="AQ41" s="31" t="str">
        <f>IF(OR(METALESPESADOS!$A41="",METALESPESADOS!$B41="",METALESPESADOS!$C41="",METALESPESADOS!$D41="",METALESPESADOS!$E41="",METALESPESADOS!$F41="",METALESPESADOS!$AO41="",METALESPESADOS!$AP41=""),"",((METALESPESADOS!$F41-METALESPESADOS!$AO41)*METALESPESADOS!$AP41*METALESPESADOS!$D41*(1/METALESPESADOS!$C41)*METALESPESADOS!$E41*0.001))</f>
        <v/>
      </c>
      <c r="AR41" s="17" t="str">
        <f>IF(AND(METALESPESADOS!$Q41="",METALESPESADOS!$R41="",METALESPESADOS!$S41="",METALESPESADOS!$T41=""),"",AVERAGE(METALESPESADOS!$Q41,METALESPESADOS!$R41,METALESPESADOS!$S41,METALESPESADOS!$T41))</f>
        <v/>
      </c>
      <c r="AS41" s="23">
        <v>1</v>
      </c>
      <c r="AT41" s="31" t="str">
        <f>IF(OR(METALESPESADOS!$A41="",METALESPESADOS!$B41="",METALESPESADOS!$C41="",METALESPESADOS!$D41="",METALESPESADOS!$E41="",METALESPESADOS!$G41="",METALESPESADOS!$AR41="",METALESPESADOS!$AS41=""),"",((METALESPESADOS!$G41-METALESPESADOS!$AR41)*METALESPESADOS!$AS41*METALESPESADOS!$D41*(1/METALESPESADOS!$C41)*METALESPESADOS!$E41))</f>
        <v/>
      </c>
      <c r="AU41" s="17" t="str">
        <f>IF(AND(METALESPESADOS!$U41="",METALESPESADOS!$V41="",METALESPESADOS!$W41="",METALESPESADOS!$X41=""),"",AVERAGE(METALESPESADOS!$U41,METALESPESADOS!$V41,METALESPESADOS!$W41,METALESPESADOS!$X41))</f>
        <v/>
      </c>
      <c r="AV41" s="23">
        <v>1</v>
      </c>
      <c r="AW41" s="31" t="str">
        <f>IF(OR(METALESPESADOS!$A41="",METALESPESADOS!$B41="",METALESPESADOS!$C41="",METALESPESADOS!$D41="",METALESPESADOS!$E41="",METALESPESADOS!$H41="",METALESPESADOS!$AU41="",METALESPESADOS!$AV41=""),"",((METALESPESADOS!$H41-METALESPESADOS!$AU41)*METALESPESADOS!$AV41*METALESPESADOS!$D41*(1/METALESPESADOS!$C41)*METALESPESADOS!$E41))</f>
        <v/>
      </c>
      <c r="AX41" s="17" t="str">
        <f>IF(AND(METALESPESADOS!$Y41="",METALESPESADOS!$Z41="",METALESPESADOS!$AA41="",METALESPESADOS!$AB41=""),"",AVERAGE(METALESPESADOS!$Y41,METALESPESADOS!$Z41,METALESPESADOS!$AA41,METALESPESADOS!$AB41))</f>
        <v/>
      </c>
      <c r="AY41" s="23">
        <v>1</v>
      </c>
      <c r="AZ41" s="31" t="str">
        <f>IF(OR(METALESPESADOS!$A41="",METALESPESADOS!$B41="",METALESPESADOS!$C41="",METALESPESADOS!$D41="",METALESPESADOS!$E41="",METALESPESADOS!$I41="",METALESPESADOS!$AX41="",METALESPESADOS!$AY41=""),"",((METALESPESADOS!$I41-METALESPESADOS!$AX41)*METALESPESADOS!$AY41*METALESPESADOS!$D41*(1/METALESPESADOS!$C41)*METALESPESADOS!$E41))</f>
        <v/>
      </c>
      <c r="BA41" s="17" t="str">
        <f>IF(AND(METALESPESADOS!$AC41="",METALESPESADOS!$AD41="",METALESPESADOS!$AE41="",METALESPESADOS!$AF41=""),"",AVERAGE(METALESPESADOS!$AC41,METALESPESADOS!$AD41,METALESPESADOS!$AE41,METALESPESADOS!$AF41))</f>
        <v/>
      </c>
      <c r="BB41" s="23">
        <v>1</v>
      </c>
      <c r="BC41" s="31" t="str">
        <f>IF(OR(METALESPESADOS!$A41="",METALESPESADOS!$B41="",METALESPESADOS!$C41="",METALESPESADOS!$D41="",METALESPESADOS!$E41="",METALESPESADOS!$J41="",METALESPESADOS!$BA41="",METALESPESADOS!$BB41=""),"",((METALESPESADOS!$J41-METALESPESADOS!$BA41)*METALESPESADOS!$BB41*METALESPESADOS!$D41*(1/METALESPESADOS!$C41)*METALESPESADOS!$E41))</f>
        <v/>
      </c>
      <c r="BD41" s="17" t="str">
        <f>IF(AND(METALESPESADOS!$AG41="",METALESPESADOS!$AH41="",METALESPESADOS!$AI41="",METALESPESADOS!$AJ41=""),"",AVERAGE(METALESPESADOS!$AG41,METALESPESADOS!$AH41,METALESPESADOS!$AI41,METALESPESADOS!$AJ41))</f>
        <v/>
      </c>
      <c r="BE41" s="23">
        <v>1</v>
      </c>
      <c r="BF41" s="31" t="str">
        <f>IF(OR(METALESPESADOS!$A41="",METALESPESADOS!$B41="",METALESPESADOS!$C41="",METALESPESADOS!$D41="",METALESPESADOS!$E41="",METALESPESADOS!$K41="",METALESPESADOS!$BD41="",METALESPESADOS!$BE41=""),"",((METALESPESADOS!$K41-METALESPESADOS!$BD41)*METALESPESADOS!$BE41*METALESPESADOS!$D41*(1/METALESPESADOS!$C41)*METALESPESADOS!$E41))</f>
        <v/>
      </c>
      <c r="BG41" s="17" t="str">
        <f>IF(AND(METALESPESADOS!$AK41="",METALESPESADOS!$AL41="",METALESPESADOS!$AM41="",METALESPESADOS!$AN41=""),"",AVERAGE(METALESPESADOS!$AK41,METALESPESADOS!$AL41,METALESPESADOS!$AM41,METALESPESADOS!$AN41))</f>
        <v/>
      </c>
      <c r="BH41" s="23">
        <v>10</v>
      </c>
      <c r="BI41" s="32" t="str">
        <f>IF(OR(METALESPESADOS!$A41="",METALESPESADOS!$B41="",METALESPESADOS!$C41="",METALESPESADOS!$D41="",METALESPESADOS!$E41="",METALESPESADOS!$L41="",METALESPESADOS!$BG41="",METALESPESADOS!$BH41=""),"",((METALESPESADOS!$L41-METALESPESADOS!$BG41)*METALESPESADOS!$BH41*METALESPESADOS!$D41*(1/METALESPESADOS!$C41)*METALESPESADOS!$E41*0.001))</f>
        <v/>
      </c>
    </row>
    <row r="42" spans="1:61" x14ac:dyDescent="0.3">
      <c r="A42" s="19" t="str">
        <f>IF(Pesada!A42="","",Pesada!A42)</f>
        <v/>
      </c>
      <c r="B42" s="16" t="str">
        <f>IF(Pesada!B42="","",Pesada!B42)</f>
        <v/>
      </c>
      <c r="C42" s="20" t="str">
        <f>IF(Pesada!C42="","",VALUE(Pesada!C42))</f>
        <v/>
      </c>
      <c r="D42" s="23">
        <v>100</v>
      </c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17" t="str">
        <f>IF(AND(METALESPESADOS!$M42="",METALESPESADOS!$N42="",METALESPESADOS!$O42="",METALESPESADOS!$P42=""),"",AVERAGE(METALESPESADOS!$M42,METALESPESADOS!$N42,METALESPESADOS!$O42,METALESPESADOS!$P42))</f>
        <v/>
      </c>
      <c r="AP42" s="23">
        <v>1</v>
      </c>
      <c r="AQ42" s="31" t="str">
        <f>IF(OR(METALESPESADOS!$A42="",METALESPESADOS!$B42="",METALESPESADOS!$C42="",METALESPESADOS!$D42="",METALESPESADOS!$E42="",METALESPESADOS!$F42="",METALESPESADOS!$AO42="",METALESPESADOS!$AP42=""),"",((METALESPESADOS!$F42-METALESPESADOS!$AO42)*METALESPESADOS!$AP42*METALESPESADOS!$D42*(1/METALESPESADOS!$C42)*METALESPESADOS!$E42*0.001))</f>
        <v/>
      </c>
      <c r="AR42" s="17" t="str">
        <f>IF(AND(METALESPESADOS!$Q42="",METALESPESADOS!$R42="",METALESPESADOS!$S42="",METALESPESADOS!$T42=""),"",AVERAGE(METALESPESADOS!$Q42,METALESPESADOS!$R42,METALESPESADOS!$S42,METALESPESADOS!$T42))</f>
        <v/>
      </c>
      <c r="AS42" s="23">
        <v>1</v>
      </c>
      <c r="AT42" s="31" t="str">
        <f>IF(OR(METALESPESADOS!$A42="",METALESPESADOS!$B42="",METALESPESADOS!$C42="",METALESPESADOS!$D42="",METALESPESADOS!$E42="",METALESPESADOS!$G42="",METALESPESADOS!$AR42="",METALESPESADOS!$AS42=""),"",((METALESPESADOS!$G42-METALESPESADOS!$AR42)*METALESPESADOS!$AS42*METALESPESADOS!$D42*(1/METALESPESADOS!$C42)*METALESPESADOS!$E42))</f>
        <v/>
      </c>
      <c r="AU42" s="17" t="str">
        <f>IF(AND(METALESPESADOS!$U42="",METALESPESADOS!$V42="",METALESPESADOS!$W42="",METALESPESADOS!$X42=""),"",AVERAGE(METALESPESADOS!$U42,METALESPESADOS!$V42,METALESPESADOS!$W42,METALESPESADOS!$X42))</f>
        <v/>
      </c>
      <c r="AV42" s="23">
        <v>1</v>
      </c>
      <c r="AW42" s="31" t="str">
        <f>IF(OR(METALESPESADOS!$A42="",METALESPESADOS!$B42="",METALESPESADOS!$C42="",METALESPESADOS!$D42="",METALESPESADOS!$E42="",METALESPESADOS!$H42="",METALESPESADOS!$AU42="",METALESPESADOS!$AV42=""),"",((METALESPESADOS!$H42-METALESPESADOS!$AU42)*METALESPESADOS!$AV42*METALESPESADOS!$D42*(1/METALESPESADOS!$C42)*METALESPESADOS!$E42))</f>
        <v/>
      </c>
      <c r="AX42" s="17" t="str">
        <f>IF(AND(METALESPESADOS!$Y42="",METALESPESADOS!$Z42="",METALESPESADOS!$AA42="",METALESPESADOS!$AB42=""),"",AVERAGE(METALESPESADOS!$Y42,METALESPESADOS!$Z42,METALESPESADOS!$AA42,METALESPESADOS!$AB42))</f>
        <v/>
      </c>
      <c r="AY42" s="23">
        <v>1</v>
      </c>
      <c r="AZ42" s="31" t="str">
        <f>IF(OR(METALESPESADOS!$A42="",METALESPESADOS!$B42="",METALESPESADOS!$C42="",METALESPESADOS!$D42="",METALESPESADOS!$E42="",METALESPESADOS!$I42="",METALESPESADOS!$AX42="",METALESPESADOS!$AY42=""),"",((METALESPESADOS!$I42-METALESPESADOS!$AX42)*METALESPESADOS!$AY42*METALESPESADOS!$D42*(1/METALESPESADOS!$C42)*METALESPESADOS!$E42))</f>
        <v/>
      </c>
      <c r="BA42" s="17" t="str">
        <f>IF(AND(METALESPESADOS!$AC42="",METALESPESADOS!$AD42="",METALESPESADOS!$AE42="",METALESPESADOS!$AF42=""),"",AVERAGE(METALESPESADOS!$AC42,METALESPESADOS!$AD42,METALESPESADOS!$AE42,METALESPESADOS!$AF42))</f>
        <v/>
      </c>
      <c r="BB42" s="23">
        <v>1</v>
      </c>
      <c r="BC42" s="31" t="str">
        <f>IF(OR(METALESPESADOS!$A42="",METALESPESADOS!$B42="",METALESPESADOS!$C42="",METALESPESADOS!$D42="",METALESPESADOS!$E42="",METALESPESADOS!$J42="",METALESPESADOS!$BA42="",METALESPESADOS!$BB42=""),"",((METALESPESADOS!$J42-METALESPESADOS!$BA42)*METALESPESADOS!$BB42*METALESPESADOS!$D42*(1/METALESPESADOS!$C42)*METALESPESADOS!$E42))</f>
        <v/>
      </c>
      <c r="BD42" s="17" t="str">
        <f>IF(AND(METALESPESADOS!$AG42="",METALESPESADOS!$AH42="",METALESPESADOS!$AI42="",METALESPESADOS!$AJ42=""),"",AVERAGE(METALESPESADOS!$AG42,METALESPESADOS!$AH42,METALESPESADOS!$AI42,METALESPESADOS!$AJ42))</f>
        <v/>
      </c>
      <c r="BE42" s="23">
        <v>1</v>
      </c>
      <c r="BF42" s="31" t="str">
        <f>IF(OR(METALESPESADOS!$A42="",METALESPESADOS!$B42="",METALESPESADOS!$C42="",METALESPESADOS!$D42="",METALESPESADOS!$E42="",METALESPESADOS!$K42="",METALESPESADOS!$BD42="",METALESPESADOS!$BE42=""),"",((METALESPESADOS!$K42-METALESPESADOS!$BD42)*METALESPESADOS!$BE42*METALESPESADOS!$D42*(1/METALESPESADOS!$C42)*METALESPESADOS!$E42))</f>
        <v/>
      </c>
      <c r="BG42" s="17" t="str">
        <f>IF(AND(METALESPESADOS!$AK42="",METALESPESADOS!$AL42="",METALESPESADOS!$AM42="",METALESPESADOS!$AN42=""),"",AVERAGE(METALESPESADOS!$AK42,METALESPESADOS!$AL42,METALESPESADOS!$AM42,METALESPESADOS!$AN42))</f>
        <v/>
      </c>
      <c r="BH42" s="23">
        <v>10</v>
      </c>
      <c r="BI42" s="32" t="str">
        <f>IF(OR(METALESPESADOS!$A42="",METALESPESADOS!$B42="",METALESPESADOS!$C42="",METALESPESADOS!$D42="",METALESPESADOS!$E42="",METALESPESADOS!$L42="",METALESPESADOS!$BG42="",METALESPESADOS!$BH42=""),"",((METALESPESADOS!$L42-METALESPESADOS!$BG42)*METALESPESADOS!$BH42*METALESPESADOS!$D42*(1/METALESPESADOS!$C42)*METALESPESADOS!$E42*0.001))</f>
        <v/>
      </c>
    </row>
    <row r="43" spans="1:61" x14ac:dyDescent="0.3">
      <c r="A43" s="19" t="str">
        <f>IF(Pesada!A43="","",Pesada!A43)</f>
        <v/>
      </c>
      <c r="B43" s="16" t="str">
        <f>IF(Pesada!B43="","",Pesada!B43)</f>
        <v/>
      </c>
      <c r="C43" s="20" t="str">
        <f>IF(Pesada!C43="","",VALUE(Pesada!C43))</f>
        <v/>
      </c>
      <c r="D43" s="23">
        <v>100</v>
      </c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17" t="str">
        <f>IF(AND(METALESPESADOS!$M43="",METALESPESADOS!$N43="",METALESPESADOS!$O43="",METALESPESADOS!$P43=""),"",AVERAGE(METALESPESADOS!$M43,METALESPESADOS!$N43,METALESPESADOS!$O43,METALESPESADOS!$P43))</f>
        <v/>
      </c>
      <c r="AP43" s="23">
        <v>1</v>
      </c>
      <c r="AQ43" s="31" t="str">
        <f>IF(OR(METALESPESADOS!$A43="",METALESPESADOS!$B43="",METALESPESADOS!$C43="",METALESPESADOS!$D43="",METALESPESADOS!$E43="",METALESPESADOS!$F43="",METALESPESADOS!$AO43="",METALESPESADOS!$AP43=""),"",((METALESPESADOS!$F43-METALESPESADOS!$AO43)*METALESPESADOS!$AP43*METALESPESADOS!$D43*(1/METALESPESADOS!$C43)*METALESPESADOS!$E43*0.001))</f>
        <v/>
      </c>
      <c r="AR43" s="17" t="str">
        <f>IF(AND(METALESPESADOS!$Q43="",METALESPESADOS!$R43="",METALESPESADOS!$S43="",METALESPESADOS!$T43=""),"",AVERAGE(METALESPESADOS!$Q43,METALESPESADOS!$R43,METALESPESADOS!$S43,METALESPESADOS!$T43))</f>
        <v/>
      </c>
      <c r="AS43" s="23">
        <v>1</v>
      </c>
      <c r="AT43" s="31" t="str">
        <f>IF(OR(METALESPESADOS!$A43="",METALESPESADOS!$B43="",METALESPESADOS!$C43="",METALESPESADOS!$D43="",METALESPESADOS!$E43="",METALESPESADOS!$G43="",METALESPESADOS!$AR43="",METALESPESADOS!$AS43=""),"",((METALESPESADOS!$G43-METALESPESADOS!$AR43)*METALESPESADOS!$AS43*METALESPESADOS!$D43*(1/METALESPESADOS!$C43)*METALESPESADOS!$E43))</f>
        <v/>
      </c>
      <c r="AU43" s="17" t="str">
        <f>IF(AND(METALESPESADOS!$U43="",METALESPESADOS!$V43="",METALESPESADOS!$W43="",METALESPESADOS!$X43=""),"",AVERAGE(METALESPESADOS!$U43,METALESPESADOS!$V43,METALESPESADOS!$W43,METALESPESADOS!$X43))</f>
        <v/>
      </c>
      <c r="AV43" s="23">
        <v>1</v>
      </c>
      <c r="AW43" s="31" t="str">
        <f>IF(OR(METALESPESADOS!$A43="",METALESPESADOS!$B43="",METALESPESADOS!$C43="",METALESPESADOS!$D43="",METALESPESADOS!$E43="",METALESPESADOS!$H43="",METALESPESADOS!$AU43="",METALESPESADOS!$AV43=""),"",((METALESPESADOS!$H43-METALESPESADOS!$AU43)*METALESPESADOS!$AV43*METALESPESADOS!$D43*(1/METALESPESADOS!$C43)*METALESPESADOS!$E43))</f>
        <v/>
      </c>
      <c r="AX43" s="17" t="str">
        <f>IF(AND(METALESPESADOS!$Y43="",METALESPESADOS!$Z43="",METALESPESADOS!$AA43="",METALESPESADOS!$AB43=""),"",AVERAGE(METALESPESADOS!$Y43,METALESPESADOS!$Z43,METALESPESADOS!$AA43,METALESPESADOS!$AB43))</f>
        <v/>
      </c>
      <c r="AY43" s="23">
        <v>1</v>
      </c>
      <c r="AZ43" s="31" t="str">
        <f>IF(OR(METALESPESADOS!$A43="",METALESPESADOS!$B43="",METALESPESADOS!$C43="",METALESPESADOS!$D43="",METALESPESADOS!$E43="",METALESPESADOS!$I43="",METALESPESADOS!$AX43="",METALESPESADOS!$AY43=""),"",((METALESPESADOS!$I43-METALESPESADOS!$AX43)*METALESPESADOS!$AY43*METALESPESADOS!$D43*(1/METALESPESADOS!$C43)*METALESPESADOS!$E43))</f>
        <v/>
      </c>
      <c r="BA43" s="17" t="str">
        <f>IF(AND(METALESPESADOS!$AC43="",METALESPESADOS!$AD43="",METALESPESADOS!$AE43="",METALESPESADOS!$AF43=""),"",AVERAGE(METALESPESADOS!$AC43,METALESPESADOS!$AD43,METALESPESADOS!$AE43,METALESPESADOS!$AF43))</f>
        <v/>
      </c>
      <c r="BB43" s="23">
        <v>1</v>
      </c>
      <c r="BC43" s="31" t="str">
        <f>IF(OR(METALESPESADOS!$A43="",METALESPESADOS!$B43="",METALESPESADOS!$C43="",METALESPESADOS!$D43="",METALESPESADOS!$E43="",METALESPESADOS!$J43="",METALESPESADOS!$BA43="",METALESPESADOS!$BB43=""),"",((METALESPESADOS!$J43-METALESPESADOS!$BA43)*METALESPESADOS!$BB43*METALESPESADOS!$D43*(1/METALESPESADOS!$C43)*METALESPESADOS!$E43))</f>
        <v/>
      </c>
      <c r="BD43" s="17" t="str">
        <f>IF(AND(METALESPESADOS!$AG43="",METALESPESADOS!$AH43="",METALESPESADOS!$AI43="",METALESPESADOS!$AJ43=""),"",AVERAGE(METALESPESADOS!$AG43,METALESPESADOS!$AH43,METALESPESADOS!$AI43,METALESPESADOS!$AJ43))</f>
        <v/>
      </c>
      <c r="BE43" s="23">
        <v>1</v>
      </c>
      <c r="BF43" s="31" t="str">
        <f>IF(OR(METALESPESADOS!$A43="",METALESPESADOS!$B43="",METALESPESADOS!$C43="",METALESPESADOS!$D43="",METALESPESADOS!$E43="",METALESPESADOS!$K43="",METALESPESADOS!$BD43="",METALESPESADOS!$BE43=""),"",((METALESPESADOS!$K43-METALESPESADOS!$BD43)*METALESPESADOS!$BE43*METALESPESADOS!$D43*(1/METALESPESADOS!$C43)*METALESPESADOS!$E43))</f>
        <v/>
      </c>
      <c r="BG43" s="17" t="str">
        <f>IF(AND(METALESPESADOS!$AK43="",METALESPESADOS!$AL43="",METALESPESADOS!$AM43="",METALESPESADOS!$AN43=""),"",AVERAGE(METALESPESADOS!$AK43,METALESPESADOS!$AL43,METALESPESADOS!$AM43,METALESPESADOS!$AN43))</f>
        <v/>
      </c>
      <c r="BH43" s="23">
        <v>10</v>
      </c>
      <c r="BI43" s="32" t="str">
        <f>IF(OR(METALESPESADOS!$A43="",METALESPESADOS!$B43="",METALESPESADOS!$C43="",METALESPESADOS!$D43="",METALESPESADOS!$E43="",METALESPESADOS!$L43="",METALESPESADOS!$BG43="",METALESPESADOS!$BH43=""),"",((METALESPESADOS!$L43-METALESPESADOS!$BG43)*METALESPESADOS!$BH43*METALESPESADOS!$D43*(1/METALESPESADOS!$C43)*METALESPESADOS!$E43*0.001))</f>
        <v/>
      </c>
    </row>
  </sheetData>
  <sheetProtection password="D1D1" sheet="1" objects="1" scenarios="1" formatCells="0" formatColumns="0" formatRows="0"/>
  <pageMargins left="0.70866141732283472" right="0.70866141732283472" top="0.74803149606299213" bottom="0.74803149606299213" header="0.31496062992125984" footer="0.31496062992125984"/>
  <pageSetup paperSize="9" scale="66" orientation="landscape" horizontalDpi="300" verticalDpi="300" r:id="rId1"/>
  <headerFooter>
    <oddHeader>&amp;LLAFIGA&amp;CAGUA REGIA
METALES PESADOS&amp;RPágina &amp;P de &amp;N
&amp;D</oddHeader>
  </headerFooter>
  <colBreaks count="3" manualBreakCount="3">
    <brk id="12" max="42" man="1"/>
    <brk id="36" max="42" man="1"/>
    <brk id="52" max="4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O43"/>
  <sheetViews>
    <sheetView zoomScaleNormal="100" workbookViewId="0">
      <selection activeCell="E2" sqref="E2"/>
    </sheetView>
  </sheetViews>
  <sheetFormatPr baseColWidth="10" defaultColWidth="11.44140625" defaultRowHeight="14.4" x14ac:dyDescent="0.3"/>
  <cols>
    <col min="1" max="1" width="14" style="2" customWidth="1"/>
    <col min="2" max="2" width="14" style="3" customWidth="1"/>
    <col min="3" max="3" width="14.33203125" style="4" customWidth="1"/>
    <col min="4" max="4" width="8.6640625" style="5" customWidth="1"/>
    <col min="5" max="5" width="8.88671875" style="6" customWidth="1"/>
    <col min="6" max="16" width="10.6640625" style="8" customWidth="1"/>
    <col min="17" max="60" width="7.6640625" style="4" customWidth="1"/>
    <col min="61" max="61" width="7.6640625" style="8" customWidth="1"/>
    <col min="62" max="62" width="7.6640625" style="5" customWidth="1"/>
    <col min="63" max="63" width="14.109375" style="9" customWidth="1"/>
    <col min="64" max="64" width="7.6640625" style="8" customWidth="1"/>
    <col min="65" max="65" width="7.6640625" style="5" customWidth="1"/>
    <col min="66" max="66" width="13.44140625" style="9" bestFit="1" customWidth="1"/>
    <col min="67" max="67" width="7.6640625" style="8" customWidth="1"/>
    <col min="68" max="68" width="7.6640625" style="5" customWidth="1"/>
    <col min="69" max="69" width="13.33203125" style="9" customWidth="1"/>
    <col min="70" max="70" width="7.6640625" style="8" customWidth="1"/>
    <col min="71" max="71" width="7.6640625" style="5" customWidth="1"/>
    <col min="72" max="72" width="13.44140625" style="9" bestFit="1" customWidth="1"/>
    <col min="73" max="73" width="7.6640625" style="8" customWidth="1"/>
    <col min="74" max="74" width="7.6640625" style="5" customWidth="1"/>
    <col min="75" max="75" width="13.44140625" style="9" bestFit="1" customWidth="1"/>
    <col min="76" max="76" width="7.6640625" style="8" customWidth="1"/>
    <col min="77" max="77" width="7.6640625" style="5" customWidth="1"/>
    <col min="78" max="78" width="13.44140625" style="9" bestFit="1" customWidth="1"/>
    <col min="79" max="79" width="7.6640625" style="8" customWidth="1"/>
    <col min="80" max="80" width="7.6640625" style="5" customWidth="1"/>
    <col min="81" max="81" width="13.44140625" style="9" bestFit="1" customWidth="1"/>
    <col min="82" max="82" width="7.6640625" style="8" customWidth="1"/>
    <col min="83" max="83" width="7.6640625" style="5" customWidth="1"/>
    <col min="84" max="84" width="13.44140625" style="9" bestFit="1" customWidth="1"/>
    <col min="85" max="85" width="7.6640625" style="8" customWidth="1"/>
    <col min="86" max="86" width="7.6640625" style="5" customWidth="1"/>
    <col min="87" max="87" width="13.44140625" style="9" bestFit="1" customWidth="1"/>
    <col min="88" max="88" width="7.6640625" style="8" customWidth="1"/>
    <col min="89" max="89" width="7.6640625" style="5" customWidth="1"/>
    <col min="90" max="90" width="13.44140625" style="9" bestFit="1" customWidth="1"/>
    <col min="91" max="91" width="7.6640625" style="8" customWidth="1"/>
    <col min="92" max="92" width="7.6640625" style="5" customWidth="1"/>
    <col min="93" max="93" width="13.44140625" style="9" bestFit="1" customWidth="1"/>
    <col min="94" max="16384" width="11.44140625" style="7"/>
  </cols>
  <sheetData>
    <row r="1" spans="1:93" s="1" customFormat="1" ht="45" customHeight="1" x14ac:dyDescent="0.3">
      <c r="A1" s="14" t="s">
        <v>0</v>
      </c>
      <c r="B1" s="10" t="s">
        <v>32</v>
      </c>
      <c r="C1" s="11" t="s">
        <v>1</v>
      </c>
      <c r="D1" s="12" t="s">
        <v>2</v>
      </c>
      <c r="E1" s="15" t="s">
        <v>3</v>
      </c>
      <c r="F1" s="11" t="s">
        <v>29</v>
      </c>
      <c r="G1" s="11" t="s">
        <v>30</v>
      </c>
      <c r="H1" s="11" t="s">
        <v>31</v>
      </c>
      <c r="I1" s="11" t="s">
        <v>4</v>
      </c>
      <c r="J1" s="11" t="s">
        <v>46</v>
      </c>
      <c r="K1" s="11" t="s">
        <v>47</v>
      </c>
      <c r="L1" s="11" t="s">
        <v>48</v>
      </c>
      <c r="M1" s="11" t="s">
        <v>49</v>
      </c>
      <c r="N1" s="11" t="s">
        <v>50</v>
      </c>
      <c r="O1" s="11" t="s">
        <v>51</v>
      </c>
      <c r="P1" s="11" t="s">
        <v>148</v>
      </c>
      <c r="Q1" s="11" t="s">
        <v>7</v>
      </c>
      <c r="R1" s="11" t="s">
        <v>8</v>
      </c>
      <c r="S1" s="11" t="s">
        <v>9</v>
      </c>
      <c r="T1" s="11" t="s">
        <v>10</v>
      </c>
      <c r="U1" s="11" t="s">
        <v>12</v>
      </c>
      <c r="V1" s="11" t="s">
        <v>13</v>
      </c>
      <c r="W1" s="11" t="s">
        <v>14</v>
      </c>
      <c r="X1" s="11" t="s">
        <v>15</v>
      </c>
      <c r="Y1" s="11" t="s">
        <v>17</v>
      </c>
      <c r="Z1" s="11" t="s">
        <v>18</v>
      </c>
      <c r="AA1" s="11" t="s">
        <v>19</v>
      </c>
      <c r="AB1" s="11" t="s">
        <v>20</v>
      </c>
      <c r="AC1" s="11" t="s">
        <v>22</v>
      </c>
      <c r="AD1" s="11" t="s">
        <v>23</v>
      </c>
      <c r="AE1" s="11" t="s">
        <v>24</v>
      </c>
      <c r="AF1" s="11" t="s">
        <v>25</v>
      </c>
      <c r="AG1" s="11" t="s">
        <v>102</v>
      </c>
      <c r="AH1" s="11" t="s">
        <v>103</v>
      </c>
      <c r="AI1" s="11" t="s">
        <v>104</v>
      </c>
      <c r="AJ1" s="11" t="s">
        <v>105</v>
      </c>
      <c r="AK1" s="11" t="s">
        <v>106</v>
      </c>
      <c r="AL1" s="11" t="s">
        <v>107</v>
      </c>
      <c r="AM1" s="11" t="s">
        <v>108</v>
      </c>
      <c r="AN1" s="11" t="s">
        <v>109</v>
      </c>
      <c r="AO1" s="11" t="s">
        <v>110</v>
      </c>
      <c r="AP1" s="11" t="s">
        <v>111</v>
      </c>
      <c r="AQ1" s="11" t="s">
        <v>112</v>
      </c>
      <c r="AR1" s="11" t="s">
        <v>113</v>
      </c>
      <c r="AS1" s="11" t="s">
        <v>114</v>
      </c>
      <c r="AT1" s="11" t="s">
        <v>115</v>
      </c>
      <c r="AU1" s="11" t="s">
        <v>116</v>
      </c>
      <c r="AV1" s="11" t="s">
        <v>117</v>
      </c>
      <c r="AW1" s="11" t="s">
        <v>118</v>
      </c>
      <c r="AX1" s="11" t="s">
        <v>119</v>
      </c>
      <c r="AY1" s="11" t="s">
        <v>120</v>
      </c>
      <c r="AZ1" s="11" t="s">
        <v>121</v>
      </c>
      <c r="BA1" s="11" t="s">
        <v>122</v>
      </c>
      <c r="BB1" s="11" t="s">
        <v>123</v>
      </c>
      <c r="BC1" s="11" t="s">
        <v>124</v>
      </c>
      <c r="BD1" s="11" t="s">
        <v>125</v>
      </c>
      <c r="BE1" s="11" t="s">
        <v>149</v>
      </c>
      <c r="BF1" s="11" t="s">
        <v>150</v>
      </c>
      <c r="BG1" s="11" t="s">
        <v>151</v>
      </c>
      <c r="BH1" s="11" t="s">
        <v>152</v>
      </c>
      <c r="BI1" s="11" t="s">
        <v>26</v>
      </c>
      <c r="BJ1" s="12" t="s">
        <v>6</v>
      </c>
      <c r="BK1" s="13" t="s">
        <v>126</v>
      </c>
      <c r="BL1" s="11" t="s">
        <v>27</v>
      </c>
      <c r="BM1" s="12" t="s">
        <v>16</v>
      </c>
      <c r="BN1" s="13" t="s">
        <v>156</v>
      </c>
      <c r="BO1" s="11" t="s">
        <v>28</v>
      </c>
      <c r="BP1" s="12" t="s">
        <v>21</v>
      </c>
      <c r="BQ1" s="13" t="s">
        <v>127</v>
      </c>
      <c r="BR1" s="11" t="s">
        <v>11</v>
      </c>
      <c r="BS1" s="12" t="s">
        <v>5</v>
      </c>
      <c r="BT1" s="13" t="s">
        <v>128</v>
      </c>
      <c r="BU1" s="11" t="s">
        <v>129</v>
      </c>
      <c r="BV1" s="12" t="s">
        <v>130</v>
      </c>
      <c r="BW1" s="13" t="s">
        <v>131</v>
      </c>
      <c r="BX1" s="11" t="s">
        <v>132</v>
      </c>
      <c r="BY1" s="12" t="s">
        <v>133</v>
      </c>
      <c r="BZ1" s="13" t="s">
        <v>134</v>
      </c>
      <c r="CA1" s="11" t="s">
        <v>135</v>
      </c>
      <c r="CB1" s="12" t="s">
        <v>136</v>
      </c>
      <c r="CC1" s="13" t="s">
        <v>137</v>
      </c>
      <c r="CD1" s="11" t="s">
        <v>138</v>
      </c>
      <c r="CE1" s="12" t="s">
        <v>139</v>
      </c>
      <c r="CF1" s="13" t="s">
        <v>140</v>
      </c>
      <c r="CG1" s="11" t="s">
        <v>141</v>
      </c>
      <c r="CH1" s="12" t="s">
        <v>142</v>
      </c>
      <c r="CI1" s="13" t="s">
        <v>143</v>
      </c>
      <c r="CJ1" s="11" t="s">
        <v>144</v>
      </c>
      <c r="CK1" s="12" t="s">
        <v>145</v>
      </c>
      <c r="CL1" s="13" t="s">
        <v>146</v>
      </c>
      <c r="CM1" s="11" t="s">
        <v>153</v>
      </c>
      <c r="CN1" s="12" t="s">
        <v>154</v>
      </c>
      <c r="CO1" s="13" t="s">
        <v>155</v>
      </c>
    </row>
    <row r="2" spans="1:93" x14ac:dyDescent="0.3">
      <c r="A2" s="19" t="str">
        <f>IF(Pesada!A2="","",Pesada!A2)</f>
        <v/>
      </c>
      <c r="B2" s="16" t="str">
        <f>IF(Pesada!B2="","",Pesada!B2)</f>
        <v/>
      </c>
      <c r="C2" s="20" t="str">
        <f>IF(Pesada!C2="","",VALUE(Pesada!C2))</f>
        <v/>
      </c>
      <c r="D2" s="23">
        <v>100</v>
      </c>
      <c r="E2" s="30" t="str">
        <f>IF(METALESPESADOS!E2="","",METALESPESADOS!E2)</f>
        <v/>
      </c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17" t="str">
        <f>IF(AND(MACROMICROELEMENTOS!$U2="",MACROMICROELEMENTOS!$V2="",MACROMICROELEMENTOS!$W2="",MACROMICROELEMENTOS!$X2=""),"",AVERAGE(MACROMICROELEMENTOS!$U2,MACROMICROELEMENTOS!$V2,MACROMICROELEMENTOS!$W2,MACROMICROELEMENTOS!$X2))</f>
        <v/>
      </c>
      <c r="BJ2" s="23">
        <v>1</v>
      </c>
      <c r="BK2" s="31" t="str">
        <f>IF(OR(MACROMICROELEMENTOS!$A2="",MACROMICROELEMENTOS!$B2="",MACROMICROELEMENTOS!$C2="",MACROMICROELEMENTOS!$D2="",MACROMICROELEMENTOS!$E2="",MACROMICROELEMENTOS!$F2="",MACROMICROELEMENTOS!$BI2="",MACROMICROELEMENTOS!$BJ2=""),"",((MACROMICROELEMENTOS!$F2-MACROMICROELEMENTOS!$BI2)*MACROMICROELEMENTOS!$BJ2*MACROMICROELEMENTOS!$D2*(1/MACROMICROELEMENTOS!$C2)*MACROMICROELEMENTOS!$E2))</f>
        <v/>
      </c>
      <c r="BL2" s="17" t="str">
        <f>IF(AND(MACROMICROELEMENTOS!$Y2="",MACROMICROELEMENTOS!$Z2="",MACROMICROELEMENTOS!$AA2="",MACROMICROELEMENTOS!$AB2=""),"",AVERAGE(MACROMICROELEMENTOS!$Y2,MACROMICROELEMENTOS!$Z2,MACROMICROELEMENTOS!$AA2,MACROMICROELEMENTOS!$AB2))</f>
        <v/>
      </c>
      <c r="BM2" s="23">
        <v>1</v>
      </c>
      <c r="BN2" s="31" t="str">
        <f>IF(OR(MACROMICROELEMENTOS!$A2="",MACROMICROELEMENTOS!$B2="",MACROMICROELEMENTOS!$C2="",MACROMICROELEMENTOS!$D2="",MACROMICROELEMENTOS!$E2="",MACROMICROELEMENTOS!$G2="",MACROMICROELEMENTOS!$BL2="",MACROMICROELEMENTOS!$BM2=""),"",((MACROMICROELEMENTOS!$G2-MACROMICROELEMENTOS!$BL2)*MACROMICROELEMENTOS!$BM2*MACROMICROELEMENTOS!$D2*(1/MACROMICROELEMENTOS!$C2)*MACROMICROELEMENTOS!$E2/1000))</f>
        <v/>
      </c>
      <c r="BO2" s="17" t="str">
        <f>IF(AND(MACROMICROELEMENTOS!$AC2="",MACROMICROELEMENTOS!$AD2="",MACROMICROELEMENTOS!$AE2="",MACROMICROELEMENTOS!$AF2=""),"",AVERAGE(MACROMICROELEMENTOS!$AC2,MACROMICROELEMENTOS!$AD2,MACROMICROELEMENTOS!$AE2,MACROMICROELEMENTOS!$AF2))</f>
        <v/>
      </c>
      <c r="BP2" s="23">
        <v>1</v>
      </c>
      <c r="BQ2" s="31" t="str">
        <f>IF(OR(MACROMICROELEMENTOS!$A2="",MACROMICROELEMENTOS!$B2="",MACROMICROELEMENTOS!$C2="",MACROMICROELEMENTOS!$D2="",MACROMICROELEMENTOS!$E2="",MACROMICROELEMENTOS!$H2="",MACROMICROELEMENTOS!$BO2="",MACROMICROELEMENTOS!$BP2=""),"",((MACROMICROELEMENTOS!$H2-MACROMICROELEMENTOS!$BO2)*MACROMICROELEMENTOS!$BP2*MACROMICROELEMENTOS!$D2*(1/MACROMICROELEMENTOS!$C2)*MACROMICROELEMENTOS!$E2))</f>
        <v/>
      </c>
      <c r="BR2" s="17" t="str">
        <f>IF(AND(MACROMICROELEMENTOS!$Q2="",MACROMICROELEMENTOS!$R2="",MACROMICROELEMENTOS!$S2="",MACROMICROELEMENTOS!$T2=""),"",AVERAGE(MACROMICROELEMENTOS!$Q2,MACROMICROELEMENTOS!$R2,MACROMICROELEMENTOS!$S2,MACROMICROELEMENTOS!$T2))</f>
        <v/>
      </c>
      <c r="BS2" s="23">
        <v>1</v>
      </c>
      <c r="BT2" s="31" t="str">
        <f>IF(OR(MACROMICROELEMENTOS!$A2="",MACROMICROELEMENTOS!$B2="",MACROMICROELEMENTOS!$C2="",MACROMICROELEMENTOS!$D2="",MACROMICROELEMENTOS!$E2="",MACROMICROELEMENTOS!$I2="",MACROMICROELEMENTOS!$BR2="",MACROMICROELEMENTOS!$BS2=""),"",((MACROMICROELEMENTOS!$I2-MACROMICROELEMENTOS!$BR2)*MACROMICROELEMENTOS!$BS2*MACROMICROELEMENTOS!$D2*(1/MACROMICROELEMENTOS!$C2)*MACROMICROELEMENTOS!$E2))</f>
        <v/>
      </c>
      <c r="BU2" s="17" t="str">
        <f>IF(AND(MACROMICROELEMENTOS!$AG2="",MACROMICROELEMENTOS!$AH2="",MACROMICROELEMENTOS!$AI2="",MACROMICROELEMENTOS!$AJ2=""),"",AVERAGE(MACROMICROELEMENTOS!$AG2,MACROMICROELEMENTOS!$AH2,MACROMICROELEMENTOS!$AI2,MACROMICROELEMENTOS!$AJ2))</f>
        <v/>
      </c>
      <c r="BV2" s="23">
        <v>1</v>
      </c>
      <c r="BW2" s="31" t="str">
        <f>IF(OR(MACROMICROELEMENTOS!$A2="",MACROMICROELEMENTOS!$B2="",MACROMICROELEMENTOS!$C2="",MACROMICROELEMENTOS!$D2="",MACROMICROELEMENTOS!$E2="",MACROMICROELEMENTOS!$J2="",MACROMICROELEMENTOS!$BU2="",MACROMICROELEMENTOS!$BV2=""),"",((MACROMICROELEMENTOS!$J2-MACROMICROELEMENTOS!$BU2)*MACROMICROELEMENTOS!$BV2*MACROMICROELEMENTOS!$D2*(1/MACROMICROELEMENTOS!$C2)*MACROMICROELEMENTOS!$E2))</f>
        <v/>
      </c>
      <c r="BX2" s="17" t="str">
        <f>IF(AND(MACROMICROELEMENTOS!$AK2="",MACROMICROELEMENTOS!$AL2="",MACROMICROELEMENTOS!$AM2="",MACROMICROELEMENTOS!$AN2=""),"",AVERAGE(MACROMICROELEMENTOS!$AK2,MACROMICROELEMENTOS!$AL2,MACROMICROELEMENTOS!$AM2,MACROMICROELEMENTOS!$AN2))</f>
        <v/>
      </c>
      <c r="BY2" s="23">
        <v>1</v>
      </c>
      <c r="BZ2" s="31" t="str">
        <f>IF(OR(MACROMICROELEMENTOS!$A2="",MACROMICROELEMENTOS!$B2="",MACROMICROELEMENTOS!$C2="",MACROMICROELEMENTOS!$D2="",MACROMICROELEMENTOS!$E2="",MACROMICROELEMENTOS!$K2="",MACROMICROELEMENTOS!$BX2="",MACROMICROELEMENTOS!$BY2=""),"",((MACROMICROELEMENTOS!$K2-MACROMICROELEMENTOS!$BX2)*MACROMICROELEMENTOS!$BY2*MACROMICROELEMENTOS!$D2*(1/MACROMICROELEMENTOS!$C2)*MACROMICROELEMENTOS!$E2))</f>
        <v/>
      </c>
      <c r="CA2" s="17" t="str">
        <f>IF(AND(MACROMICROELEMENTOS!$AO2="",MACROMICROELEMENTOS!$AP2="",MACROMICROELEMENTOS!$AQ2="",MACROMICROELEMENTOS!$AR2=""),"",AVERAGE(MACROMICROELEMENTOS!$AO2,MACROMICROELEMENTOS!$AP2,MACROMICROELEMENTOS!$AQ2,MACROMICROELEMENTOS!$AR2))</f>
        <v/>
      </c>
      <c r="CB2" s="23">
        <v>1</v>
      </c>
      <c r="CC2" s="31" t="str">
        <f>IF(OR(MACROMICROELEMENTOS!$A2="",MACROMICROELEMENTOS!$B2="",MACROMICROELEMENTOS!$C2="",MACROMICROELEMENTOS!$D2="",MACROMICROELEMENTOS!$E2="",MACROMICROELEMENTOS!$L2="",MACROMICROELEMENTOS!$CA2="",MACROMICROELEMENTOS!$CB2=""),"",((MACROMICROELEMENTOS!$L2-MACROMICROELEMENTOS!$CA2)*MACROMICROELEMENTOS!$CB2*MACROMICROELEMENTOS!$D2*(1/MACROMICROELEMENTOS!$C2)*MACROMICROELEMENTOS!$E2))</f>
        <v/>
      </c>
      <c r="CD2" s="17" t="str">
        <f>IF(AND(MACROMICROELEMENTOS!$AS2="",MACROMICROELEMENTOS!$AT2="",MACROMICROELEMENTOS!$AU2="",MACROMICROELEMENTOS!$AV2=""),"",AVERAGE(MACROMICROELEMENTOS!$AS2,MACROMICROELEMENTOS!$AT2,MACROMICROELEMENTOS!$AU2,MACROMICROELEMENTOS!$AV2))</f>
        <v/>
      </c>
      <c r="CE2" s="23">
        <v>1</v>
      </c>
      <c r="CF2" s="31" t="str">
        <f>IF(OR(MACROMICROELEMENTOS!$A2="",MACROMICROELEMENTOS!$B2="",MACROMICROELEMENTOS!$C2="",MACROMICROELEMENTOS!$D2="",MACROMICROELEMENTOS!$E2="",MACROMICROELEMENTOS!$M2="",MACROMICROELEMENTOS!$CD2="",MACROMICROELEMENTOS!$CE2=""),"",((MACROMICROELEMENTOS!$M2-MACROMICROELEMENTOS!$CD2)*MACROMICROELEMENTOS!$CE2*MACROMICROELEMENTOS!$D2*(1/MACROMICROELEMENTOS!$C2)*MACROMICROELEMENTOS!$E2))</f>
        <v/>
      </c>
      <c r="CG2" s="17" t="str">
        <f>IF(AND(MACROMICROELEMENTOS!$AW2="",MACROMICROELEMENTOS!$AX2="",MACROMICROELEMENTOS!$AY2="",MACROMICROELEMENTOS!$AZ2=""),"",AVERAGE(MACROMICROELEMENTOS!$AW2,MACROMICROELEMENTOS!$AX2,MACROMICROELEMENTOS!$AY2,MACROMICROELEMENTOS!$AZ2))</f>
        <v/>
      </c>
      <c r="CH2" s="23">
        <v>1</v>
      </c>
      <c r="CI2" s="31" t="str">
        <f>IF(OR(MACROMICROELEMENTOS!$A2="",MACROMICROELEMENTOS!$B2="",MACROMICROELEMENTOS!$C2="",MACROMICROELEMENTOS!$D2="",MACROMICROELEMENTOS!$E2="",MACROMICROELEMENTOS!$N2="",MACROMICROELEMENTOS!$CG2="",MACROMICROELEMENTOS!$CH2=""),"",((MACROMICROELEMENTOS!$N2-MACROMICROELEMENTOS!$CG2)*MACROMICROELEMENTOS!$CH2*MACROMICROELEMENTOS!$D2*(1/MACROMICROELEMENTOS!$C2)*MACROMICROELEMENTOS!$E2))</f>
        <v/>
      </c>
      <c r="CJ2" s="17" t="str">
        <f>IF(AND(MACROMICROELEMENTOS!$BA2="",MACROMICROELEMENTOS!$BB2="",MACROMICROELEMENTOS!$BC2="",MACROMICROELEMENTOS!$BD2=""),"",IF(O2&gt;2,0,AVERAGE(MACROMICROELEMENTOS!$BA2,MACROMICROELEMENTOS!$BB2,MACROMICROELEMENTOS!$BC2,MACROMICROELEMENTOS!$BD2)))</f>
        <v/>
      </c>
      <c r="CK2" s="23">
        <v>1</v>
      </c>
      <c r="CL2" s="31" t="str">
        <f>IF(OR(MACROMICROELEMENTOS!$A2="",MACROMICROELEMENTOS!$B2="",MACROMICROELEMENTOS!$C2="",MACROMICROELEMENTOS!$D2="",MACROMICROELEMENTOS!$E2="",MACROMICROELEMENTOS!$O2="",MACROMICROELEMENTOS!$CJ2="",MACROMICROELEMENTOS!$CK2=""),"",((MACROMICROELEMENTOS!$O2-MACROMICROELEMENTOS!$CJ2)*MACROMICROELEMENTOS!$CK2*MACROMICROELEMENTOS!$D2*(1/MACROMICROELEMENTOS!$C2)*MACROMICROELEMENTOS!$E2))</f>
        <v/>
      </c>
      <c r="CM2" s="17" t="str">
        <f>IF(AND(MACROMICROELEMENTOS!$BE2="",MACROMICROELEMENTOS!$BF2="",MACROMICROELEMENTOS!$BG2="",MACROMICROELEMENTOS!$BH2=""),"",AVERAGE(MACROMICROELEMENTOS!$BE2,MACROMICROELEMENTOS!$BF2,MACROMICROELEMENTOS!$BG2,MACROMICROELEMENTOS!$BH2))</f>
        <v/>
      </c>
      <c r="CN2" s="23">
        <v>1</v>
      </c>
      <c r="CO2" s="31" t="str">
        <f>IF(OR(MACROMICROELEMENTOS!$A2="",MACROMICROELEMENTOS!$B2="",MACROMICROELEMENTOS!$C2="",MACROMICROELEMENTOS!$D2="",MACROMICROELEMENTOS!$E2="",MACROMICROELEMENTOS!$P2="",MACROMICROELEMENTOS!$CM2="",MACROMICROELEMENTOS!$CN2=""),"",((MACROMICROELEMENTOS!$P2-MACROMICROELEMENTOS!$CM2)*MACROMICROELEMENTOS!$CN2*MACROMICROELEMENTOS!$D2*(1/MACROMICROELEMENTOS!$C2)*MACROMICROELEMENTOS!$E2))</f>
        <v/>
      </c>
    </row>
    <row r="3" spans="1:93" x14ac:dyDescent="0.3">
      <c r="A3" s="19" t="str">
        <f>IF(Pesada!A3="","",Pesada!A3)</f>
        <v/>
      </c>
      <c r="B3" s="16" t="str">
        <f>IF(Pesada!B3="","",Pesada!B3)</f>
        <v/>
      </c>
      <c r="C3" s="20" t="str">
        <f>IF(Pesada!C3="","",VALUE(Pesada!C3))</f>
        <v/>
      </c>
      <c r="D3" s="23">
        <v>100</v>
      </c>
      <c r="E3" s="30" t="str">
        <f>IF(METALESPESADOS!E3="","",METALESPESADOS!E3)</f>
        <v/>
      </c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17" t="str">
        <f>IF(AND(MACROMICROELEMENTOS!$U3="",MACROMICROELEMENTOS!$V3="",MACROMICROELEMENTOS!$W3="",MACROMICROELEMENTOS!$X3=""),"",AVERAGE(MACROMICROELEMENTOS!$U3,MACROMICROELEMENTOS!$V3,MACROMICROELEMENTOS!$W3,MACROMICROELEMENTOS!$X3))</f>
        <v/>
      </c>
      <c r="BJ3" s="23">
        <v>1</v>
      </c>
      <c r="BK3" s="31" t="str">
        <f>IF(OR(MACROMICROELEMENTOS!$A3="",MACROMICROELEMENTOS!$B3="",MACROMICROELEMENTOS!$C3="",MACROMICROELEMENTOS!$D3="",MACROMICROELEMENTOS!$E3="",MACROMICROELEMENTOS!$F3="",MACROMICROELEMENTOS!$BI3="",MACROMICROELEMENTOS!$BJ3=""),"",((MACROMICROELEMENTOS!$F3-MACROMICROELEMENTOS!$BI3)*MACROMICROELEMENTOS!$BJ3*MACROMICROELEMENTOS!$D3*(1/MACROMICROELEMENTOS!$C3)*MACROMICROELEMENTOS!$E3))</f>
        <v/>
      </c>
      <c r="BL3" s="17" t="str">
        <f>IF(AND(MACROMICROELEMENTOS!$Y3="",MACROMICROELEMENTOS!$Z3="",MACROMICROELEMENTOS!$AA3="",MACROMICROELEMENTOS!$AB3=""),"",AVERAGE(MACROMICROELEMENTOS!$Y3,MACROMICROELEMENTOS!$Z3,MACROMICROELEMENTOS!$AA3,MACROMICROELEMENTOS!$AB3))</f>
        <v/>
      </c>
      <c r="BM3" s="23">
        <v>1</v>
      </c>
      <c r="BN3" s="31" t="str">
        <f>IF(OR(MACROMICROELEMENTOS!$A3="",MACROMICROELEMENTOS!$B3="",MACROMICROELEMENTOS!$C3="",MACROMICROELEMENTOS!$D3="",MACROMICROELEMENTOS!$E3="",MACROMICROELEMENTOS!$G3="",MACROMICROELEMENTOS!$BL3="",MACROMICROELEMENTOS!$BM3=""),"",((MACROMICROELEMENTOS!$G3-MACROMICROELEMENTOS!$BL3)*MACROMICROELEMENTOS!$BM3*MACROMICROELEMENTOS!$D3*(1/MACROMICROELEMENTOS!$C3)*MACROMICROELEMENTOS!$E3/1000))</f>
        <v/>
      </c>
      <c r="BO3" s="17" t="str">
        <f>IF(AND(MACROMICROELEMENTOS!$AC3="",MACROMICROELEMENTOS!$AD3="",MACROMICROELEMENTOS!$AE3="",MACROMICROELEMENTOS!$AF3=""),"",AVERAGE(MACROMICROELEMENTOS!$AC3,MACROMICROELEMENTOS!$AD3,MACROMICROELEMENTOS!$AE3,MACROMICROELEMENTOS!$AF3))</f>
        <v/>
      </c>
      <c r="BP3" s="23">
        <v>1</v>
      </c>
      <c r="BQ3" s="31" t="str">
        <f>IF(OR(MACROMICROELEMENTOS!$A3="",MACROMICROELEMENTOS!$B3="",MACROMICROELEMENTOS!$C3="",MACROMICROELEMENTOS!$D3="",MACROMICROELEMENTOS!$E3="",MACROMICROELEMENTOS!$H3="",MACROMICROELEMENTOS!$BO3="",MACROMICROELEMENTOS!$BP3=""),"",((MACROMICROELEMENTOS!$H3-MACROMICROELEMENTOS!$BO3)*MACROMICROELEMENTOS!$BP3*MACROMICROELEMENTOS!$D3*(1/MACROMICROELEMENTOS!$C3)*MACROMICROELEMENTOS!$E3))</f>
        <v/>
      </c>
      <c r="BR3" s="17" t="str">
        <f>IF(AND(MACROMICROELEMENTOS!$Q3="",MACROMICROELEMENTOS!$R3="",MACROMICROELEMENTOS!$S3="",MACROMICROELEMENTOS!$T3=""),"",AVERAGE(MACROMICROELEMENTOS!$Q3,MACROMICROELEMENTOS!$R3,MACROMICROELEMENTOS!$S3,MACROMICROELEMENTOS!$T3))</f>
        <v/>
      </c>
      <c r="BS3" s="23">
        <v>1</v>
      </c>
      <c r="BT3" s="31" t="str">
        <f>IF(OR(MACROMICROELEMENTOS!$A3="",MACROMICROELEMENTOS!$B3="",MACROMICROELEMENTOS!$C3="",MACROMICROELEMENTOS!$D3="",MACROMICROELEMENTOS!$E3="",MACROMICROELEMENTOS!$I3="",MACROMICROELEMENTOS!$BR3="",MACROMICROELEMENTOS!$BS3=""),"",((MACROMICROELEMENTOS!$I3-MACROMICROELEMENTOS!$BR3)*MACROMICROELEMENTOS!$BS3*MACROMICROELEMENTOS!$D3*(1/MACROMICROELEMENTOS!$C3)*MACROMICROELEMENTOS!$E3))</f>
        <v/>
      </c>
      <c r="BU3" s="17" t="str">
        <f>IF(AND(MACROMICROELEMENTOS!$AG3="",MACROMICROELEMENTOS!$AH3="",MACROMICROELEMENTOS!$AI3="",MACROMICROELEMENTOS!$AJ3=""),"",AVERAGE(MACROMICROELEMENTOS!$AG3,MACROMICROELEMENTOS!$AH3,MACROMICROELEMENTOS!$AI3,MACROMICROELEMENTOS!$AJ3))</f>
        <v/>
      </c>
      <c r="BV3" s="23">
        <v>1</v>
      </c>
      <c r="BW3" s="31" t="str">
        <f>IF(OR(MACROMICROELEMENTOS!$A3="",MACROMICROELEMENTOS!$B3="",MACROMICROELEMENTOS!$C3="",MACROMICROELEMENTOS!$D3="",MACROMICROELEMENTOS!$E3="",MACROMICROELEMENTOS!$J3="",MACROMICROELEMENTOS!$BU3="",MACROMICROELEMENTOS!$BV3=""),"",((MACROMICROELEMENTOS!$J3-MACROMICROELEMENTOS!$BU3)*MACROMICROELEMENTOS!$BV3*MACROMICROELEMENTOS!$D3*(1/MACROMICROELEMENTOS!$C3)*MACROMICROELEMENTOS!$E3))</f>
        <v/>
      </c>
      <c r="BX3" s="17" t="str">
        <f>IF(AND(MACROMICROELEMENTOS!$AK3="",MACROMICROELEMENTOS!$AL3="",MACROMICROELEMENTOS!$AM3="",MACROMICROELEMENTOS!$AN3=""),"",AVERAGE(MACROMICROELEMENTOS!$AK3,MACROMICROELEMENTOS!$AL3,MACROMICROELEMENTOS!$AM3,MACROMICROELEMENTOS!$AN3))</f>
        <v/>
      </c>
      <c r="BY3" s="23">
        <v>1</v>
      </c>
      <c r="BZ3" s="31" t="str">
        <f>IF(OR(MACROMICROELEMENTOS!$A3="",MACROMICROELEMENTOS!$B3="",MACROMICROELEMENTOS!$C3="",MACROMICROELEMENTOS!$D3="",MACROMICROELEMENTOS!$E3="",MACROMICROELEMENTOS!$K3="",MACROMICROELEMENTOS!$BX3="",MACROMICROELEMENTOS!$BY3=""),"",((MACROMICROELEMENTOS!$K3-MACROMICROELEMENTOS!$BX3)*MACROMICROELEMENTOS!$BY3*MACROMICROELEMENTOS!$D3*(1/MACROMICROELEMENTOS!$C3)*MACROMICROELEMENTOS!$E3))</f>
        <v/>
      </c>
      <c r="CA3" s="17" t="str">
        <f>IF(AND(MACROMICROELEMENTOS!$AO3="",MACROMICROELEMENTOS!$AP3="",MACROMICROELEMENTOS!$AQ3="",MACROMICROELEMENTOS!$AR3=""),"",AVERAGE(MACROMICROELEMENTOS!$AO3,MACROMICROELEMENTOS!$AP3,MACROMICROELEMENTOS!$AQ3,MACROMICROELEMENTOS!$AR3))</f>
        <v/>
      </c>
      <c r="CB3" s="23">
        <v>1</v>
      </c>
      <c r="CC3" s="31" t="str">
        <f>IF(OR(MACROMICROELEMENTOS!$A3="",MACROMICROELEMENTOS!$B3="",MACROMICROELEMENTOS!$C3="",MACROMICROELEMENTOS!$D3="",MACROMICROELEMENTOS!$E3="",MACROMICROELEMENTOS!$L3="",MACROMICROELEMENTOS!$CA3="",MACROMICROELEMENTOS!$CB3=""),"",((MACROMICROELEMENTOS!$L3-MACROMICROELEMENTOS!$CA3)*MACROMICROELEMENTOS!$CB3*MACROMICROELEMENTOS!$D3*(1/MACROMICROELEMENTOS!$C3)*MACROMICROELEMENTOS!$E3))</f>
        <v/>
      </c>
      <c r="CD3" s="17" t="str">
        <f>IF(AND(MACROMICROELEMENTOS!$AS3="",MACROMICROELEMENTOS!$AT3="",MACROMICROELEMENTOS!$AU3="",MACROMICROELEMENTOS!$AV3=""),"",AVERAGE(MACROMICROELEMENTOS!$AS3,MACROMICROELEMENTOS!$AT3,MACROMICROELEMENTOS!$AU3,MACROMICROELEMENTOS!$AV3))</f>
        <v/>
      </c>
      <c r="CE3" s="23">
        <v>1</v>
      </c>
      <c r="CF3" s="31" t="str">
        <f>IF(OR(MACROMICROELEMENTOS!$A3="",MACROMICROELEMENTOS!$B3="",MACROMICROELEMENTOS!$C3="",MACROMICROELEMENTOS!$D3="",MACROMICROELEMENTOS!$E3="",MACROMICROELEMENTOS!$M3="",MACROMICROELEMENTOS!$CD3="",MACROMICROELEMENTOS!$CE3=""),"",((MACROMICROELEMENTOS!$M3-MACROMICROELEMENTOS!$CD3)*MACROMICROELEMENTOS!$CE3*MACROMICROELEMENTOS!$D3*(1/MACROMICROELEMENTOS!$C3)*MACROMICROELEMENTOS!$E3))</f>
        <v/>
      </c>
      <c r="CG3" s="17" t="str">
        <f>IF(AND(MACROMICROELEMENTOS!$AW3="",MACROMICROELEMENTOS!$AX3="",MACROMICROELEMENTOS!$AY3="",MACROMICROELEMENTOS!$AZ3=""),"",AVERAGE(MACROMICROELEMENTOS!$AW3,MACROMICROELEMENTOS!$AX3,MACROMICROELEMENTOS!$AY3,MACROMICROELEMENTOS!$AZ3))</f>
        <v/>
      </c>
      <c r="CH3" s="23">
        <v>1</v>
      </c>
      <c r="CI3" s="31" t="str">
        <f>IF(OR(MACROMICROELEMENTOS!$A3="",MACROMICROELEMENTOS!$B3="",MACROMICROELEMENTOS!$C3="",MACROMICROELEMENTOS!$D3="",MACROMICROELEMENTOS!$E3="",MACROMICROELEMENTOS!$N3="",MACROMICROELEMENTOS!$CG3="",MACROMICROELEMENTOS!$CH3=""),"",((MACROMICROELEMENTOS!$N3-MACROMICROELEMENTOS!$CG3)*MACROMICROELEMENTOS!$CH3*MACROMICROELEMENTOS!$D3*(1/MACROMICROELEMENTOS!$C3)*MACROMICROELEMENTOS!$E3))</f>
        <v/>
      </c>
      <c r="CJ3" s="17" t="str">
        <f>IF(AND(MACROMICROELEMENTOS!$BA3="",MACROMICROELEMENTOS!$BB3="",MACROMICROELEMENTOS!$BC3="",MACROMICROELEMENTOS!$BD3=""),"",IF(O3&gt;2,0,AVERAGE(MACROMICROELEMENTOS!$BA3,MACROMICROELEMENTOS!$BB3,MACROMICROELEMENTOS!$BC3,MACROMICROELEMENTOS!$BD3)))</f>
        <v/>
      </c>
      <c r="CK3" s="23">
        <v>1</v>
      </c>
      <c r="CL3" s="31" t="str">
        <f>IF(OR(MACROMICROELEMENTOS!$A3="",MACROMICROELEMENTOS!$B3="",MACROMICROELEMENTOS!$C3="",MACROMICROELEMENTOS!$D3="",MACROMICROELEMENTOS!$E3="",MACROMICROELEMENTOS!$O3="",MACROMICROELEMENTOS!$CJ3="",MACROMICROELEMENTOS!$CK3=""),"",((MACROMICROELEMENTOS!$O3-MACROMICROELEMENTOS!$CJ3)*MACROMICROELEMENTOS!$CK3*MACROMICROELEMENTOS!$D3*(1/MACROMICROELEMENTOS!$C3)*MACROMICROELEMENTOS!$E3))</f>
        <v/>
      </c>
      <c r="CM3" s="17" t="str">
        <f>IF(AND(MACROMICROELEMENTOS!$BE3="",MACROMICROELEMENTOS!$BF3="",MACROMICROELEMENTOS!$BG3="",MACROMICROELEMENTOS!$BH3=""),"",AVERAGE(MACROMICROELEMENTOS!$BE3,MACROMICROELEMENTOS!$BF3,MACROMICROELEMENTOS!$BG3,MACROMICROELEMENTOS!$BH3))</f>
        <v/>
      </c>
      <c r="CN3" s="23">
        <v>1</v>
      </c>
      <c r="CO3" s="31" t="str">
        <f>IF(OR(MACROMICROELEMENTOS!$A3="",MACROMICROELEMENTOS!$B3="",MACROMICROELEMENTOS!$C3="",MACROMICROELEMENTOS!$D3="",MACROMICROELEMENTOS!$E3="",MACROMICROELEMENTOS!$P3="",MACROMICROELEMENTOS!$CM3="",MACROMICROELEMENTOS!$CN3=""),"",((MACROMICROELEMENTOS!$P3-MACROMICROELEMENTOS!$CM3)*MACROMICROELEMENTOS!$CN3*MACROMICROELEMENTOS!$D3*(1/MACROMICROELEMENTOS!$C3)*MACROMICROELEMENTOS!$E3))</f>
        <v/>
      </c>
    </row>
    <row r="4" spans="1:93" x14ac:dyDescent="0.3">
      <c r="A4" s="19" t="str">
        <f>IF(Pesada!A4="","",Pesada!A4)</f>
        <v/>
      </c>
      <c r="B4" s="16" t="str">
        <f>IF(Pesada!B4="","",Pesada!B4)</f>
        <v/>
      </c>
      <c r="C4" s="20" t="str">
        <f>IF(Pesada!C4="","",VALUE(Pesada!C4))</f>
        <v/>
      </c>
      <c r="D4" s="23">
        <v>100</v>
      </c>
      <c r="E4" s="30" t="str">
        <f>IF(METALESPESADOS!E4="","",METALESPESADOS!E4)</f>
        <v/>
      </c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17" t="str">
        <f>IF(AND(MACROMICROELEMENTOS!$U4="",MACROMICROELEMENTOS!$V4="",MACROMICROELEMENTOS!$W4="",MACROMICROELEMENTOS!$X4=""),"",AVERAGE(MACROMICROELEMENTOS!$U4,MACROMICROELEMENTOS!$V4,MACROMICROELEMENTOS!$W4,MACROMICROELEMENTOS!$X4))</f>
        <v/>
      </c>
      <c r="BJ4" s="23">
        <v>1</v>
      </c>
      <c r="BK4" s="31" t="str">
        <f>IF(OR(MACROMICROELEMENTOS!$A4="",MACROMICROELEMENTOS!$B4="",MACROMICROELEMENTOS!$C4="",MACROMICROELEMENTOS!$D4="",MACROMICROELEMENTOS!$E4="",MACROMICROELEMENTOS!$F4="",MACROMICROELEMENTOS!$BI4="",MACROMICROELEMENTOS!$BJ4=""),"",((MACROMICROELEMENTOS!$F4-MACROMICROELEMENTOS!$BI4)*MACROMICROELEMENTOS!$BJ4*MACROMICROELEMENTOS!$D4*(1/MACROMICROELEMENTOS!$C4)*MACROMICROELEMENTOS!$E4))</f>
        <v/>
      </c>
      <c r="BL4" s="17" t="str">
        <f>IF(AND(MACROMICROELEMENTOS!$Y4="",MACROMICROELEMENTOS!$Z4="",MACROMICROELEMENTOS!$AA4="",MACROMICROELEMENTOS!$AB4=""),"",AVERAGE(MACROMICROELEMENTOS!$Y4,MACROMICROELEMENTOS!$Z4,MACROMICROELEMENTOS!$AA4,MACROMICROELEMENTOS!$AB4))</f>
        <v/>
      </c>
      <c r="BM4" s="23">
        <v>1</v>
      </c>
      <c r="BN4" s="31" t="str">
        <f>IF(OR(MACROMICROELEMENTOS!$A4="",MACROMICROELEMENTOS!$B4="",MACROMICROELEMENTOS!$C4="",MACROMICROELEMENTOS!$D4="",MACROMICROELEMENTOS!$E4="",MACROMICROELEMENTOS!$G4="",MACROMICROELEMENTOS!$BL4="",MACROMICROELEMENTOS!$BM4=""),"",((MACROMICROELEMENTOS!$G4-MACROMICROELEMENTOS!$BL4)*MACROMICROELEMENTOS!$BM4*MACROMICROELEMENTOS!$D4*(1/MACROMICROELEMENTOS!$C4)*MACROMICROELEMENTOS!$E4/1000))</f>
        <v/>
      </c>
      <c r="BO4" s="17" t="str">
        <f>IF(AND(MACROMICROELEMENTOS!$AC4="",MACROMICROELEMENTOS!$AD4="",MACROMICROELEMENTOS!$AE4="",MACROMICROELEMENTOS!$AF4=""),"",AVERAGE(MACROMICROELEMENTOS!$AC4,MACROMICROELEMENTOS!$AD4,MACROMICROELEMENTOS!$AE4,MACROMICROELEMENTOS!$AF4))</f>
        <v/>
      </c>
      <c r="BP4" s="23">
        <v>1</v>
      </c>
      <c r="BQ4" s="31" t="str">
        <f>IF(OR(MACROMICROELEMENTOS!$A4="",MACROMICROELEMENTOS!$B4="",MACROMICROELEMENTOS!$C4="",MACROMICROELEMENTOS!$D4="",MACROMICROELEMENTOS!$E4="",MACROMICROELEMENTOS!$H4="",MACROMICROELEMENTOS!$BO4="",MACROMICROELEMENTOS!$BP4=""),"",((MACROMICROELEMENTOS!$H4-MACROMICROELEMENTOS!$BO4)*MACROMICROELEMENTOS!$BP4*MACROMICROELEMENTOS!$D4*(1/MACROMICROELEMENTOS!$C4)*MACROMICROELEMENTOS!$E4))</f>
        <v/>
      </c>
      <c r="BR4" s="17" t="str">
        <f>IF(AND(MACROMICROELEMENTOS!$Q4="",MACROMICROELEMENTOS!$R4="",MACROMICROELEMENTOS!$S4="",MACROMICROELEMENTOS!$T4=""),"",AVERAGE(MACROMICROELEMENTOS!$Q4,MACROMICROELEMENTOS!$R4,MACROMICROELEMENTOS!$S4,MACROMICROELEMENTOS!$T4))</f>
        <v/>
      </c>
      <c r="BS4" s="23">
        <v>1</v>
      </c>
      <c r="BT4" s="31" t="str">
        <f>IF(OR(MACROMICROELEMENTOS!$A4="",MACROMICROELEMENTOS!$B4="",MACROMICROELEMENTOS!$C4="",MACROMICROELEMENTOS!$D4="",MACROMICROELEMENTOS!$E4="",MACROMICROELEMENTOS!$I4="",MACROMICROELEMENTOS!$BR4="",MACROMICROELEMENTOS!$BS4=""),"",((MACROMICROELEMENTOS!$I4-MACROMICROELEMENTOS!$BR4)*MACROMICROELEMENTOS!$BS4*MACROMICROELEMENTOS!$D4*(1/MACROMICROELEMENTOS!$C4)*MACROMICROELEMENTOS!$E4))</f>
        <v/>
      </c>
      <c r="BU4" s="17" t="str">
        <f>IF(AND(MACROMICROELEMENTOS!$AG4="",MACROMICROELEMENTOS!$AH4="",MACROMICROELEMENTOS!$AI4="",MACROMICROELEMENTOS!$AJ4=""),"",AVERAGE(MACROMICROELEMENTOS!$AG4,MACROMICROELEMENTOS!$AH4,MACROMICROELEMENTOS!$AI4,MACROMICROELEMENTOS!$AJ4))</f>
        <v/>
      </c>
      <c r="BV4" s="23">
        <v>1</v>
      </c>
      <c r="BW4" s="31" t="str">
        <f>IF(OR(MACROMICROELEMENTOS!$A4="",MACROMICROELEMENTOS!$B4="",MACROMICROELEMENTOS!$C4="",MACROMICROELEMENTOS!$D4="",MACROMICROELEMENTOS!$E4="",MACROMICROELEMENTOS!$J4="",MACROMICROELEMENTOS!$BU4="",MACROMICROELEMENTOS!$BV4=""),"",((MACROMICROELEMENTOS!$J4-MACROMICROELEMENTOS!$BU4)*MACROMICROELEMENTOS!$BV4*MACROMICROELEMENTOS!$D4*(1/MACROMICROELEMENTOS!$C4)*MACROMICROELEMENTOS!$E4))</f>
        <v/>
      </c>
      <c r="BX4" s="17" t="str">
        <f>IF(AND(MACROMICROELEMENTOS!$AK4="",MACROMICROELEMENTOS!$AL4="",MACROMICROELEMENTOS!$AM4="",MACROMICROELEMENTOS!$AN4=""),"",AVERAGE(MACROMICROELEMENTOS!$AK4,MACROMICROELEMENTOS!$AL4,MACROMICROELEMENTOS!$AM4,MACROMICROELEMENTOS!$AN4))</f>
        <v/>
      </c>
      <c r="BY4" s="23">
        <v>1</v>
      </c>
      <c r="BZ4" s="31" t="str">
        <f>IF(OR(MACROMICROELEMENTOS!$A4="",MACROMICROELEMENTOS!$B4="",MACROMICROELEMENTOS!$C4="",MACROMICROELEMENTOS!$D4="",MACROMICROELEMENTOS!$E4="",MACROMICROELEMENTOS!$K4="",MACROMICROELEMENTOS!$BX4="",MACROMICROELEMENTOS!$BY4=""),"",((MACROMICROELEMENTOS!$K4-MACROMICROELEMENTOS!$BX4)*MACROMICROELEMENTOS!$BY4*MACROMICROELEMENTOS!$D4*(1/MACROMICROELEMENTOS!$C4)*MACROMICROELEMENTOS!$E4))</f>
        <v/>
      </c>
      <c r="CA4" s="17" t="str">
        <f>IF(AND(MACROMICROELEMENTOS!$AO4="",MACROMICROELEMENTOS!$AP4="",MACROMICROELEMENTOS!$AQ4="",MACROMICROELEMENTOS!$AR4=""),"",AVERAGE(MACROMICROELEMENTOS!$AO4,MACROMICROELEMENTOS!$AP4,MACROMICROELEMENTOS!$AQ4,MACROMICROELEMENTOS!$AR4))</f>
        <v/>
      </c>
      <c r="CB4" s="23">
        <v>1</v>
      </c>
      <c r="CC4" s="31" t="str">
        <f>IF(OR(MACROMICROELEMENTOS!$A4="",MACROMICROELEMENTOS!$B4="",MACROMICROELEMENTOS!$C4="",MACROMICROELEMENTOS!$D4="",MACROMICROELEMENTOS!$E4="",MACROMICROELEMENTOS!$L4="",MACROMICROELEMENTOS!$CA4="",MACROMICROELEMENTOS!$CB4=""),"",((MACROMICROELEMENTOS!$L4-MACROMICROELEMENTOS!$CA4)*MACROMICROELEMENTOS!$CB4*MACROMICROELEMENTOS!$D4*(1/MACROMICROELEMENTOS!$C4)*MACROMICROELEMENTOS!$E4))</f>
        <v/>
      </c>
      <c r="CD4" s="17" t="str">
        <f>IF(AND(MACROMICROELEMENTOS!$AS4="",MACROMICROELEMENTOS!$AT4="",MACROMICROELEMENTOS!$AU4="",MACROMICROELEMENTOS!$AV4=""),"",AVERAGE(MACROMICROELEMENTOS!$AS4,MACROMICROELEMENTOS!$AT4,MACROMICROELEMENTOS!$AU4,MACROMICROELEMENTOS!$AV4))</f>
        <v/>
      </c>
      <c r="CE4" s="23">
        <v>1</v>
      </c>
      <c r="CF4" s="31" t="str">
        <f>IF(OR(MACROMICROELEMENTOS!$A4="",MACROMICROELEMENTOS!$B4="",MACROMICROELEMENTOS!$C4="",MACROMICROELEMENTOS!$D4="",MACROMICROELEMENTOS!$E4="",MACROMICROELEMENTOS!$M4="",MACROMICROELEMENTOS!$CD4="",MACROMICROELEMENTOS!$CE4=""),"",((MACROMICROELEMENTOS!$M4-MACROMICROELEMENTOS!$CD4)*MACROMICROELEMENTOS!$CE4*MACROMICROELEMENTOS!$D4*(1/MACROMICROELEMENTOS!$C4)*MACROMICROELEMENTOS!$E4))</f>
        <v/>
      </c>
      <c r="CG4" s="17" t="str">
        <f>IF(AND(MACROMICROELEMENTOS!$AW4="",MACROMICROELEMENTOS!$AX4="",MACROMICROELEMENTOS!$AY4="",MACROMICROELEMENTOS!$AZ4=""),"",AVERAGE(MACROMICROELEMENTOS!$AW4,MACROMICROELEMENTOS!$AX4,MACROMICROELEMENTOS!$AY4,MACROMICROELEMENTOS!$AZ4))</f>
        <v/>
      </c>
      <c r="CH4" s="23">
        <v>1</v>
      </c>
      <c r="CI4" s="31" t="str">
        <f>IF(OR(MACROMICROELEMENTOS!$A4="",MACROMICROELEMENTOS!$B4="",MACROMICROELEMENTOS!$C4="",MACROMICROELEMENTOS!$D4="",MACROMICROELEMENTOS!$E4="",MACROMICROELEMENTOS!$N4="",MACROMICROELEMENTOS!$CG4="",MACROMICROELEMENTOS!$CH4=""),"",((MACROMICROELEMENTOS!$N4-MACROMICROELEMENTOS!$CG4)*MACROMICROELEMENTOS!$CH4*MACROMICROELEMENTOS!$D4*(1/MACROMICROELEMENTOS!$C4)*MACROMICROELEMENTOS!$E4))</f>
        <v/>
      </c>
      <c r="CJ4" s="17" t="str">
        <f>IF(AND(MACROMICROELEMENTOS!$BA4="",MACROMICROELEMENTOS!$BB4="",MACROMICROELEMENTOS!$BC4="",MACROMICROELEMENTOS!$BD4=""),"",IF(O4&gt;2,0,AVERAGE(MACROMICROELEMENTOS!$BA4,MACROMICROELEMENTOS!$BB4,MACROMICROELEMENTOS!$BC4,MACROMICROELEMENTOS!$BD4)))</f>
        <v/>
      </c>
      <c r="CK4" s="23">
        <v>1</v>
      </c>
      <c r="CL4" s="31" t="str">
        <f>IF(OR(MACROMICROELEMENTOS!$A4="",MACROMICROELEMENTOS!$B4="",MACROMICROELEMENTOS!$C4="",MACROMICROELEMENTOS!$D4="",MACROMICROELEMENTOS!$E4="",MACROMICROELEMENTOS!$O4="",MACROMICROELEMENTOS!$CJ4="",MACROMICROELEMENTOS!$CK4=""),"",((MACROMICROELEMENTOS!$O4-MACROMICROELEMENTOS!$CJ4)*MACROMICROELEMENTOS!$CK4*MACROMICROELEMENTOS!$D4*(1/MACROMICROELEMENTOS!$C4)*MACROMICROELEMENTOS!$E4))</f>
        <v/>
      </c>
      <c r="CM4" s="17" t="str">
        <f>IF(AND(MACROMICROELEMENTOS!$BE4="",MACROMICROELEMENTOS!$BF4="",MACROMICROELEMENTOS!$BG4="",MACROMICROELEMENTOS!$BH4=""),"",AVERAGE(MACROMICROELEMENTOS!$BE4,MACROMICROELEMENTOS!$BF4,MACROMICROELEMENTOS!$BG4,MACROMICROELEMENTOS!$BH4))</f>
        <v/>
      </c>
      <c r="CN4" s="23">
        <v>1</v>
      </c>
      <c r="CO4" s="31" t="str">
        <f>IF(OR(MACROMICROELEMENTOS!$A4="",MACROMICROELEMENTOS!$B4="",MACROMICROELEMENTOS!$C4="",MACROMICROELEMENTOS!$D4="",MACROMICROELEMENTOS!$E4="",MACROMICROELEMENTOS!$P4="",MACROMICROELEMENTOS!$CM4="",MACROMICROELEMENTOS!$CN4=""),"",((MACROMICROELEMENTOS!$P4-MACROMICROELEMENTOS!$CM4)*MACROMICROELEMENTOS!$CN4*MACROMICROELEMENTOS!$D4*(1/MACROMICROELEMENTOS!$C4)*MACROMICROELEMENTOS!$E4))</f>
        <v/>
      </c>
    </row>
    <row r="5" spans="1:93" x14ac:dyDescent="0.3">
      <c r="A5" s="19" t="str">
        <f>IF(Pesada!A5="","",Pesada!A5)</f>
        <v/>
      </c>
      <c r="B5" s="16" t="str">
        <f>IF(Pesada!B5="","",Pesada!B5)</f>
        <v/>
      </c>
      <c r="C5" s="20" t="str">
        <f>IF(Pesada!C5="","",VALUE(Pesada!C5))</f>
        <v/>
      </c>
      <c r="D5" s="23">
        <v>100</v>
      </c>
      <c r="E5" s="30" t="str">
        <f>IF(METALESPESADOS!E5="","",METALESPESADOS!E5)</f>
        <v/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17" t="str">
        <f>IF(AND(MACROMICROELEMENTOS!$U5="",MACROMICROELEMENTOS!$V5="",MACROMICROELEMENTOS!$W5="",MACROMICROELEMENTOS!$X5=""),"",AVERAGE(MACROMICROELEMENTOS!$U5,MACROMICROELEMENTOS!$V5,MACROMICROELEMENTOS!$W5,MACROMICROELEMENTOS!$X5))</f>
        <v/>
      </c>
      <c r="BJ5" s="23">
        <v>1</v>
      </c>
      <c r="BK5" s="31" t="str">
        <f>IF(OR(MACROMICROELEMENTOS!$A5="",MACROMICROELEMENTOS!$B5="",MACROMICROELEMENTOS!$C5="",MACROMICROELEMENTOS!$D5="",MACROMICROELEMENTOS!$E5="",MACROMICROELEMENTOS!$F5="",MACROMICROELEMENTOS!$BI5="",MACROMICROELEMENTOS!$BJ5=""),"",((MACROMICROELEMENTOS!$F5-MACROMICROELEMENTOS!$BI5)*MACROMICROELEMENTOS!$BJ5*MACROMICROELEMENTOS!$D5*(1/MACROMICROELEMENTOS!$C5)*MACROMICROELEMENTOS!$E5))</f>
        <v/>
      </c>
      <c r="BL5" s="17" t="str">
        <f>IF(AND(MACROMICROELEMENTOS!$Y5="",MACROMICROELEMENTOS!$Z5="",MACROMICROELEMENTOS!$AA5="",MACROMICROELEMENTOS!$AB5=""),"",AVERAGE(MACROMICROELEMENTOS!$Y5,MACROMICROELEMENTOS!$Z5,MACROMICROELEMENTOS!$AA5,MACROMICROELEMENTOS!$AB5))</f>
        <v/>
      </c>
      <c r="BM5" s="23">
        <v>1</v>
      </c>
      <c r="BN5" s="31" t="str">
        <f>IF(OR(MACROMICROELEMENTOS!$A5="",MACROMICROELEMENTOS!$B5="",MACROMICROELEMENTOS!$C5="",MACROMICROELEMENTOS!$D5="",MACROMICROELEMENTOS!$E5="",MACROMICROELEMENTOS!$G5="",MACROMICROELEMENTOS!$BL5="",MACROMICROELEMENTOS!$BM5=""),"",((MACROMICROELEMENTOS!$G5-MACROMICROELEMENTOS!$BL5)*MACROMICROELEMENTOS!$BM5*MACROMICROELEMENTOS!$D5*(1/MACROMICROELEMENTOS!$C5)*MACROMICROELEMENTOS!$E5/1000))</f>
        <v/>
      </c>
      <c r="BO5" s="17" t="str">
        <f>IF(AND(MACROMICROELEMENTOS!$AC5="",MACROMICROELEMENTOS!$AD5="",MACROMICROELEMENTOS!$AE5="",MACROMICROELEMENTOS!$AF5=""),"",AVERAGE(MACROMICROELEMENTOS!$AC5,MACROMICROELEMENTOS!$AD5,MACROMICROELEMENTOS!$AE5,MACROMICROELEMENTOS!$AF5))</f>
        <v/>
      </c>
      <c r="BP5" s="23">
        <v>1</v>
      </c>
      <c r="BQ5" s="31" t="str">
        <f>IF(OR(MACROMICROELEMENTOS!$A5="",MACROMICROELEMENTOS!$B5="",MACROMICROELEMENTOS!$C5="",MACROMICROELEMENTOS!$D5="",MACROMICROELEMENTOS!$E5="",MACROMICROELEMENTOS!$H5="",MACROMICROELEMENTOS!$BO5="",MACROMICROELEMENTOS!$BP5=""),"",((MACROMICROELEMENTOS!$H5-MACROMICROELEMENTOS!$BO5)*MACROMICROELEMENTOS!$BP5*MACROMICROELEMENTOS!$D5*(1/MACROMICROELEMENTOS!$C5)*MACROMICROELEMENTOS!$E5))</f>
        <v/>
      </c>
      <c r="BR5" s="17" t="str">
        <f>IF(AND(MACROMICROELEMENTOS!$Q5="",MACROMICROELEMENTOS!$R5="",MACROMICROELEMENTOS!$S5="",MACROMICROELEMENTOS!$T5=""),"",AVERAGE(MACROMICROELEMENTOS!$Q5,MACROMICROELEMENTOS!$R5,MACROMICROELEMENTOS!$S5,MACROMICROELEMENTOS!$T5))</f>
        <v/>
      </c>
      <c r="BS5" s="23">
        <v>1</v>
      </c>
      <c r="BT5" s="31" t="str">
        <f>IF(OR(MACROMICROELEMENTOS!$A5="",MACROMICROELEMENTOS!$B5="",MACROMICROELEMENTOS!$C5="",MACROMICROELEMENTOS!$D5="",MACROMICROELEMENTOS!$E5="",MACROMICROELEMENTOS!$I5="",MACROMICROELEMENTOS!$BR5="",MACROMICROELEMENTOS!$BS5=""),"",((MACROMICROELEMENTOS!$I5-MACROMICROELEMENTOS!$BR5)*MACROMICROELEMENTOS!$BS5*MACROMICROELEMENTOS!$D5*(1/MACROMICROELEMENTOS!$C5)*MACROMICROELEMENTOS!$E5))</f>
        <v/>
      </c>
      <c r="BU5" s="17" t="str">
        <f>IF(AND(MACROMICROELEMENTOS!$AG5="",MACROMICROELEMENTOS!$AH5="",MACROMICROELEMENTOS!$AI5="",MACROMICROELEMENTOS!$AJ5=""),"",AVERAGE(MACROMICROELEMENTOS!$AG5,MACROMICROELEMENTOS!$AH5,MACROMICROELEMENTOS!$AI5,MACROMICROELEMENTOS!$AJ5))</f>
        <v/>
      </c>
      <c r="BV5" s="23">
        <v>1</v>
      </c>
      <c r="BW5" s="31" t="str">
        <f>IF(OR(MACROMICROELEMENTOS!$A5="",MACROMICROELEMENTOS!$B5="",MACROMICROELEMENTOS!$C5="",MACROMICROELEMENTOS!$D5="",MACROMICROELEMENTOS!$E5="",MACROMICROELEMENTOS!$J5="",MACROMICROELEMENTOS!$BU5="",MACROMICROELEMENTOS!$BV5=""),"",((MACROMICROELEMENTOS!$J5-MACROMICROELEMENTOS!$BU5)*MACROMICROELEMENTOS!$BV5*MACROMICROELEMENTOS!$D5*(1/MACROMICROELEMENTOS!$C5)*MACROMICROELEMENTOS!$E5))</f>
        <v/>
      </c>
      <c r="BX5" s="17" t="str">
        <f>IF(AND(MACROMICROELEMENTOS!$AK5="",MACROMICROELEMENTOS!$AL5="",MACROMICROELEMENTOS!$AM5="",MACROMICROELEMENTOS!$AN5=""),"",AVERAGE(MACROMICROELEMENTOS!$AK5,MACROMICROELEMENTOS!$AL5,MACROMICROELEMENTOS!$AM5,MACROMICROELEMENTOS!$AN5))</f>
        <v/>
      </c>
      <c r="BY5" s="23">
        <v>1</v>
      </c>
      <c r="BZ5" s="31" t="str">
        <f>IF(OR(MACROMICROELEMENTOS!$A5="",MACROMICROELEMENTOS!$B5="",MACROMICROELEMENTOS!$C5="",MACROMICROELEMENTOS!$D5="",MACROMICROELEMENTOS!$E5="",MACROMICROELEMENTOS!$K5="",MACROMICROELEMENTOS!$BX5="",MACROMICROELEMENTOS!$BY5=""),"",((MACROMICROELEMENTOS!$K5-MACROMICROELEMENTOS!$BX5)*MACROMICROELEMENTOS!$BY5*MACROMICROELEMENTOS!$D5*(1/MACROMICROELEMENTOS!$C5)*MACROMICROELEMENTOS!$E5))</f>
        <v/>
      </c>
      <c r="CA5" s="17" t="str">
        <f>IF(AND(MACROMICROELEMENTOS!$AO5="",MACROMICROELEMENTOS!$AP5="",MACROMICROELEMENTOS!$AQ5="",MACROMICROELEMENTOS!$AR5=""),"",AVERAGE(MACROMICROELEMENTOS!$AO5,MACROMICROELEMENTOS!$AP5,MACROMICROELEMENTOS!$AQ5,MACROMICROELEMENTOS!$AR5))</f>
        <v/>
      </c>
      <c r="CB5" s="23">
        <v>1</v>
      </c>
      <c r="CC5" s="31" t="str">
        <f>IF(OR(MACROMICROELEMENTOS!$A5="",MACROMICROELEMENTOS!$B5="",MACROMICROELEMENTOS!$C5="",MACROMICROELEMENTOS!$D5="",MACROMICROELEMENTOS!$E5="",MACROMICROELEMENTOS!$L5="",MACROMICROELEMENTOS!$CA5="",MACROMICROELEMENTOS!$CB5=""),"",((MACROMICROELEMENTOS!$L5-MACROMICROELEMENTOS!$CA5)*MACROMICROELEMENTOS!$CB5*MACROMICROELEMENTOS!$D5*(1/MACROMICROELEMENTOS!$C5)*MACROMICROELEMENTOS!$E5))</f>
        <v/>
      </c>
      <c r="CD5" s="17" t="str">
        <f>IF(AND(MACROMICROELEMENTOS!$AS5="",MACROMICROELEMENTOS!$AT5="",MACROMICROELEMENTOS!$AU5="",MACROMICROELEMENTOS!$AV5=""),"",AVERAGE(MACROMICROELEMENTOS!$AS5,MACROMICROELEMENTOS!$AT5,MACROMICROELEMENTOS!$AU5,MACROMICROELEMENTOS!$AV5))</f>
        <v/>
      </c>
      <c r="CE5" s="23">
        <v>1</v>
      </c>
      <c r="CF5" s="31" t="str">
        <f>IF(OR(MACROMICROELEMENTOS!$A5="",MACROMICROELEMENTOS!$B5="",MACROMICROELEMENTOS!$C5="",MACROMICROELEMENTOS!$D5="",MACROMICROELEMENTOS!$E5="",MACROMICROELEMENTOS!$M5="",MACROMICROELEMENTOS!$CD5="",MACROMICROELEMENTOS!$CE5=""),"",((MACROMICROELEMENTOS!$M5-MACROMICROELEMENTOS!$CD5)*MACROMICROELEMENTOS!$CE5*MACROMICROELEMENTOS!$D5*(1/MACROMICROELEMENTOS!$C5)*MACROMICROELEMENTOS!$E5))</f>
        <v/>
      </c>
      <c r="CG5" s="17" t="str">
        <f>IF(AND(MACROMICROELEMENTOS!$AW5="",MACROMICROELEMENTOS!$AX5="",MACROMICROELEMENTOS!$AY5="",MACROMICROELEMENTOS!$AZ5=""),"",AVERAGE(MACROMICROELEMENTOS!$AW5,MACROMICROELEMENTOS!$AX5,MACROMICROELEMENTOS!$AY5,MACROMICROELEMENTOS!$AZ5))</f>
        <v/>
      </c>
      <c r="CH5" s="23">
        <v>1</v>
      </c>
      <c r="CI5" s="31" t="str">
        <f>IF(OR(MACROMICROELEMENTOS!$A5="",MACROMICROELEMENTOS!$B5="",MACROMICROELEMENTOS!$C5="",MACROMICROELEMENTOS!$D5="",MACROMICROELEMENTOS!$E5="",MACROMICROELEMENTOS!$N5="",MACROMICROELEMENTOS!$CG5="",MACROMICROELEMENTOS!$CH5=""),"",((MACROMICROELEMENTOS!$N5-MACROMICROELEMENTOS!$CG5)*MACROMICROELEMENTOS!$CH5*MACROMICROELEMENTOS!$D5*(1/MACROMICROELEMENTOS!$C5)*MACROMICROELEMENTOS!$E5))</f>
        <v/>
      </c>
      <c r="CJ5" s="17" t="str">
        <f>IF(AND(MACROMICROELEMENTOS!$BA5="",MACROMICROELEMENTOS!$BB5="",MACROMICROELEMENTOS!$BC5="",MACROMICROELEMENTOS!$BD5=""),"",IF(O5&gt;2,0,AVERAGE(MACROMICROELEMENTOS!$BA5,MACROMICROELEMENTOS!$BB5,MACROMICROELEMENTOS!$BC5,MACROMICROELEMENTOS!$BD5)))</f>
        <v/>
      </c>
      <c r="CK5" s="23">
        <v>1</v>
      </c>
      <c r="CL5" s="31" t="str">
        <f>IF(OR(MACROMICROELEMENTOS!$A5="",MACROMICROELEMENTOS!$B5="",MACROMICROELEMENTOS!$C5="",MACROMICROELEMENTOS!$D5="",MACROMICROELEMENTOS!$E5="",MACROMICROELEMENTOS!$O5="",MACROMICROELEMENTOS!$CJ5="",MACROMICROELEMENTOS!$CK5=""),"",((MACROMICROELEMENTOS!$O5-MACROMICROELEMENTOS!$CJ5)*MACROMICROELEMENTOS!$CK5*MACROMICROELEMENTOS!$D5*(1/MACROMICROELEMENTOS!$C5)*MACROMICROELEMENTOS!$E5))</f>
        <v/>
      </c>
      <c r="CM5" s="17" t="str">
        <f>IF(AND(MACROMICROELEMENTOS!$BE5="",MACROMICROELEMENTOS!$BF5="",MACROMICROELEMENTOS!$BG5="",MACROMICROELEMENTOS!$BH5=""),"",AVERAGE(MACROMICROELEMENTOS!$BE5,MACROMICROELEMENTOS!$BF5,MACROMICROELEMENTOS!$BG5,MACROMICROELEMENTOS!$BH5))</f>
        <v/>
      </c>
      <c r="CN5" s="23">
        <v>1</v>
      </c>
      <c r="CO5" s="31" t="str">
        <f>IF(OR(MACROMICROELEMENTOS!$A5="",MACROMICROELEMENTOS!$B5="",MACROMICROELEMENTOS!$C5="",MACROMICROELEMENTOS!$D5="",MACROMICROELEMENTOS!$E5="",MACROMICROELEMENTOS!$P5="",MACROMICROELEMENTOS!$CM5="",MACROMICROELEMENTOS!$CN5=""),"",((MACROMICROELEMENTOS!$P5-MACROMICROELEMENTOS!$CM5)*MACROMICROELEMENTOS!$CN5*MACROMICROELEMENTOS!$D5*(1/MACROMICROELEMENTOS!$C5)*MACROMICROELEMENTOS!$E5))</f>
        <v/>
      </c>
    </row>
    <row r="6" spans="1:93" x14ac:dyDescent="0.3">
      <c r="A6" s="19" t="str">
        <f>IF(Pesada!A6="","",Pesada!A6)</f>
        <v/>
      </c>
      <c r="B6" s="16" t="str">
        <f>IF(Pesada!B6="","",Pesada!B6)</f>
        <v/>
      </c>
      <c r="C6" s="20" t="str">
        <f>IF(Pesada!C6="","",VALUE(Pesada!C6))</f>
        <v/>
      </c>
      <c r="D6" s="23">
        <v>100</v>
      </c>
      <c r="E6" s="30" t="str">
        <f>IF(METALESPESADOS!E6="","",METALESPESADOS!E6)</f>
        <v/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17" t="str">
        <f>IF(AND(MACROMICROELEMENTOS!$U6="",MACROMICROELEMENTOS!$V6="",MACROMICROELEMENTOS!$W6="",MACROMICROELEMENTOS!$X6=""),"",AVERAGE(MACROMICROELEMENTOS!$U6,MACROMICROELEMENTOS!$V6,MACROMICROELEMENTOS!$W6,MACROMICROELEMENTOS!$X6))</f>
        <v/>
      </c>
      <c r="BJ6" s="23">
        <v>1</v>
      </c>
      <c r="BK6" s="31" t="str">
        <f>IF(OR(MACROMICROELEMENTOS!$A6="",MACROMICROELEMENTOS!$B6="",MACROMICROELEMENTOS!$C6="",MACROMICROELEMENTOS!$D6="",MACROMICROELEMENTOS!$E6="",MACROMICROELEMENTOS!$F6="",MACROMICROELEMENTOS!$BI6="",MACROMICROELEMENTOS!$BJ6=""),"",((MACROMICROELEMENTOS!$F6-MACROMICROELEMENTOS!$BI6)*MACROMICROELEMENTOS!$BJ6*MACROMICROELEMENTOS!$D6*(1/MACROMICROELEMENTOS!$C6)*MACROMICROELEMENTOS!$E6))</f>
        <v/>
      </c>
      <c r="BL6" s="17" t="str">
        <f>IF(AND(MACROMICROELEMENTOS!$Y6="",MACROMICROELEMENTOS!$Z6="",MACROMICROELEMENTOS!$AA6="",MACROMICROELEMENTOS!$AB6=""),"",AVERAGE(MACROMICROELEMENTOS!$Y6,MACROMICROELEMENTOS!$Z6,MACROMICROELEMENTOS!$AA6,MACROMICROELEMENTOS!$AB6))</f>
        <v/>
      </c>
      <c r="BM6" s="23">
        <v>1</v>
      </c>
      <c r="BN6" s="31" t="str">
        <f>IF(OR(MACROMICROELEMENTOS!$A6="",MACROMICROELEMENTOS!$B6="",MACROMICROELEMENTOS!$C6="",MACROMICROELEMENTOS!$D6="",MACROMICROELEMENTOS!$E6="",MACROMICROELEMENTOS!$G6="",MACROMICROELEMENTOS!$BL6="",MACROMICROELEMENTOS!$BM6=""),"",((MACROMICROELEMENTOS!$G6-MACROMICROELEMENTOS!$BL6)*MACROMICROELEMENTOS!$BM6*MACROMICROELEMENTOS!$D6*(1/MACROMICROELEMENTOS!$C6)*MACROMICROELEMENTOS!$E6/1000))</f>
        <v/>
      </c>
      <c r="BO6" s="17" t="str">
        <f>IF(AND(MACROMICROELEMENTOS!$AC6="",MACROMICROELEMENTOS!$AD6="",MACROMICROELEMENTOS!$AE6="",MACROMICROELEMENTOS!$AF6=""),"",AVERAGE(MACROMICROELEMENTOS!$AC6,MACROMICROELEMENTOS!$AD6,MACROMICROELEMENTOS!$AE6,MACROMICROELEMENTOS!$AF6))</f>
        <v/>
      </c>
      <c r="BP6" s="23">
        <v>1</v>
      </c>
      <c r="BQ6" s="31" t="str">
        <f>IF(OR(MACROMICROELEMENTOS!$A6="",MACROMICROELEMENTOS!$B6="",MACROMICROELEMENTOS!$C6="",MACROMICROELEMENTOS!$D6="",MACROMICROELEMENTOS!$E6="",MACROMICROELEMENTOS!$H6="",MACROMICROELEMENTOS!$BO6="",MACROMICROELEMENTOS!$BP6=""),"",((MACROMICROELEMENTOS!$H6-MACROMICROELEMENTOS!$BO6)*MACROMICROELEMENTOS!$BP6*MACROMICROELEMENTOS!$D6*(1/MACROMICROELEMENTOS!$C6)*MACROMICROELEMENTOS!$E6))</f>
        <v/>
      </c>
      <c r="BR6" s="17" t="str">
        <f>IF(AND(MACROMICROELEMENTOS!$Q6="",MACROMICROELEMENTOS!$R6="",MACROMICROELEMENTOS!$S6="",MACROMICROELEMENTOS!$T6=""),"",AVERAGE(MACROMICROELEMENTOS!$Q6,MACROMICROELEMENTOS!$R6,MACROMICROELEMENTOS!$S6,MACROMICROELEMENTOS!$T6))</f>
        <v/>
      </c>
      <c r="BS6" s="23">
        <v>1</v>
      </c>
      <c r="BT6" s="31" t="str">
        <f>IF(OR(MACROMICROELEMENTOS!$A6="",MACROMICROELEMENTOS!$B6="",MACROMICROELEMENTOS!$C6="",MACROMICROELEMENTOS!$D6="",MACROMICROELEMENTOS!$E6="",MACROMICROELEMENTOS!$I6="",MACROMICROELEMENTOS!$BR6="",MACROMICROELEMENTOS!$BS6=""),"",((MACROMICROELEMENTOS!$I6-MACROMICROELEMENTOS!$BR6)*MACROMICROELEMENTOS!$BS6*MACROMICROELEMENTOS!$D6*(1/MACROMICROELEMENTOS!$C6)*MACROMICROELEMENTOS!$E6))</f>
        <v/>
      </c>
      <c r="BU6" s="17" t="str">
        <f>IF(AND(MACROMICROELEMENTOS!$AG6="",MACROMICROELEMENTOS!$AH6="",MACROMICROELEMENTOS!$AI6="",MACROMICROELEMENTOS!$AJ6=""),"",AVERAGE(MACROMICROELEMENTOS!$AG6,MACROMICROELEMENTOS!$AH6,MACROMICROELEMENTOS!$AI6,MACROMICROELEMENTOS!$AJ6))</f>
        <v/>
      </c>
      <c r="BV6" s="23">
        <v>1</v>
      </c>
      <c r="BW6" s="31" t="str">
        <f>IF(OR(MACROMICROELEMENTOS!$A6="",MACROMICROELEMENTOS!$B6="",MACROMICROELEMENTOS!$C6="",MACROMICROELEMENTOS!$D6="",MACROMICROELEMENTOS!$E6="",MACROMICROELEMENTOS!$J6="",MACROMICROELEMENTOS!$BU6="",MACROMICROELEMENTOS!$BV6=""),"",((MACROMICROELEMENTOS!$J6-MACROMICROELEMENTOS!$BU6)*MACROMICROELEMENTOS!$BV6*MACROMICROELEMENTOS!$D6*(1/MACROMICROELEMENTOS!$C6)*MACROMICROELEMENTOS!$E6))</f>
        <v/>
      </c>
      <c r="BX6" s="17" t="str">
        <f>IF(AND(MACROMICROELEMENTOS!$AK6="",MACROMICROELEMENTOS!$AL6="",MACROMICROELEMENTOS!$AM6="",MACROMICROELEMENTOS!$AN6=""),"",AVERAGE(MACROMICROELEMENTOS!$AK6,MACROMICROELEMENTOS!$AL6,MACROMICROELEMENTOS!$AM6,MACROMICROELEMENTOS!$AN6))</f>
        <v/>
      </c>
      <c r="BY6" s="23">
        <v>1</v>
      </c>
      <c r="BZ6" s="31" t="str">
        <f>IF(OR(MACROMICROELEMENTOS!$A6="",MACROMICROELEMENTOS!$B6="",MACROMICROELEMENTOS!$C6="",MACROMICROELEMENTOS!$D6="",MACROMICROELEMENTOS!$E6="",MACROMICROELEMENTOS!$K6="",MACROMICROELEMENTOS!$BX6="",MACROMICROELEMENTOS!$BY6=""),"",((MACROMICROELEMENTOS!$K6-MACROMICROELEMENTOS!$BX6)*MACROMICROELEMENTOS!$BY6*MACROMICROELEMENTOS!$D6*(1/MACROMICROELEMENTOS!$C6)*MACROMICROELEMENTOS!$E6))</f>
        <v/>
      </c>
      <c r="CA6" s="17" t="str">
        <f>IF(AND(MACROMICROELEMENTOS!$AO6="",MACROMICROELEMENTOS!$AP6="",MACROMICROELEMENTOS!$AQ6="",MACROMICROELEMENTOS!$AR6=""),"",AVERAGE(MACROMICROELEMENTOS!$AO6,MACROMICROELEMENTOS!$AP6,MACROMICROELEMENTOS!$AQ6,MACROMICROELEMENTOS!$AR6))</f>
        <v/>
      </c>
      <c r="CB6" s="23">
        <v>1</v>
      </c>
      <c r="CC6" s="31" t="str">
        <f>IF(OR(MACROMICROELEMENTOS!$A6="",MACROMICROELEMENTOS!$B6="",MACROMICROELEMENTOS!$C6="",MACROMICROELEMENTOS!$D6="",MACROMICROELEMENTOS!$E6="",MACROMICROELEMENTOS!$L6="",MACROMICROELEMENTOS!$CA6="",MACROMICROELEMENTOS!$CB6=""),"",((MACROMICROELEMENTOS!$L6-MACROMICROELEMENTOS!$CA6)*MACROMICROELEMENTOS!$CB6*MACROMICROELEMENTOS!$D6*(1/MACROMICROELEMENTOS!$C6)*MACROMICROELEMENTOS!$E6))</f>
        <v/>
      </c>
      <c r="CD6" s="17" t="str">
        <f>IF(AND(MACROMICROELEMENTOS!$AS6="",MACROMICROELEMENTOS!$AT6="",MACROMICROELEMENTOS!$AU6="",MACROMICROELEMENTOS!$AV6=""),"",AVERAGE(MACROMICROELEMENTOS!$AS6,MACROMICROELEMENTOS!$AT6,MACROMICROELEMENTOS!$AU6,MACROMICROELEMENTOS!$AV6))</f>
        <v/>
      </c>
      <c r="CE6" s="23">
        <v>1</v>
      </c>
      <c r="CF6" s="31" t="str">
        <f>IF(OR(MACROMICROELEMENTOS!$A6="",MACROMICROELEMENTOS!$B6="",MACROMICROELEMENTOS!$C6="",MACROMICROELEMENTOS!$D6="",MACROMICROELEMENTOS!$E6="",MACROMICROELEMENTOS!$M6="",MACROMICROELEMENTOS!$CD6="",MACROMICROELEMENTOS!$CE6=""),"",((MACROMICROELEMENTOS!$M6-MACROMICROELEMENTOS!$CD6)*MACROMICROELEMENTOS!$CE6*MACROMICROELEMENTOS!$D6*(1/MACROMICROELEMENTOS!$C6)*MACROMICROELEMENTOS!$E6))</f>
        <v/>
      </c>
      <c r="CG6" s="17" t="str">
        <f>IF(AND(MACROMICROELEMENTOS!$AW6="",MACROMICROELEMENTOS!$AX6="",MACROMICROELEMENTOS!$AY6="",MACROMICROELEMENTOS!$AZ6=""),"",AVERAGE(MACROMICROELEMENTOS!$AW6,MACROMICROELEMENTOS!$AX6,MACROMICROELEMENTOS!$AY6,MACROMICROELEMENTOS!$AZ6))</f>
        <v/>
      </c>
      <c r="CH6" s="23">
        <v>1</v>
      </c>
      <c r="CI6" s="31" t="str">
        <f>IF(OR(MACROMICROELEMENTOS!$A6="",MACROMICROELEMENTOS!$B6="",MACROMICROELEMENTOS!$C6="",MACROMICROELEMENTOS!$D6="",MACROMICROELEMENTOS!$E6="",MACROMICROELEMENTOS!$N6="",MACROMICROELEMENTOS!$CG6="",MACROMICROELEMENTOS!$CH6=""),"",((MACROMICROELEMENTOS!$N6-MACROMICROELEMENTOS!$CG6)*MACROMICROELEMENTOS!$CH6*MACROMICROELEMENTOS!$D6*(1/MACROMICROELEMENTOS!$C6)*MACROMICROELEMENTOS!$E6))</f>
        <v/>
      </c>
      <c r="CJ6" s="17" t="str">
        <f>IF(AND(MACROMICROELEMENTOS!$BA6="",MACROMICROELEMENTOS!$BB6="",MACROMICROELEMENTOS!$BC6="",MACROMICROELEMENTOS!$BD6=""),"",IF(O6&gt;2,0,AVERAGE(MACROMICROELEMENTOS!$BA6,MACROMICROELEMENTOS!$BB6,MACROMICROELEMENTOS!$BC6,MACROMICROELEMENTOS!$BD6)))</f>
        <v/>
      </c>
      <c r="CK6" s="23">
        <v>1</v>
      </c>
      <c r="CL6" s="31" t="str">
        <f>IF(OR(MACROMICROELEMENTOS!$A6="",MACROMICROELEMENTOS!$B6="",MACROMICROELEMENTOS!$C6="",MACROMICROELEMENTOS!$D6="",MACROMICROELEMENTOS!$E6="",MACROMICROELEMENTOS!$O6="",MACROMICROELEMENTOS!$CJ6="",MACROMICROELEMENTOS!$CK6=""),"",((MACROMICROELEMENTOS!$O6-MACROMICROELEMENTOS!$CJ6)*MACROMICROELEMENTOS!$CK6*MACROMICROELEMENTOS!$D6*(1/MACROMICROELEMENTOS!$C6)*MACROMICROELEMENTOS!$E6))</f>
        <v/>
      </c>
      <c r="CM6" s="17" t="str">
        <f>IF(AND(MACROMICROELEMENTOS!$BE6="",MACROMICROELEMENTOS!$BF6="",MACROMICROELEMENTOS!$BG6="",MACROMICROELEMENTOS!$BH6=""),"",AVERAGE(MACROMICROELEMENTOS!$BE6,MACROMICROELEMENTOS!$BF6,MACROMICROELEMENTOS!$BG6,MACROMICROELEMENTOS!$BH6))</f>
        <v/>
      </c>
      <c r="CN6" s="23">
        <v>1</v>
      </c>
      <c r="CO6" s="31" t="str">
        <f>IF(OR(MACROMICROELEMENTOS!$A6="",MACROMICROELEMENTOS!$B6="",MACROMICROELEMENTOS!$C6="",MACROMICROELEMENTOS!$D6="",MACROMICROELEMENTOS!$E6="",MACROMICROELEMENTOS!$P6="",MACROMICROELEMENTOS!$CM6="",MACROMICROELEMENTOS!$CN6=""),"",((MACROMICROELEMENTOS!$P6-MACROMICROELEMENTOS!$CM6)*MACROMICROELEMENTOS!$CN6*MACROMICROELEMENTOS!$D6*(1/MACROMICROELEMENTOS!$C6)*MACROMICROELEMENTOS!$E6))</f>
        <v/>
      </c>
    </row>
    <row r="7" spans="1:93" x14ac:dyDescent="0.3">
      <c r="A7" s="19" t="str">
        <f>IF(Pesada!A7="","",Pesada!A7)</f>
        <v/>
      </c>
      <c r="B7" s="16" t="str">
        <f>IF(Pesada!B7="","",Pesada!B7)</f>
        <v/>
      </c>
      <c r="C7" s="20" t="str">
        <f>IF(Pesada!C7="","",VALUE(Pesada!C7))</f>
        <v/>
      </c>
      <c r="D7" s="23">
        <v>100</v>
      </c>
      <c r="E7" s="30" t="str">
        <f>IF(METALESPESADOS!E7="","",METALESPESADOS!E7)</f>
        <v/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17" t="str">
        <f>IF(AND(MACROMICROELEMENTOS!$U7="",MACROMICROELEMENTOS!$V7="",MACROMICROELEMENTOS!$W7="",MACROMICROELEMENTOS!$X7=""),"",AVERAGE(MACROMICROELEMENTOS!$U7,MACROMICROELEMENTOS!$V7,MACROMICROELEMENTOS!$W7,MACROMICROELEMENTOS!$X7))</f>
        <v/>
      </c>
      <c r="BJ7" s="23">
        <v>1</v>
      </c>
      <c r="BK7" s="31" t="str">
        <f>IF(OR(MACROMICROELEMENTOS!$A7="",MACROMICROELEMENTOS!$B7="",MACROMICROELEMENTOS!$C7="",MACROMICROELEMENTOS!$D7="",MACROMICROELEMENTOS!$E7="",MACROMICROELEMENTOS!$F7="",MACROMICROELEMENTOS!$BI7="",MACROMICROELEMENTOS!$BJ7=""),"",((MACROMICROELEMENTOS!$F7-MACROMICROELEMENTOS!$BI7)*MACROMICROELEMENTOS!$BJ7*MACROMICROELEMENTOS!$D7*(1/MACROMICROELEMENTOS!$C7)*MACROMICROELEMENTOS!$E7))</f>
        <v/>
      </c>
      <c r="BL7" s="17" t="str">
        <f>IF(AND(MACROMICROELEMENTOS!$Y7="",MACROMICROELEMENTOS!$Z7="",MACROMICROELEMENTOS!$AA7="",MACROMICROELEMENTOS!$AB7=""),"",AVERAGE(MACROMICROELEMENTOS!$Y7,MACROMICROELEMENTOS!$Z7,MACROMICROELEMENTOS!$AA7,MACROMICROELEMENTOS!$AB7))</f>
        <v/>
      </c>
      <c r="BM7" s="23">
        <v>1</v>
      </c>
      <c r="BN7" s="31" t="str">
        <f>IF(OR(MACROMICROELEMENTOS!$A7="",MACROMICROELEMENTOS!$B7="",MACROMICROELEMENTOS!$C7="",MACROMICROELEMENTOS!$D7="",MACROMICROELEMENTOS!$E7="",MACROMICROELEMENTOS!$G7="",MACROMICROELEMENTOS!$BL7="",MACROMICROELEMENTOS!$BM7=""),"",((MACROMICROELEMENTOS!$G7-MACROMICROELEMENTOS!$BL7)*MACROMICROELEMENTOS!$BM7*MACROMICROELEMENTOS!$D7*(1/MACROMICROELEMENTOS!$C7)*MACROMICROELEMENTOS!$E7/1000))</f>
        <v/>
      </c>
      <c r="BO7" s="17" t="str">
        <f>IF(AND(MACROMICROELEMENTOS!$AC7="",MACROMICROELEMENTOS!$AD7="",MACROMICROELEMENTOS!$AE7="",MACROMICROELEMENTOS!$AF7=""),"",AVERAGE(MACROMICROELEMENTOS!$AC7,MACROMICROELEMENTOS!$AD7,MACROMICROELEMENTOS!$AE7,MACROMICROELEMENTOS!$AF7))</f>
        <v/>
      </c>
      <c r="BP7" s="23">
        <v>1</v>
      </c>
      <c r="BQ7" s="31" t="str">
        <f>IF(OR(MACROMICROELEMENTOS!$A7="",MACROMICROELEMENTOS!$B7="",MACROMICROELEMENTOS!$C7="",MACROMICROELEMENTOS!$D7="",MACROMICROELEMENTOS!$E7="",MACROMICROELEMENTOS!$H7="",MACROMICROELEMENTOS!$BO7="",MACROMICROELEMENTOS!$BP7=""),"",((MACROMICROELEMENTOS!$H7-MACROMICROELEMENTOS!$BO7)*MACROMICROELEMENTOS!$BP7*MACROMICROELEMENTOS!$D7*(1/MACROMICROELEMENTOS!$C7)*MACROMICROELEMENTOS!$E7))</f>
        <v/>
      </c>
      <c r="BR7" s="17" t="str">
        <f>IF(AND(MACROMICROELEMENTOS!$Q7="",MACROMICROELEMENTOS!$R7="",MACROMICROELEMENTOS!$S7="",MACROMICROELEMENTOS!$T7=""),"",AVERAGE(MACROMICROELEMENTOS!$Q7,MACROMICROELEMENTOS!$R7,MACROMICROELEMENTOS!$S7,MACROMICROELEMENTOS!$T7))</f>
        <v/>
      </c>
      <c r="BS7" s="23">
        <v>1</v>
      </c>
      <c r="BT7" s="31" t="str">
        <f>IF(OR(MACROMICROELEMENTOS!$A7="",MACROMICROELEMENTOS!$B7="",MACROMICROELEMENTOS!$C7="",MACROMICROELEMENTOS!$D7="",MACROMICROELEMENTOS!$E7="",MACROMICROELEMENTOS!$I7="",MACROMICROELEMENTOS!$BR7="",MACROMICROELEMENTOS!$BS7=""),"",((MACROMICROELEMENTOS!$I7-MACROMICROELEMENTOS!$BR7)*MACROMICROELEMENTOS!$BS7*MACROMICROELEMENTOS!$D7*(1/MACROMICROELEMENTOS!$C7)*MACROMICROELEMENTOS!$E7))</f>
        <v/>
      </c>
      <c r="BU7" s="17" t="str">
        <f>IF(AND(MACROMICROELEMENTOS!$AG7="",MACROMICROELEMENTOS!$AH7="",MACROMICROELEMENTOS!$AI7="",MACROMICROELEMENTOS!$AJ7=""),"",AVERAGE(MACROMICROELEMENTOS!$AG7,MACROMICROELEMENTOS!$AH7,MACROMICROELEMENTOS!$AI7,MACROMICROELEMENTOS!$AJ7))</f>
        <v/>
      </c>
      <c r="BV7" s="23">
        <v>1</v>
      </c>
      <c r="BW7" s="31" t="str">
        <f>IF(OR(MACROMICROELEMENTOS!$A7="",MACROMICROELEMENTOS!$B7="",MACROMICROELEMENTOS!$C7="",MACROMICROELEMENTOS!$D7="",MACROMICROELEMENTOS!$E7="",MACROMICROELEMENTOS!$J7="",MACROMICROELEMENTOS!$BU7="",MACROMICROELEMENTOS!$BV7=""),"",((MACROMICROELEMENTOS!$J7-MACROMICROELEMENTOS!$BU7)*MACROMICROELEMENTOS!$BV7*MACROMICROELEMENTOS!$D7*(1/MACROMICROELEMENTOS!$C7)*MACROMICROELEMENTOS!$E7))</f>
        <v/>
      </c>
      <c r="BX7" s="17" t="str">
        <f>IF(AND(MACROMICROELEMENTOS!$AK7="",MACROMICROELEMENTOS!$AL7="",MACROMICROELEMENTOS!$AM7="",MACROMICROELEMENTOS!$AN7=""),"",AVERAGE(MACROMICROELEMENTOS!$AK7,MACROMICROELEMENTOS!$AL7,MACROMICROELEMENTOS!$AM7,MACROMICROELEMENTOS!$AN7))</f>
        <v/>
      </c>
      <c r="BY7" s="23">
        <v>1</v>
      </c>
      <c r="BZ7" s="31" t="str">
        <f>IF(OR(MACROMICROELEMENTOS!$A7="",MACROMICROELEMENTOS!$B7="",MACROMICROELEMENTOS!$C7="",MACROMICROELEMENTOS!$D7="",MACROMICROELEMENTOS!$E7="",MACROMICROELEMENTOS!$K7="",MACROMICROELEMENTOS!$BX7="",MACROMICROELEMENTOS!$BY7=""),"",((MACROMICROELEMENTOS!$K7-MACROMICROELEMENTOS!$BX7)*MACROMICROELEMENTOS!$BY7*MACROMICROELEMENTOS!$D7*(1/MACROMICROELEMENTOS!$C7)*MACROMICROELEMENTOS!$E7))</f>
        <v/>
      </c>
      <c r="CA7" s="17" t="str">
        <f>IF(AND(MACROMICROELEMENTOS!$AO7="",MACROMICROELEMENTOS!$AP7="",MACROMICROELEMENTOS!$AQ7="",MACROMICROELEMENTOS!$AR7=""),"",AVERAGE(MACROMICROELEMENTOS!$AO7,MACROMICROELEMENTOS!$AP7,MACROMICROELEMENTOS!$AQ7,MACROMICROELEMENTOS!$AR7))</f>
        <v/>
      </c>
      <c r="CB7" s="23">
        <v>1</v>
      </c>
      <c r="CC7" s="31" t="str">
        <f>IF(OR(MACROMICROELEMENTOS!$A7="",MACROMICROELEMENTOS!$B7="",MACROMICROELEMENTOS!$C7="",MACROMICROELEMENTOS!$D7="",MACROMICROELEMENTOS!$E7="",MACROMICROELEMENTOS!$L7="",MACROMICROELEMENTOS!$CA7="",MACROMICROELEMENTOS!$CB7=""),"",((MACROMICROELEMENTOS!$L7-MACROMICROELEMENTOS!$CA7)*MACROMICROELEMENTOS!$CB7*MACROMICROELEMENTOS!$D7*(1/MACROMICROELEMENTOS!$C7)*MACROMICROELEMENTOS!$E7))</f>
        <v/>
      </c>
      <c r="CD7" s="17" t="str">
        <f>IF(AND(MACROMICROELEMENTOS!$AS7="",MACROMICROELEMENTOS!$AT7="",MACROMICROELEMENTOS!$AU7="",MACROMICROELEMENTOS!$AV7=""),"",AVERAGE(MACROMICROELEMENTOS!$AS7,MACROMICROELEMENTOS!$AT7,MACROMICROELEMENTOS!$AU7,MACROMICROELEMENTOS!$AV7))</f>
        <v/>
      </c>
      <c r="CE7" s="23">
        <v>1</v>
      </c>
      <c r="CF7" s="31" t="str">
        <f>IF(OR(MACROMICROELEMENTOS!$A7="",MACROMICROELEMENTOS!$B7="",MACROMICROELEMENTOS!$C7="",MACROMICROELEMENTOS!$D7="",MACROMICROELEMENTOS!$E7="",MACROMICROELEMENTOS!$M7="",MACROMICROELEMENTOS!$CD7="",MACROMICROELEMENTOS!$CE7=""),"",((MACROMICROELEMENTOS!$M7-MACROMICROELEMENTOS!$CD7)*MACROMICROELEMENTOS!$CE7*MACROMICROELEMENTOS!$D7*(1/MACROMICROELEMENTOS!$C7)*MACROMICROELEMENTOS!$E7))</f>
        <v/>
      </c>
      <c r="CG7" s="17" t="str">
        <f>IF(AND(MACROMICROELEMENTOS!$AW7="",MACROMICROELEMENTOS!$AX7="",MACROMICROELEMENTOS!$AY7="",MACROMICROELEMENTOS!$AZ7=""),"",AVERAGE(MACROMICROELEMENTOS!$AW7,MACROMICROELEMENTOS!$AX7,MACROMICROELEMENTOS!$AY7,MACROMICROELEMENTOS!$AZ7))</f>
        <v/>
      </c>
      <c r="CH7" s="23">
        <v>1</v>
      </c>
      <c r="CI7" s="31" t="str">
        <f>IF(OR(MACROMICROELEMENTOS!$A7="",MACROMICROELEMENTOS!$B7="",MACROMICROELEMENTOS!$C7="",MACROMICROELEMENTOS!$D7="",MACROMICROELEMENTOS!$E7="",MACROMICROELEMENTOS!$N7="",MACROMICROELEMENTOS!$CG7="",MACROMICROELEMENTOS!$CH7=""),"",((MACROMICROELEMENTOS!$N7-MACROMICROELEMENTOS!$CG7)*MACROMICROELEMENTOS!$CH7*MACROMICROELEMENTOS!$D7*(1/MACROMICROELEMENTOS!$C7)*MACROMICROELEMENTOS!$E7))</f>
        <v/>
      </c>
      <c r="CJ7" s="17" t="str">
        <f>IF(AND(MACROMICROELEMENTOS!$BA7="",MACROMICROELEMENTOS!$BB7="",MACROMICROELEMENTOS!$BC7="",MACROMICROELEMENTOS!$BD7=""),"",IF(O7&gt;2,0,AVERAGE(MACROMICROELEMENTOS!$BA7,MACROMICROELEMENTOS!$BB7,MACROMICROELEMENTOS!$BC7,MACROMICROELEMENTOS!$BD7)))</f>
        <v/>
      </c>
      <c r="CK7" s="23">
        <v>1</v>
      </c>
      <c r="CL7" s="31" t="str">
        <f>IF(OR(MACROMICROELEMENTOS!$A7="",MACROMICROELEMENTOS!$B7="",MACROMICROELEMENTOS!$C7="",MACROMICROELEMENTOS!$D7="",MACROMICROELEMENTOS!$E7="",MACROMICROELEMENTOS!$O7="",MACROMICROELEMENTOS!$CJ7="",MACROMICROELEMENTOS!$CK7=""),"",((MACROMICROELEMENTOS!$O7-MACROMICROELEMENTOS!$CJ7)*MACROMICROELEMENTOS!$CK7*MACROMICROELEMENTOS!$D7*(1/MACROMICROELEMENTOS!$C7)*MACROMICROELEMENTOS!$E7))</f>
        <v/>
      </c>
      <c r="CM7" s="17" t="str">
        <f>IF(AND(MACROMICROELEMENTOS!$BE7="",MACROMICROELEMENTOS!$BF7="",MACROMICROELEMENTOS!$BG7="",MACROMICROELEMENTOS!$BH7=""),"",AVERAGE(MACROMICROELEMENTOS!$BE7,MACROMICROELEMENTOS!$BF7,MACROMICROELEMENTOS!$BG7,MACROMICROELEMENTOS!$BH7))</f>
        <v/>
      </c>
      <c r="CN7" s="23">
        <v>1</v>
      </c>
      <c r="CO7" s="31" t="str">
        <f>IF(OR(MACROMICROELEMENTOS!$A7="",MACROMICROELEMENTOS!$B7="",MACROMICROELEMENTOS!$C7="",MACROMICROELEMENTOS!$D7="",MACROMICROELEMENTOS!$E7="",MACROMICROELEMENTOS!$P7="",MACROMICROELEMENTOS!$CM7="",MACROMICROELEMENTOS!$CN7=""),"",((MACROMICROELEMENTOS!$P7-MACROMICROELEMENTOS!$CM7)*MACROMICROELEMENTOS!$CN7*MACROMICROELEMENTOS!$D7*(1/MACROMICROELEMENTOS!$C7)*MACROMICROELEMENTOS!$E7))</f>
        <v/>
      </c>
    </row>
    <row r="8" spans="1:93" x14ac:dyDescent="0.3">
      <c r="A8" s="19" t="str">
        <f>IF(Pesada!A8="","",Pesada!A8)</f>
        <v/>
      </c>
      <c r="B8" s="16" t="str">
        <f>IF(Pesada!B8="","",Pesada!B8)</f>
        <v/>
      </c>
      <c r="C8" s="20" t="str">
        <f>IF(Pesada!C8="","",VALUE(Pesada!C8))</f>
        <v/>
      </c>
      <c r="D8" s="23">
        <v>100</v>
      </c>
      <c r="E8" s="30" t="str">
        <f>IF(METALESPESADOS!E8="","",METALESPESADOS!E8)</f>
        <v/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17" t="str">
        <f>IF(AND(MACROMICROELEMENTOS!$U8="",MACROMICROELEMENTOS!$V8="",MACROMICROELEMENTOS!$W8="",MACROMICROELEMENTOS!$X8=""),"",AVERAGE(MACROMICROELEMENTOS!$U8,MACROMICROELEMENTOS!$V8,MACROMICROELEMENTOS!$W8,MACROMICROELEMENTOS!$X8))</f>
        <v/>
      </c>
      <c r="BJ8" s="23">
        <v>1</v>
      </c>
      <c r="BK8" s="31" t="str">
        <f>IF(OR(MACROMICROELEMENTOS!$A8="",MACROMICROELEMENTOS!$B8="",MACROMICROELEMENTOS!$C8="",MACROMICROELEMENTOS!$D8="",MACROMICROELEMENTOS!$E8="",MACROMICROELEMENTOS!$F8="",MACROMICROELEMENTOS!$BI8="",MACROMICROELEMENTOS!$BJ8=""),"",((MACROMICROELEMENTOS!$F8-MACROMICROELEMENTOS!$BI8)*MACROMICROELEMENTOS!$BJ8*MACROMICROELEMENTOS!$D8*(1/MACROMICROELEMENTOS!$C8)*MACROMICROELEMENTOS!$E8))</f>
        <v/>
      </c>
      <c r="BL8" s="17" t="str">
        <f>IF(AND(MACROMICROELEMENTOS!$Y8="",MACROMICROELEMENTOS!$Z8="",MACROMICROELEMENTOS!$AA8="",MACROMICROELEMENTOS!$AB8=""),"",AVERAGE(MACROMICROELEMENTOS!$Y8,MACROMICROELEMENTOS!$Z8,MACROMICROELEMENTOS!$AA8,MACROMICROELEMENTOS!$AB8))</f>
        <v/>
      </c>
      <c r="BM8" s="23">
        <v>1</v>
      </c>
      <c r="BN8" s="31" t="str">
        <f>IF(OR(MACROMICROELEMENTOS!$A8="",MACROMICROELEMENTOS!$B8="",MACROMICROELEMENTOS!$C8="",MACROMICROELEMENTOS!$D8="",MACROMICROELEMENTOS!$E8="",MACROMICROELEMENTOS!$G8="",MACROMICROELEMENTOS!$BL8="",MACROMICROELEMENTOS!$BM8=""),"",((MACROMICROELEMENTOS!$G8-MACROMICROELEMENTOS!$BL8)*MACROMICROELEMENTOS!$BM8*MACROMICROELEMENTOS!$D8*(1/MACROMICROELEMENTOS!$C8)*MACROMICROELEMENTOS!$E8/1000))</f>
        <v/>
      </c>
      <c r="BO8" s="17" t="str">
        <f>IF(AND(MACROMICROELEMENTOS!$AC8="",MACROMICROELEMENTOS!$AD8="",MACROMICROELEMENTOS!$AE8="",MACROMICROELEMENTOS!$AF8=""),"",AVERAGE(MACROMICROELEMENTOS!$AC8,MACROMICROELEMENTOS!$AD8,MACROMICROELEMENTOS!$AE8,MACROMICROELEMENTOS!$AF8))</f>
        <v/>
      </c>
      <c r="BP8" s="23">
        <v>1</v>
      </c>
      <c r="BQ8" s="31" t="str">
        <f>IF(OR(MACROMICROELEMENTOS!$A8="",MACROMICROELEMENTOS!$B8="",MACROMICROELEMENTOS!$C8="",MACROMICROELEMENTOS!$D8="",MACROMICROELEMENTOS!$E8="",MACROMICROELEMENTOS!$H8="",MACROMICROELEMENTOS!$BO8="",MACROMICROELEMENTOS!$BP8=""),"",((MACROMICROELEMENTOS!$H8-MACROMICROELEMENTOS!$BO8)*MACROMICROELEMENTOS!$BP8*MACROMICROELEMENTOS!$D8*(1/MACROMICROELEMENTOS!$C8)*MACROMICROELEMENTOS!$E8))</f>
        <v/>
      </c>
      <c r="BR8" s="17" t="str">
        <f>IF(AND(MACROMICROELEMENTOS!$Q8="",MACROMICROELEMENTOS!$R8="",MACROMICROELEMENTOS!$S8="",MACROMICROELEMENTOS!$T8=""),"",AVERAGE(MACROMICROELEMENTOS!$Q8,MACROMICROELEMENTOS!$R8,MACROMICROELEMENTOS!$S8,MACROMICROELEMENTOS!$T8))</f>
        <v/>
      </c>
      <c r="BS8" s="23">
        <v>1</v>
      </c>
      <c r="BT8" s="31" t="str">
        <f>IF(OR(MACROMICROELEMENTOS!$A8="",MACROMICROELEMENTOS!$B8="",MACROMICROELEMENTOS!$C8="",MACROMICROELEMENTOS!$D8="",MACROMICROELEMENTOS!$E8="",MACROMICROELEMENTOS!$I8="",MACROMICROELEMENTOS!$BR8="",MACROMICROELEMENTOS!$BS8=""),"",((MACROMICROELEMENTOS!$I8-MACROMICROELEMENTOS!$BR8)*MACROMICROELEMENTOS!$BS8*MACROMICROELEMENTOS!$D8*(1/MACROMICROELEMENTOS!$C8)*MACROMICROELEMENTOS!$E8))</f>
        <v/>
      </c>
      <c r="BU8" s="17" t="str">
        <f>IF(AND(MACROMICROELEMENTOS!$AG8="",MACROMICROELEMENTOS!$AH8="",MACROMICROELEMENTOS!$AI8="",MACROMICROELEMENTOS!$AJ8=""),"",AVERAGE(MACROMICROELEMENTOS!$AG8,MACROMICROELEMENTOS!$AH8,MACROMICROELEMENTOS!$AI8,MACROMICROELEMENTOS!$AJ8))</f>
        <v/>
      </c>
      <c r="BV8" s="23">
        <v>1</v>
      </c>
      <c r="BW8" s="31" t="str">
        <f>IF(OR(MACROMICROELEMENTOS!$A8="",MACROMICROELEMENTOS!$B8="",MACROMICROELEMENTOS!$C8="",MACROMICROELEMENTOS!$D8="",MACROMICROELEMENTOS!$E8="",MACROMICROELEMENTOS!$J8="",MACROMICROELEMENTOS!$BU8="",MACROMICROELEMENTOS!$BV8=""),"",((MACROMICROELEMENTOS!$J8-MACROMICROELEMENTOS!$BU8)*MACROMICROELEMENTOS!$BV8*MACROMICROELEMENTOS!$D8*(1/MACROMICROELEMENTOS!$C8)*MACROMICROELEMENTOS!$E8))</f>
        <v/>
      </c>
      <c r="BX8" s="17" t="str">
        <f>IF(AND(MACROMICROELEMENTOS!$AK8="",MACROMICROELEMENTOS!$AL8="",MACROMICROELEMENTOS!$AM8="",MACROMICROELEMENTOS!$AN8=""),"",AVERAGE(MACROMICROELEMENTOS!$AK8,MACROMICROELEMENTOS!$AL8,MACROMICROELEMENTOS!$AM8,MACROMICROELEMENTOS!$AN8))</f>
        <v/>
      </c>
      <c r="BY8" s="23">
        <v>1</v>
      </c>
      <c r="BZ8" s="31" t="str">
        <f>IF(OR(MACROMICROELEMENTOS!$A8="",MACROMICROELEMENTOS!$B8="",MACROMICROELEMENTOS!$C8="",MACROMICROELEMENTOS!$D8="",MACROMICROELEMENTOS!$E8="",MACROMICROELEMENTOS!$K8="",MACROMICROELEMENTOS!$BX8="",MACROMICROELEMENTOS!$BY8=""),"",((MACROMICROELEMENTOS!$K8-MACROMICROELEMENTOS!$BX8)*MACROMICROELEMENTOS!$BY8*MACROMICROELEMENTOS!$D8*(1/MACROMICROELEMENTOS!$C8)*MACROMICROELEMENTOS!$E8))</f>
        <v/>
      </c>
      <c r="CA8" s="17" t="str">
        <f>IF(AND(MACROMICROELEMENTOS!$AO8="",MACROMICROELEMENTOS!$AP8="",MACROMICROELEMENTOS!$AQ8="",MACROMICROELEMENTOS!$AR8=""),"",AVERAGE(MACROMICROELEMENTOS!$AO8,MACROMICROELEMENTOS!$AP8,MACROMICROELEMENTOS!$AQ8,MACROMICROELEMENTOS!$AR8))</f>
        <v/>
      </c>
      <c r="CB8" s="23">
        <v>1</v>
      </c>
      <c r="CC8" s="31" t="str">
        <f>IF(OR(MACROMICROELEMENTOS!$A8="",MACROMICROELEMENTOS!$B8="",MACROMICROELEMENTOS!$C8="",MACROMICROELEMENTOS!$D8="",MACROMICROELEMENTOS!$E8="",MACROMICROELEMENTOS!$L8="",MACROMICROELEMENTOS!$CA8="",MACROMICROELEMENTOS!$CB8=""),"",((MACROMICROELEMENTOS!$L8-MACROMICROELEMENTOS!$CA8)*MACROMICROELEMENTOS!$CB8*MACROMICROELEMENTOS!$D8*(1/MACROMICROELEMENTOS!$C8)*MACROMICROELEMENTOS!$E8))</f>
        <v/>
      </c>
      <c r="CD8" s="17" t="str">
        <f>IF(AND(MACROMICROELEMENTOS!$AS8="",MACROMICROELEMENTOS!$AT8="",MACROMICROELEMENTOS!$AU8="",MACROMICROELEMENTOS!$AV8=""),"",AVERAGE(MACROMICROELEMENTOS!$AS8,MACROMICROELEMENTOS!$AT8,MACROMICROELEMENTOS!$AU8,MACROMICROELEMENTOS!$AV8))</f>
        <v/>
      </c>
      <c r="CE8" s="23">
        <v>1</v>
      </c>
      <c r="CF8" s="31" t="str">
        <f>IF(OR(MACROMICROELEMENTOS!$A8="",MACROMICROELEMENTOS!$B8="",MACROMICROELEMENTOS!$C8="",MACROMICROELEMENTOS!$D8="",MACROMICROELEMENTOS!$E8="",MACROMICROELEMENTOS!$M8="",MACROMICROELEMENTOS!$CD8="",MACROMICROELEMENTOS!$CE8=""),"",((MACROMICROELEMENTOS!$M8-MACROMICROELEMENTOS!$CD8)*MACROMICROELEMENTOS!$CE8*MACROMICROELEMENTOS!$D8*(1/MACROMICROELEMENTOS!$C8)*MACROMICROELEMENTOS!$E8))</f>
        <v/>
      </c>
      <c r="CG8" s="17" t="str">
        <f>IF(AND(MACROMICROELEMENTOS!$AW8="",MACROMICROELEMENTOS!$AX8="",MACROMICROELEMENTOS!$AY8="",MACROMICROELEMENTOS!$AZ8=""),"",AVERAGE(MACROMICROELEMENTOS!$AW8,MACROMICROELEMENTOS!$AX8,MACROMICROELEMENTOS!$AY8,MACROMICROELEMENTOS!$AZ8))</f>
        <v/>
      </c>
      <c r="CH8" s="23">
        <v>1</v>
      </c>
      <c r="CI8" s="31" t="str">
        <f>IF(OR(MACROMICROELEMENTOS!$A8="",MACROMICROELEMENTOS!$B8="",MACROMICROELEMENTOS!$C8="",MACROMICROELEMENTOS!$D8="",MACROMICROELEMENTOS!$E8="",MACROMICROELEMENTOS!$N8="",MACROMICROELEMENTOS!$CG8="",MACROMICROELEMENTOS!$CH8=""),"",((MACROMICROELEMENTOS!$N8-MACROMICROELEMENTOS!$CG8)*MACROMICROELEMENTOS!$CH8*MACROMICROELEMENTOS!$D8*(1/MACROMICROELEMENTOS!$C8)*MACROMICROELEMENTOS!$E8))</f>
        <v/>
      </c>
      <c r="CJ8" s="17" t="str">
        <f>IF(AND(MACROMICROELEMENTOS!$BA8="",MACROMICROELEMENTOS!$BB8="",MACROMICROELEMENTOS!$BC8="",MACROMICROELEMENTOS!$BD8=""),"",IF(O8&gt;2,0,AVERAGE(MACROMICROELEMENTOS!$BA8,MACROMICROELEMENTOS!$BB8,MACROMICROELEMENTOS!$BC8,MACROMICROELEMENTOS!$BD8)))</f>
        <v/>
      </c>
      <c r="CK8" s="23">
        <v>1</v>
      </c>
      <c r="CL8" s="31" t="str">
        <f>IF(OR(MACROMICROELEMENTOS!$A8="",MACROMICROELEMENTOS!$B8="",MACROMICROELEMENTOS!$C8="",MACROMICROELEMENTOS!$D8="",MACROMICROELEMENTOS!$E8="",MACROMICROELEMENTOS!$O8="",MACROMICROELEMENTOS!$CJ8="",MACROMICROELEMENTOS!$CK8=""),"",((MACROMICROELEMENTOS!$O8-MACROMICROELEMENTOS!$CJ8)*MACROMICROELEMENTOS!$CK8*MACROMICROELEMENTOS!$D8*(1/MACROMICROELEMENTOS!$C8)*MACROMICROELEMENTOS!$E8))</f>
        <v/>
      </c>
      <c r="CM8" s="17" t="str">
        <f>IF(AND(MACROMICROELEMENTOS!$BE8="",MACROMICROELEMENTOS!$BF8="",MACROMICROELEMENTOS!$BG8="",MACROMICROELEMENTOS!$BH8=""),"",AVERAGE(MACROMICROELEMENTOS!$BE8,MACROMICROELEMENTOS!$BF8,MACROMICROELEMENTOS!$BG8,MACROMICROELEMENTOS!$BH8))</f>
        <v/>
      </c>
      <c r="CN8" s="23">
        <v>1</v>
      </c>
      <c r="CO8" s="31" t="str">
        <f>IF(OR(MACROMICROELEMENTOS!$A8="",MACROMICROELEMENTOS!$B8="",MACROMICROELEMENTOS!$C8="",MACROMICROELEMENTOS!$D8="",MACROMICROELEMENTOS!$E8="",MACROMICROELEMENTOS!$P8="",MACROMICROELEMENTOS!$CM8="",MACROMICROELEMENTOS!$CN8=""),"",((MACROMICROELEMENTOS!$P8-MACROMICROELEMENTOS!$CM8)*MACROMICROELEMENTOS!$CN8*MACROMICROELEMENTOS!$D8*(1/MACROMICROELEMENTOS!$C8)*MACROMICROELEMENTOS!$E8))</f>
        <v/>
      </c>
    </row>
    <row r="9" spans="1:93" x14ac:dyDescent="0.3">
      <c r="A9" s="19" t="str">
        <f>IF(Pesada!A9="","",Pesada!A9)</f>
        <v/>
      </c>
      <c r="B9" s="16" t="str">
        <f>IF(Pesada!B9="","",Pesada!B9)</f>
        <v/>
      </c>
      <c r="C9" s="20" t="str">
        <f>IF(Pesada!C9="","",VALUE(Pesada!C9))</f>
        <v/>
      </c>
      <c r="D9" s="23">
        <v>100</v>
      </c>
      <c r="E9" s="30" t="str">
        <f>IF(METALESPESADOS!E9="","",METALESPESADOS!E9)</f>
        <v/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17" t="str">
        <f>IF(AND(MACROMICROELEMENTOS!$U9="",MACROMICROELEMENTOS!$V9="",MACROMICROELEMENTOS!$W9="",MACROMICROELEMENTOS!$X9=""),"",AVERAGE(MACROMICROELEMENTOS!$U9,MACROMICROELEMENTOS!$V9,MACROMICROELEMENTOS!$W9,MACROMICROELEMENTOS!$X9))</f>
        <v/>
      </c>
      <c r="BJ9" s="23">
        <v>1</v>
      </c>
      <c r="BK9" s="31" t="str">
        <f>IF(OR(MACROMICROELEMENTOS!$A9="",MACROMICROELEMENTOS!$B9="",MACROMICROELEMENTOS!$C9="",MACROMICROELEMENTOS!$D9="",MACROMICROELEMENTOS!$E9="",MACROMICROELEMENTOS!$F9="",MACROMICROELEMENTOS!$BI9="",MACROMICROELEMENTOS!$BJ9=""),"",((MACROMICROELEMENTOS!$F9-MACROMICROELEMENTOS!$BI9)*MACROMICROELEMENTOS!$BJ9*MACROMICROELEMENTOS!$D9*(1/MACROMICROELEMENTOS!$C9)*MACROMICROELEMENTOS!$E9))</f>
        <v/>
      </c>
      <c r="BL9" s="17" t="str">
        <f>IF(AND(MACROMICROELEMENTOS!$Y9="",MACROMICROELEMENTOS!$Z9="",MACROMICROELEMENTOS!$AA9="",MACROMICROELEMENTOS!$AB9=""),"",AVERAGE(MACROMICROELEMENTOS!$Y9,MACROMICROELEMENTOS!$Z9,MACROMICROELEMENTOS!$AA9,MACROMICROELEMENTOS!$AB9))</f>
        <v/>
      </c>
      <c r="BM9" s="23">
        <v>1</v>
      </c>
      <c r="BN9" s="31" t="str">
        <f>IF(OR(MACROMICROELEMENTOS!$A9="",MACROMICROELEMENTOS!$B9="",MACROMICROELEMENTOS!$C9="",MACROMICROELEMENTOS!$D9="",MACROMICROELEMENTOS!$E9="",MACROMICROELEMENTOS!$G9="",MACROMICROELEMENTOS!$BL9="",MACROMICROELEMENTOS!$BM9=""),"",((MACROMICROELEMENTOS!$G9-MACROMICROELEMENTOS!$BL9)*MACROMICROELEMENTOS!$BM9*MACROMICROELEMENTOS!$D9*(1/MACROMICROELEMENTOS!$C9)*MACROMICROELEMENTOS!$E9/1000))</f>
        <v/>
      </c>
      <c r="BO9" s="17" t="str">
        <f>IF(AND(MACROMICROELEMENTOS!$AC9="",MACROMICROELEMENTOS!$AD9="",MACROMICROELEMENTOS!$AE9="",MACROMICROELEMENTOS!$AF9=""),"",AVERAGE(MACROMICROELEMENTOS!$AC9,MACROMICROELEMENTOS!$AD9,MACROMICROELEMENTOS!$AE9,MACROMICROELEMENTOS!$AF9))</f>
        <v/>
      </c>
      <c r="BP9" s="23">
        <v>1</v>
      </c>
      <c r="BQ9" s="31" t="str">
        <f>IF(OR(MACROMICROELEMENTOS!$A9="",MACROMICROELEMENTOS!$B9="",MACROMICROELEMENTOS!$C9="",MACROMICROELEMENTOS!$D9="",MACROMICROELEMENTOS!$E9="",MACROMICROELEMENTOS!$H9="",MACROMICROELEMENTOS!$BO9="",MACROMICROELEMENTOS!$BP9=""),"",((MACROMICROELEMENTOS!$H9-MACROMICROELEMENTOS!$BO9)*MACROMICROELEMENTOS!$BP9*MACROMICROELEMENTOS!$D9*(1/MACROMICROELEMENTOS!$C9)*MACROMICROELEMENTOS!$E9))</f>
        <v/>
      </c>
      <c r="BR9" s="17" t="str">
        <f>IF(AND(MACROMICROELEMENTOS!$Q9="",MACROMICROELEMENTOS!$R9="",MACROMICROELEMENTOS!$S9="",MACROMICROELEMENTOS!$T9=""),"",AVERAGE(MACROMICROELEMENTOS!$Q9,MACROMICROELEMENTOS!$R9,MACROMICROELEMENTOS!$S9,MACROMICROELEMENTOS!$T9))</f>
        <v/>
      </c>
      <c r="BS9" s="23">
        <v>1</v>
      </c>
      <c r="BT9" s="31" t="str">
        <f>IF(OR(MACROMICROELEMENTOS!$A9="",MACROMICROELEMENTOS!$B9="",MACROMICROELEMENTOS!$C9="",MACROMICROELEMENTOS!$D9="",MACROMICROELEMENTOS!$E9="",MACROMICROELEMENTOS!$I9="",MACROMICROELEMENTOS!$BR9="",MACROMICROELEMENTOS!$BS9=""),"",((MACROMICROELEMENTOS!$I9-MACROMICROELEMENTOS!$BR9)*MACROMICROELEMENTOS!$BS9*MACROMICROELEMENTOS!$D9*(1/MACROMICROELEMENTOS!$C9)*MACROMICROELEMENTOS!$E9))</f>
        <v/>
      </c>
      <c r="BU9" s="17" t="str">
        <f>IF(AND(MACROMICROELEMENTOS!$AG9="",MACROMICROELEMENTOS!$AH9="",MACROMICROELEMENTOS!$AI9="",MACROMICROELEMENTOS!$AJ9=""),"",AVERAGE(MACROMICROELEMENTOS!$AG9,MACROMICROELEMENTOS!$AH9,MACROMICROELEMENTOS!$AI9,MACROMICROELEMENTOS!$AJ9))</f>
        <v/>
      </c>
      <c r="BV9" s="23">
        <v>1</v>
      </c>
      <c r="BW9" s="31" t="str">
        <f>IF(OR(MACROMICROELEMENTOS!$A9="",MACROMICROELEMENTOS!$B9="",MACROMICROELEMENTOS!$C9="",MACROMICROELEMENTOS!$D9="",MACROMICROELEMENTOS!$E9="",MACROMICROELEMENTOS!$J9="",MACROMICROELEMENTOS!$BU9="",MACROMICROELEMENTOS!$BV9=""),"",((MACROMICROELEMENTOS!$J9-MACROMICROELEMENTOS!$BU9)*MACROMICROELEMENTOS!$BV9*MACROMICROELEMENTOS!$D9*(1/MACROMICROELEMENTOS!$C9)*MACROMICROELEMENTOS!$E9))</f>
        <v/>
      </c>
      <c r="BX9" s="17" t="str">
        <f>IF(AND(MACROMICROELEMENTOS!$AK9="",MACROMICROELEMENTOS!$AL9="",MACROMICROELEMENTOS!$AM9="",MACROMICROELEMENTOS!$AN9=""),"",AVERAGE(MACROMICROELEMENTOS!$AK9,MACROMICROELEMENTOS!$AL9,MACROMICROELEMENTOS!$AM9,MACROMICROELEMENTOS!$AN9))</f>
        <v/>
      </c>
      <c r="BY9" s="23">
        <v>1</v>
      </c>
      <c r="BZ9" s="31" t="str">
        <f>IF(OR(MACROMICROELEMENTOS!$A9="",MACROMICROELEMENTOS!$B9="",MACROMICROELEMENTOS!$C9="",MACROMICROELEMENTOS!$D9="",MACROMICROELEMENTOS!$E9="",MACROMICROELEMENTOS!$K9="",MACROMICROELEMENTOS!$BX9="",MACROMICROELEMENTOS!$BY9=""),"",((MACROMICROELEMENTOS!$K9-MACROMICROELEMENTOS!$BX9)*MACROMICROELEMENTOS!$BY9*MACROMICROELEMENTOS!$D9*(1/MACROMICROELEMENTOS!$C9)*MACROMICROELEMENTOS!$E9))</f>
        <v/>
      </c>
      <c r="CA9" s="17" t="str">
        <f>IF(AND(MACROMICROELEMENTOS!$AO9="",MACROMICROELEMENTOS!$AP9="",MACROMICROELEMENTOS!$AQ9="",MACROMICROELEMENTOS!$AR9=""),"",AVERAGE(MACROMICROELEMENTOS!$AO9,MACROMICROELEMENTOS!$AP9,MACROMICROELEMENTOS!$AQ9,MACROMICROELEMENTOS!$AR9))</f>
        <v/>
      </c>
      <c r="CB9" s="23">
        <v>1</v>
      </c>
      <c r="CC9" s="31" t="str">
        <f>IF(OR(MACROMICROELEMENTOS!$A9="",MACROMICROELEMENTOS!$B9="",MACROMICROELEMENTOS!$C9="",MACROMICROELEMENTOS!$D9="",MACROMICROELEMENTOS!$E9="",MACROMICROELEMENTOS!$L9="",MACROMICROELEMENTOS!$CA9="",MACROMICROELEMENTOS!$CB9=""),"",((MACROMICROELEMENTOS!$L9-MACROMICROELEMENTOS!$CA9)*MACROMICROELEMENTOS!$CB9*MACROMICROELEMENTOS!$D9*(1/MACROMICROELEMENTOS!$C9)*MACROMICROELEMENTOS!$E9))</f>
        <v/>
      </c>
      <c r="CD9" s="17" t="str">
        <f>IF(AND(MACROMICROELEMENTOS!$AS9="",MACROMICROELEMENTOS!$AT9="",MACROMICROELEMENTOS!$AU9="",MACROMICROELEMENTOS!$AV9=""),"",AVERAGE(MACROMICROELEMENTOS!$AS9,MACROMICROELEMENTOS!$AT9,MACROMICROELEMENTOS!$AU9,MACROMICROELEMENTOS!$AV9))</f>
        <v/>
      </c>
      <c r="CE9" s="23">
        <v>1</v>
      </c>
      <c r="CF9" s="31" t="str">
        <f>IF(OR(MACROMICROELEMENTOS!$A9="",MACROMICROELEMENTOS!$B9="",MACROMICROELEMENTOS!$C9="",MACROMICROELEMENTOS!$D9="",MACROMICROELEMENTOS!$E9="",MACROMICROELEMENTOS!$M9="",MACROMICROELEMENTOS!$CD9="",MACROMICROELEMENTOS!$CE9=""),"",((MACROMICROELEMENTOS!$M9-MACROMICROELEMENTOS!$CD9)*MACROMICROELEMENTOS!$CE9*MACROMICROELEMENTOS!$D9*(1/MACROMICROELEMENTOS!$C9)*MACROMICROELEMENTOS!$E9))</f>
        <v/>
      </c>
      <c r="CG9" s="17" t="str">
        <f>IF(AND(MACROMICROELEMENTOS!$AW9="",MACROMICROELEMENTOS!$AX9="",MACROMICROELEMENTOS!$AY9="",MACROMICROELEMENTOS!$AZ9=""),"",AVERAGE(MACROMICROELEMENTOS!$AW9,MACROMICROELEMENTOS!$AX9,MACROMICROELEMENTOS!$AY9,MACROMICROELEMENTOS!$AZ9))</f>
        <v/>
      </c>
      <c r="CH9" s="23">
        <v>1</v>
      </c>
      <c r="CI9" s="31" t="str">
        <f>IF(OR(MACROMICROELEMENTOS!$A9="",MACROMICROELEMENTOS!$B9="",MACROMICROELEMENTOS!$C9="",MACROMICROELEMENTOS!$D9="",MACROMICROELEMENTOS!$E9="",MACROMICROELEMENTOS!$N9="",MACROMICROELEMENTOS!$CG9="",MACROMICROELEMENTOS!$CH9=""),"",((MACROMICROELEMENTOS!$N9-MACROMICROELEMENTOS!$CG9)*MACROMICROELEMENTOS!$CH9*MACROMICROELEMENTOS!$D9*(1/MACROMICROELEMENTOS!$C9)*MACROMICROELEMENTOS!$E9))</f>
        <v/>
      </c>
      <c r="CJ9" s="17" t="str">
        <f>IF(AND(MACROMICROELEMENTOS!$BA9="",MACROMICROELEMENTOS!$BB9="",MACROMICROELEMENTOS!$BC9="",MACROMICROELEMENTOS!$BD9=""),"",IF(O9&gt;2,0,AVERAGE(MACROMICROELEMENTOS!$BA9,MACROMICROELEMENTOS!$BB9,MACROMICROELEMENTOS!$BC9,MACROMICROELEMENTOS!$BD9)))</f>
        <v/>
      </c>
      <c r="CK9" s="23">
        <v>1</v>
      </c>
      <c r="CL9" s="31" t="str">
        <f>IF(OR(MACROMICROELEMENTOS!$A9="",MACROMICROELEMENTOS!$B9="",MACROMICROELEMENTOS!$C9="",MACROMICROELEMENTOS!$D9="",MACROMICROELEMENTOS!$E9="",MACROMICROELEMENTOS!$O9="",MACROMICROELEMENTOS!$CJ9="",MACROMICROELEMENTOS!$CK9=""),"",((MACROMICROELEMENTOS!$O9-MACROMICROELEMENTOS!$CJ9)*MACROMICROELEMENTOS!$CK9*MACROMICROELEMENTOS!$D9*(1/MACROMICROELEMENTOS!$C9)*MACROMICROELEMENTOS!$E9))</f>
        <v/>
      </c>
      <c r="CM9" s="17" t="str">
        <f>IF(AND(MACROMICROELEMENTOS!$BE9="",MACROMICROELEMENTOS!$BF9="",MACROMICROELEMENTOS!$BG9="",MACROMICROELEMENTOS!$BH9=""),"",AVERAGE(MACROMICROELEMENTOS!$BE9,MACROMICROELEMENTOS!$BF9,MACROMICROELEMENTOS!$BG9,MACROMICROELEMENTOS!$BH9))</f>
        <v/>
      </c>
      <c r="CN9" s="23">
        <v>1</v>
      </c>
      <c r="CO9" s="31" t="str">
        <f>IF(OR(MACROMICROELEMENTOS!$A9="",MACROMICROELEMENTOS!$B9="",MACROMICROELEMENTOS!$C9="",MACROMICROELEMENTOS!$D9="",MACROMICROELEMENTOS!$E9="",MACROMICROELEMENTOS!$P9="",MACROMICROELEMENTOS!$CM9="",MACROMICROELEMENTOS!$CN9=""),"",((MACROMICROELEMENTOS!$P9-MACROMICROELEMENTOS!$CM9)*MACROMICROELEMENTOS!$CN9*MACROMICROELEMENTOS!$D9*(1/MACROMICROELEMENTOS!$C9)*MACROMICROELEMENTOS!$E9))</f>
        <v/>
      </c>
    </row>
    <row r="10" spans="1:93" x14ac:dyDescent="0.3">
      <c r="A10" s="19" t="str">
        <f>IF(Pesada!A10="","",Pesada!A10)</f>
        <v/>
      </c>
      <c r="B10" s="16" t="str">
        <f>IF(Pesada!B10="","",Pesada!B10)</f>
        <v/>
      </c>
      <c r="C10" s="20" t="str">
        <f>IF(Pesada!C10="","",VALUE(Pesada!C10))</f>
        <v/>
      </c>
      <c r="D10" s="23">
        <v>100</v>
      </c>
      <c r="E10" s="30" t="str">
        <f>IF(METALESPESADOS!E10="","",METALESPESADOS!E10)</f>
        <v/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17" t="str">
        <f>IF(AND(MACROMICROELEMENTOS!$U10="",MACROMICROELEMENTOS!$V10="",MACROMICROELEMENTOS!$W10="",MACROMICROELEMENTOS!$X10=""),"",AVERAGE(MACROMICROELEMENTOS!$U10,MACROMICROELEMENTOS!$V10,MACROMICROELEMENTOS!$W10,MACROMICROELEMENTOS!$X10))</f>
        <v/>
      </c>
      <c r="BJ10" s="23">
        <v>1</v>
      </c>
      <c r="BK10" s="31" t="str">
        <f>IF(OR(MACROMICROELEMENTOS!$A10="",MACROMICROELEMENTOS!$B10="",MACROMICROELEMENTOS!$C10="",MACROMICROELEMENTOS!$D10="",MACROMICROELEMENTOS!$E10="",MACROMICROELEMENTOS!$F10="",MACROMICROELEMENTOS!$BI10="",MACROMICROELEMENTOS!$BJ10=""),"",((MACROMICROELEMENTOS!$F10-MACROMICROELEMENTOS!$BI10)*MACROMICROELEMENTOS!$BJ10*MACROMICROELEMENTOS!$D10*(1/MACROMICROELEMENTOS!$C10)*MACROMICROELEMENTOS!$E10))</f>
        <v/>
      </c>
      <c r="BL10" s="17" t="str">
        <f>IF(AND(MACROMICROELEMENTOS!$Y10="",MACROMICROELEMENTOS!$Z10="",MACROMICROELEMENTOS!$AA10="",MACROMICROELEMENTOS!$AB10=""),"",AVERAGE(MACROMICROELEMENTOS!$Y10,MACROMICROELEMENTOS!$Z10,MACROMICROELEMENTOS!$AA10,MACROMICROELEMENTOS!$AB10))</f>
        <v/>
      </c>
      <c r="BM10" s="23">
        <v>1</v>
      </c>
      <c r="BN10" s="31" t="str">
        <f>IF(OR(MACROMICROELEMENTOS!$A10="",MACROMICROELEMENTOS!$B10="",MACROMICROELEMENTOS!$C10="",MACROMICROELEMENTOS!$D10="",MACROMICROELEMENTOS!$E10="",MACROMICROELEMENTOS!$G10="",MACROMICROELEMENTOS!$BL10="",MACROMICROELEMENTOS!$BM10=""),"",((MACROMICROELEMENTOS!$G10-MACROMICROELEMENTOS!$BL10)*MACROMICROELEMENTOS!$BM10*MACROMICROELEMENTOS!$D10*(1/MACROMICROELEMENTOS!$C10)*MACROMICROELEMENTOS!$E10/1000))</f>
        <v/>
      </c>
      <c r="BO10" s="17" t="str">
        <f>IF(AND(MACROMICROELEMENTOS!$AC10="",MACROMICROELEMENTOS!$AD10="",MACROMICROELEMENTOS!$AE10="",MACROMICROELEMENTOS!$AF10=""),"",AVERAGE(MACROMICROELEMENTOS!$AC10,MACROMICROELEMENTOS!$AD10,MACROMICROELEMENTOS!$AE10,MACROMICROELEMENTOS!$AF10))</f>
        <v/>
      </c>
      <c r="BP10" s="23">
        <v>1</v>
      </c>
      <c r="BQ10" s="31" t="str">
        <f>IF(OR(MACROMICROELEMENTOS!$A10="",MACROMICROELEMENTOS!$B10="",MACROMICROELEMENTOS!$C10="",MACROMICROELEMENTOS!$D10="",MACROMICROELEMENTOS!$E10="",MACROMICROELEMENTOS!$H10="",MACROMICROELEMENTOS!$BO10="",MACROMICROELEMENTOS!$BP10=""),"",((MACROMICROELEMENTOS!$H10-MACROMICROELEMENTOS!$BO10)*MACROMICROELEMENTOS!$BP10*MACROMICROELEMENTOS!$D10*(1/MACROMICROELEMENTOS!$C10)*MACROMICROELEMENTOS!$E10))</f>
        <v/>
      </c>
      <c r="BR10" s="17" t="str">
        <f>IF(AND(MACROMICROELEMENTOS!$Q10="",MACROMICROELEMENTOS!$R10="",MACROMICROELEMENTOS!$S10="",MACROMICROELEMENTOS!$T10=""),"",AVERAGE(MACROMICROELEMENTOS!$Q10,MACROMICROELEMENTOS!$R10,MACROMICROELEMENTOS!$S10,MACROMICROELEMENTOS!$T10))</f>
        <v/>
      </c>
      <c r="BS10" s="23">
        <v>1</v>
      </c>
      <c r="BT10" s="31" t="str">
        <f>IF(OR(MACROMICROELEMENTOS!$A10="",MACROMICROELEMENTOS!$B10="",MACROMICROELEMENTOS!$C10="",MACROMICROELEMENTOS!$D10="",MACROMICROELEMENTOS!$E10="",MACROMICROELEMENTOS!$I10="",MACROMICROELEMENTOS!$BR10="",MACROMICROELEMENTOS!$BS10=""),"",((MACROMICROELEMENTOS!$I10-MACROMICROELEMENTOS!$BR10)*MACROMICROELEMENTOS!$BS10*MACROMICROELEMENTOS!$D10*(1/MACROMICROELEMENTOS!$C10)*MACROMICROELEMENTOS!$E10))</f>
        <v/>
      </c>
      <c r="BU10" s="17" t="str">
        <f>IF(AND(MACROMICROELEMENTOS!$AG10="",MACROMICROELEMENTOS!$AH10="",MACROMICROELEMENTOS!$AI10="",MACROMICROELEMENTOS!$AJ10=""),"",AVERAGE(MACROMICROELEMENTOS!$AG10,MACROMICROELEMENTOS!$AH10,MACROMICROELEMENTOS!$AI10,MACROMICROELEMENTOS!$AJ10))</f>
        <v/>
      </c>
      <c r="BV10" s="23">
        <v>1</v>
      </c>
      <c r="BW10" s="31" t="str">
        <f>IF(OR(MACROMICROELEMENTOS!$A10="",MACROMICROELEMENTOS!$B10="",MACROMICROELEMENTOS!$C10="",MACROMICROELEMENTOS!$D10="",MACROMICROELEMENTOS!$E10="",MACROMICROELEMENTOS!$J10="",MACROMICROELEMENTOS!$BU10="",MACROMICROELEMENTOS!$BV10=""),"",((MACROMICROELEMENTOS!$J10-MACROMICROELEMENTOS!$BU10)*MACROMICROELEMENTOS!$BV10*MACROMICROELEMENTOS!$D10*(1/MACROMICROELEMENTOS!$C10)*MACROMICROELEMENTOS!$E10))</f>
        <v/>
      </c>
      <c r="BX10" s="17" t="str">
        <f>IF(AND(MACROMICROELEMENTOS!$AK10="",MACROMICROELEMENTOS!$AL10="",MACROMICROELEMENTOS!$AM10="",MACROMICROELEMENTOS!$AN10=""),"",AVERAGE(MACROMICROELEMENTOS!$AK10,MACROMICROELEMENTOS!$AL10,MACROMICROELEMENTOS!$AM10,MACROMICROELEMENTOS!$AN10))</f>
        <v/>
      </c>
      <c r="BY10" s="23">
        <v>1</v>
      </c>
      <c r="BZ10" s="31" t="str">
        <f>IF(OR(MACROMICROELEMENTOS!$A10="",MACROMICROELEMENTOS!$B10="",MACROMICROELEMENTOS!$C10="",MACROMICROELEMENTOS!$D10="",MACROMICROELEMENTOS!$E10="",MACROMICROELEMENTOS!$K10="",MACROMICROELEMENTOS!$BX10="",MACROMICROELEMENTOS!$BY10=""),"",((MACROMICROELEMENTOS!$K10-MACROMICROELEMENTOS!$BX10)*MACROMICROELEMENTOS!$BY10*MACROMICROELEMENTOS!$D10*(1/MACROMICROELEMENTOS!$C10)*MACROMICROELEMENTOS!$E10))</f>
        <v/>
      </c>
      <c r="CA10" s="17" t="str">
        <f>IF(AND(MACROMICROELEMENTOS!$AO10="",MACROMICROELEMENTOS!$AP10="",MACROMICROELEMENTOS!$AQ10="",MACROMICROELEMENTOS!$AR10=""),"",AVERAGE(MACROMICROELEMENTOS!$AO10,MACROMICROELEMENTOS!$AP10,MACROMICROELEMENTOS!$AQ10,MACROMICROELEMENTOS!$AR10))</f>
        <v/>
      </c>
      <c r="CB10" s="23">
        <v>1</v>
      </c>
      <c r="CC10" s="31" t="str">
        <f>IF(OR(MACROMICROELEMENTOS!$A10="",MACROMICROELEMENTOS!$B10="",MACROMICROELEMENTOS!$C10="",MACROMICROELEMENTOS!$D10="",MACROMICROELEMENTOS!$E10="",MACROMICROELEMENTOS!$L10="",MACROMICROELEMENTOS!$CA10="",MACROMICROELEMENTOS!$CB10=""),"",((MACROMICROELEMENTOS!$L10-MACROMICROELEMENTOS!$CA10)*MACROMICROELEMENTOS!$CB10*MACROMICROELEMENTOS!$D10*(1/MACROMICROELEMENTOS!$C10)*MACROMICROELEMENTOS!$E10))</f>
        <v/>
      </c>
      <c r="CD10" s="17" t="str">
        <f>IF(AND(MACROMICROELEMENTOS!$AS10="",MACROMICROELEMENTOS!$AT10="",MACROMICROELEMENTOS!$AU10="",MACROMICROELEMENTOS!$AV10=""),"",AVERAGE(MACROMICROELEMENTOS!$AS10,MACROMICROELEMENTOS!$AT10,MACROMICROELEMENTOS!$AU10,MACROMICROELEMENTOS!$AV10))</f>
        <v/>
      </c>
      <c r="CE10" s="23">
        <v>1</v>
      </c>
      <c r="CF10" s="31" t="str">
        <f>IF(OR(MACROMICROELEMENTOS!$A10="",MACROMICROELEMENTOS!$B10="",MACROMICROELEMENTOS!$C10="",MACROMICROELEMENTOS!$D10="",MACROMICROELEMENTOS!$E10="",MACROMICROELEMENTOS!$M10="",MACROMICROELEMENTOS!$CD10="",MACROMICROELEMENTOS!$CE10=""),"",((MACROMICROELEMENTOS!$M10-MACROMICROELEMENTOS!$CD10)*MACROMICROELEMENTOS!$CE10*MACROMICROELEMENTOS!$D10*(1/MACROMICROELEMENTOS!$C10)*MACROMICROELEMENTOS!$E10))</f>
        <v/>
      </c>
      <c r="CG10" s="17" t="str">
        <f>IF(AND(MACROMICROELEMENTOS!$AW10="",MACROMICROELEMENTOS!$AX10="",MACROMICROELEMENTOS!$AY10="",MACROMICROELEMENTOS!$AZ10=""),"",AVERAGE(MACROMICROELEMENTOS!$AW10,MACROMICROELEMENTOS!$AX10,MACROMICROELEMENTOS!$AY10,MACROMICROELEMENTOS!$AZ10))</f>
        <v/>
      </c>
      <c r="CH10" s="23">
        <v>1</v>
      </c>
      <c r="CI10" s="31" t="str">
        <f>IF(OR(MACROMICROELEMENTOS!$A10="",MACROMICROELEMENTOS!$B10="",MACROMICROELEMENTOS!$C10="",MACROMICROELEMENTOS!$D10="",MACROMICROELEMENTOS!$E10="",MACROMICROELEMENTOS!$N10="",MACROMICROELEMENTOS!$CG10="",MACROMICROELEMENTOS!$CH10=""),"",((MACROMICROELEMENTOS!$N10-MACROMICROELEMENTOS!$CG10)*MACROMICROELEMENTOS!$CH10*MACROMICROELEMENTOS!$D10*(1/MACROMICROELEMENTOS!$C10)*MACROMICROELEMENTOS!$E10))</f>
        <v/>
      </c>
      <c r="CJ10" s="17" t="str">
        <f>IF(AND(MACROMICROELEMENTOS!$BA10="",MACROMICROELEMENTOS!$BB10="",MACROMICROELEMENTOS!$BC10="",MACROMICROELEMENTOS!$BD10=""),"",IF(O10&gt;2,0,AVERAGE(MACROMICROELEMENTOS!$BA10,MACROMICROELEMENTOS!$BB10,MACROMICROELEMENTOS!$BC10,MACROMICROELEMENTOS!$BD10)))</f>
        <v/>
      </c>
      <c r="CK10" s="23">
        <v>1</v>
      </c>
      <c r="CL10" s="31" t="str">
        <f>IF(OR(MACROMICROELEMENTOS!$A10="",MACROMICROELEMENTOS!$B10="",MACROMICROELEMENTOS!$C10="",MACROMICROELEMENTOS!$D10="",MACROMICROELEMENTOS!$E10="",MACROMICROELEMENTOS!$O10="",MACROMICROELEMENTOS!$CJ10="",MACROMICROELEMENTOS!$CK10=""),"",((MACROMICROELEMENTOS!$O10-MACROMICROELEMENTOS!$CJ10)*MACROMICROELEMENTOS!$CK10*MACROMICROELEMENTOS!$D10*(1/MACROMICROELEMENTOS!$C10)*MACROMICROELEMENTOS!$E10))</f>
        <v/>
      </c>
      <c r="CM10" s="17" t="str">
        <f>IF(AND(MACROMICROELEMENTOS!$BE10="",MACROMICROELEMENTOS!$BF10="",MACROMICROELEMENTOS!$BG10="",MACROMICROELEMENTOS!$BH10=""),"",AVERAGE(MACROMICROELEMENTOS!$BE10,MACROMICROELEMENTOS!$BF10,MACROMICROELEMENTOS!$BG10,MACROMICROELEMENTOS!$BH10))</f>
        <v/>
      </c>
      <c r="CN10" s="23">
        <v>1</v>
      </c>
      <c r="CO10" s="31" t="str">
        <f>IF(OR(MACROMICROELEMENTOS!$A10="",MACROMICROELEMENTOS!$B10="",MACROMICROELEMENTOS!$C10="",MACROMICROELEMENTOS!$D10="",MACROMICROELEMENTOS!$E10="",MACROMICROELEMENTOS!$P10="",MACROMICROELEMENTOS!$CM10="",MACROMICROELEMENTOS!$CN10=""),"",((MACROMICROELEMENTOS!$P10-MACROMICROELEMENTOS!$CM10)*MACROMICROELEMENTOS!$CN10*MACROMICROELEMENTOS!$D10*(1/MACROMICROELEMENTOS!$C10)*MACROMICROELEMENTOS!$E10))</f>
        <v/>
      </c>
    </row>
    <row r="11" spans="1:93" x14ac:dyDescent="0.3">
      <c r="A11" s="19" t="str">
        <f>IF(Pesada!A11="","",Pesada!A11)</f>
        <v/>
      </c>
      <c r="B11" s="16" t="str">
        <f>IF(Pesada!B11="","",Pesada!B11)</f>
        <v/>
      </c>
      <c r="C11" s="20" t="str">
        <f>IF(Pesada!C11="","",VALUE(Pesada!C11))</f>
        <v/>
      </c>
      <c r="D11" s="23">
        <v>100</v>
      </c>
      <c r="E11" s="30" t="str">
        <f>IF(METALESPESADOS!E11="","",METALESPESADOS!E11)</f>
        <v/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17" t="str">
        <f>IF(AND(MACROMICROELEMENTOS!$U11="",MACROMICROELEMENTOS!$V11="",MACROMICROELEMENTOS!$W11="",MACROMICROELEMENTOS!$X11=""),"",AVERAGE(MACROMICROELEMENTOS!$U11,MACROMICROELEMENTOS!$V11,MACROMICROELEMENTOS!$W11,MACROMICROELEMENTOS!$X11))</f>
        <v/>
      </c>
      <c r="BJ11" s="23">
        <v>1</v>
      </c>
      <c r="BK11" s="31" t="str">
        <f>IF(OR(MACROMICROELEMENTOS!$A11="",MACROMICROELEMENTOS!$B11="",MACROMICROELEMENTOS!$C11="",MACROMICROELEMENTOS!$D11="",MACROMICROELEMENTOS!$E11="",MACROMICROELEMENTOS!$F11="",MACROMICROELEMENTOS!$BI11="",MACROMICROELEMENTOS!$BJ11=""),"",((MACROMICROELEMENTOS!$F11-MACROMICROELEMENTOS!$BI11)*MACROMICROELEMENTOS!$BJ11*MACROMICROELEMENTOS!$D11*(1/MACROMICROELEMENTOS!$C11)*MACROMICROELEMENTOS!$E11))</f>
        <v/>
      </c>
      <c r="BL11" s="17" t="str">
        <f>IF(AND(MACROMICROELEMENTOS!$Y11="",MACROMICROELEMENTOS!$Z11="",MACROMICROELEMENTOS!$AA11="",MACROMICROELEMENTOS!$AB11=""),"",AVERAGE(MACROMICROELEMENTOS!$Y11,MACROMICROELEMENTOS!$Z11,MACROMICROELEMENTOS!$AA11,MACROMICROELEMENTOS!$AB11))</f>
        <v/>
      </c>
      <c r="BM11" s="23">
        <v>1</v>
      </c>
      <c r="BN11" s="31" t="str">
        <f>IF(OR(MACROMICROELEMENTOS!$A11="",MACROMICROELEMENTOS!$B11="",MACROMICROELEMENTOS!$C11="",MACROMICROELEMENTOS!$D11="",MACROMICROELEMENTOS!$E11="",MACROMICROELEMENTOS!$G11="",MACROMICROELEMENTOS!$BL11="",MACROMICROELEMENTOS!$BM11=""),"",((MACROMICROELEMENTOS!$G11-MACROMICROELEMENTOS!$BL11)*MACROMICROELEMENTOS!$BM11*MACROMICROELEMENTOS!$D11*(1/MACROMICROELEMENTOS!$C11)*MACROMICROELEMENTOS!$E11/1000))</f>
        <v/>
      </c>
      <c r="BO11" s="17" t="str">
        <f>IF(AND(MACROMICROELEMENTOS!$AC11="",MACROMICROELEMENTOS!$AD11="",MACROMICROELEMENTOS!$AE11="",MACROMICROELEMENTOS!$AF11=""),"",AVERAGE(MACROMICROELEMENTOS!$AC11,MACROMICROELEMENTOS!$AD11,MACROMICROELEMENTOS!$AE11,MACROMICROELEMENTOS!$AF11))</f>
        <v/>
      </c>
      <c r="BP11" s="23">
        <v>1</v>
      </c>
      <c r="BQ11" s="31" t="str">
        <f>IF(OR(MACROMICROELEMENTOS!$A11="",MACROMICROELEMENTOS!$B11="",MACROMICROELEMENTOS!$C11="",MACROMICROELEMENTOS!$D11="",MACROMICROELEMENTOS!$E11="",MACROMICROELEMENTOS!$H11="",MACROMICROELEMENTOS!$BO11="",MACROMICROELEMENTOS!$BP11=""),"",((MACROMICROELEMENTOS!$H11-MACROMICROELEMENTOS!$BO11)*MACROMICROELEMENTOS!$BP11*MACROMICROELEMENTOS!$D11*(1/MACROMICROELEMENTOS!$C11)*MACROMICROELEMENTOS!$E11))</f>
        <v/>
      </c>
      <c r="BR11" s="17" t="str">
        <f>IF(AND(MACROMICROELEMENTOS!$Q11="",MACROMICROELEMENTOS!$R11="",MACROMICROELEMENTOS!$S11="",MACROMICROELEMENTOS!$T11=""),"",AVERAGE(MACROMICROELEMENTOS!$Q11,MACROMICROELEMENTOS!$R11,MACROMICROELEMENTOS!$S11,MACROMICROELEMENTOS!$T11))</f>
        <v/>
      </c>
      <c r="BS11" s="23">
        <v>1</v>
      </c>
      <c r="BT11" s="31" t="str">
        <f>IF(OR(MACROMICROELEMENTOS!$A11="",MACROMICROELEMENTOS!$B11="",MACROMICROELEMENTOS!$C11="",MACROMICROELEMENTOS!$D11="",MACROMICROELEMENTOS!$E11="",MACROMICROELEMENTOS!$I11="",MACROMICROELEMENTOS!$BR11="",MACROMICROELEMENTOS!$BS11=""),"",((MACROMICROELEMENTOS!$I11-MACROMICROELEMENTOS!$BR11)*MACROMICROELEMENTOS!$BS11*MACROMICROELEMENTOS!$D11*(1/MACROMICROELEMENTOS!$C11)*MACROMICROELEMENTOS!$E11))</f>
        <v/>
      </c>
      <c r="BU11" s="17" t="str">
        <f>IF(AND(MACROMICROELEMENTOS!$AG11="",MACROMICROELEMENTOS!$AH11="",MACROMICROELEMENTOS!$AI11="",MACROMICROELEMENTOS!$AJ11=""),"",AVERAGE(MACROMICROELEMENTOS!$AG11,MACROMICROELEMENTOS!$AH11,MACROMICROELEMENTOS!$AI11,MACROMICROELEMENTOS!$AJ11))</f>
        <v/>
      </c>
      <c r="BV11" s="23">
        <v>1</v>
      </c>
      <c r="BW11" s="31" t="str">
        <f>IF(OR(MACROMICROELEMENTOS!$A11="",MACROMICROELEMENTOS!$B11="",MACROMICROELEMENTOS!$C11="",MACROMICROELEMENTOS!$D11="",MACROMICROELEMENTOS!$E11="",MACROMICROELEMENTOS!$J11="",MACROMICROELEMENTOS!$BU11="",MACROMICROELEMENTOS!$BV11=""),"",((MACROMICROELEMENTOS!$J11-MACROMICROELEMENTOS!$BU11)*MACROMICROELEMENTOS!$BV11*MACROMICROELEMENTOS!$D11*(1/MACROMICROELEMENTOS!$C11)*MACROMICROELEMENTOS!$E11))</f>
        <v/>
      </c>
      <c r="BX11" s="17" t="str">
        <f>IF(AND(MACROMICROELEMENTOS!$AK11="",MACROMICROELEMENTOS!$AL11="",MACROMICROELEMENTOS!$AM11="",MACROMICROELEMENTOS!$AN11=""),"",AVERAGE(MACROMICROELEMENTOS!$AK11,MACROMICROELEMENTOS!$AL11,MACROMICROELEMENTOS!$AM11,MACROMICROELEMENTOS!$AN11))</f>
        <v/>
      </c>
      <c r="BY11" s="23">
        <v>1</v>
      </c>
      <c r="BZ11" s="31" t="str">
        <f>IF(OR(MACROMICROELEMENTOS!$A11="",MACROMICROELEMENTOS!$B11="",MACROMICROELEMENTOS!$C11="",MACROMICROELEMENTOS!$D11="",MACROMICROELEMENTOS!$E11="",MACROMICROELEMENTOS!$K11="",MACROMICROELEMENTOS!$BX11="",MACROMICROELEMENTOS!$BY11=""),"",((MACROMICROELEMENTOS!$K11-MACROMICROELEMENTOS!$BX11)*MACROMICROELEMENTOS!$BY11*MACROMICROELEMENTOS!$D11*(1/MACROMICROELEMENTOS!$C11)*MACROMICROELEMENTOS!$E11))</f>
        <v/>
      </c>
      <c r="CA11" s="17" t="str">
        <f>IF(AND(MACROMICROELEMENTOS!$AO11="",MACROMICROELEMENTOS!$AP11="",MACROMICROELEMENTOS!$AQ11="",MACROMICROELEMENTOS!$AR11=""),"",AVERAGE(MACROMICROELEMENTOS!$AO11,MACROMICROELEMENTOS!$AP11,MACROMICROELEMENTOS!$AQ11,MACROMICROELEMENTOS!$AR11))</f>
        <v/>
      </c>
      <c r="CB11" s="23">
        <v>1</v>
      </c>
      <c r="CC11" s="31" t="str">
        <f>IF(OR(MACROMICROELEMENTOS!$A11="",MACROMICROELEMENTOS!$B11="",MACROMICROELEMENTOS!$C11="",MACROMICROELEMENTOS!$D11="",MACROMICROELEMENTOS!$E11="",MACROMICROELEMENTOS!$L11="",MACROMICROELEMENTOS!$CA11="",MACROMICROELEMENTOS!$CB11=""),"",((MACROMICROELEMENTOS!$L11-MACROMICROELEMENTOS!$CA11)*MACROMICROELEMENTOS!$CB11*MACROMICROELEMENTOS!$D11*(1/MACROMICROELEMENTOS!$C11)*MACROMICROELEMENTOS!$E11))</f>
        <v/>
      </c>
      <c r="CD11" s="17" t="str">
        <f>IF(AND(MACROMICROELEMENTOS!$AS11="",MACROMICROELEMENTOS!$AT11="",MACROMICROELEMENTOS!$AU11="",MACROMICROELEMENTOS!$AV11=""),"",AVERAGE(MACROMICROELEMENTOS!$AS11,MACROMICROELEMENTOS!$AT11,MACROMICROELEMENTOS!$AU11,MACROMICROELEMENTOS!$AV11))</f>
        <v/>
      </c>
      <c r="CE11" s="23">
        <v>1</v>
      </c>
      <c r="CF11" s="31" t="str">
        <f>IF(OR(MACROMICROELEMENTOS!$A11="",MACROMICROELEMENTOS!$B11="",MACROMICROELEMENTOS!$C11="",MACROMICROELEMENTOS!$D11="",MACROMICROELEMENTOS!$E11="",MACROMICROELEMENTOS!$M11="",MACROMICROELEMENTOS!$CD11="",MACROMICROELEMENTOS!$CE11=""),"",((MACROMICROELEMENTOS!$M11-MACROMICROELEMENTOS!$CD11)*MACROMICROELEMENTOS!$CE11*MACROMICROELEMENTOS!$D11*(1/MACROMICROELEMENTOS!$C11)*MACROMICROELEMENTOS!$E11))</f>
        <v/>
      </c>
      <c r="CG11" s="17" t="str">
        <f>IF(AND(MACROMICROELEMENTOS!$AW11="",MACROMICROELEMENTOS!$AX11="",MACROMICROELEMENTOS!$AY11="",MACROMICROELEMENTOS!$AZ11=""),"",AVERAGE(MACROMICROELEMENTOS!$AW11,MACROMICROELEMENTOS!$AX11,MACROMICROELEMENTOS!$AY11,MACROMICROELEMENTOS!$AZ11))</f>
        <v/>
      </c>
      <c r="CH11" s="23">
        <v>1</v>
      </c>
      <c r="CI11" s="31" t="str">
        <f>IF(OR(MACROMICROELEMENTOS!$A11="",MACROMICROELEMENTOS!$B11="",MACROMICROELEMENTOS!$C11="",MACROMICROELEMENTOS!$D11="",MACROMICROELEMENTOS!$E11="",MACROMICROELEMENTOS!$N11="",MACROMICROELEMENTOS!$CG11="",MACROMICROELEMENTOS!$CH11=""),"",((MACROMICROELEMENTOS!$N11-MACROMICROELEMENTOS!$CG11)*MACROMICROELEMENTOS!$CH11*MACROMICROELEMENTOS!$D11*(1/MACROMICROELEMENTOS!$C11)*MACROMICROELEMENTOS!$E11))</f>
        <v/>
      </c>
      <c r="CJ11" s="17" t="str">
        <f>IF(AND(MACROMICROELEMENTOS!$BA11="",MACROMICROELEMENTOS!$BB11="",MACROMICROELEMENTOS!$BC11="",MACROMICROELEMENTOS!$BD11=""),"",IF(O11&gt;2,0,AVERAGE(MACROMICROELEMENTOS!$BA11,MACROMICROELEMENTOS!$BB11,MACROMICROELEMENTOS!$BC11,MACROMICROELEMENTOS!$BD11)))</f>
        <v/>
      </c>
      <c r="CK11" s="23">
        <v>1</v>
      </c>
      <c r="CL11" s="31" t="str">
        <f>IF(OR(MACROMICROELEMENTOS!$A11="",MACROMICROELEMENTOS!$B11="",MACROMICROELEMENTOS!$C11="",MACROMICROELEMENTOS!$D11="",MACROMICROELEMENTOS!$E11="",MACROMICROELEMENTOS!$O11="",MACROMICROELEMENTOS!$CJ11="",MACROMICROELEMENTOS!$CK11=""),"",((MACROMICROELEMENTOS!$O11-MACROMICROELEMENTOS!$CJ11)*MACROMICROELEMENTOS!$CK11*MACROMICROELEMENTOS!$D11*(1/MACROMICROELEMENTOS!$C11)*MACROMICROELEMENTOS!$E11))</f>
        <v/>
      </c>
      <c r="CM11" s="17" t="str">
        <f>IF(AND(MACROMICROELEMENTOS!$BE11="",MACROMICROELEMENTOS!$BF11="",MACROMICROELEMENTOS!$BG11="",MACROMICROELEMENTOS!$BH11=""),"",AVERAGE(MACROMICROELEMENTOS!$BE11,MACROMICROELEMENTOS!$BF11,MACROMICROELEMENTOS!$BG11,MACROMICROELEMENTOS!$BH11))</f>
        <v/>
      </c>
      <c r="CN11" s="23">
        <v>1</v>
      </c>
      <c r="CO11" s="31" t="str">
        <f>IF(OR(MACROMICROELEMENTOS!$A11="",MACROMICROELEMENTOS!$B11="",MACROMICROELEMENTOS!$C11="",MACROMICROELEMENTOS!$D11="",MACROMICROELEMENTOS!$E11="",MACROMICROELEMENTOS!$P11="",MACROMICROELEMENTOS!$CM11="",MACROMICROELEMENTOS!$CN11=""),"",((MACROMICROELEMENTOS!$P11-MACROMICROELEMENTOS!$CM11)*MACROMICROELEMENTOS!$CN11*MACROMICROELEMENTOS!$D11*(1/MACROMICROELEMENTOS!$C11)*MACROMICROELEMENTOS!$E11))</f>
        <v/>
      </c>
    </row>
    <row r="12" spans="1:93" x14ac:dyDescent="0.3">
      <c r="A12" s="19" t="str">
        <f>IF(Pesada!A12="","",Pesada!A12)</f>
        <v/>
      </c>
      <c r="B12" s="16" t="str">
        <f>IF(Pesada!B12="","",Pesada!B12)</f>
        <v/>
      </c>
      <c r="C12" s="20" t="str">
        <f>IF(Pesada!C12="","",VALUE(Pesada!C12))</f>
        <v/>
      </c>
      <c r="D12" s="23">
        <v>100</v>
      </c>
      <c r="E12" s="30" t="str">
        <f>IF(METALESPESADOS!E12="","",METALESPESADOS!E12)</f>
        <v/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17" t="str">
        <f>IF(AND(MACROMICROELEMENTOS!$U12="",MACROMICROELEMENTOS!$V12="",MACROMICROELEMENTOS!$W12="",MACROMICROELEMENTOS!$X12=""),"",AVERAGE(MACROMICROELEMENTOS!$U12,MACROMICROELEMENTOS!$V12,MACROMICROELEMENTOS!$W12,MACROMICROELEMENTOS!$X12))</f>
        <v/>
      </c>
      <c r="BJ12" s="23">
        <v>1</v>
      </c>
      <c r="BK12" s="31" t="str">
        <f>IF(OR(MACROMICROELEMENTOS!$A12="",MACROMICROELEMENTOS!$B12="",MACROMICROELEMENTOS!$C12="",MACROMICROELEMENTOS!$D12="",MACROMICROELEMENTOS!$E12="",MACROMICROELEMENTOS!$F12="",MACROMICROELEMENTOS!$BI12="",MACROMICROELEMENTOS!$BJ12=""),"",((MACROMICROELEMENTOS!$F12-MACROMICROELEMENTOS!$BI12)*MACROMICROELEMENTOS!$BJ12*MACROMICROELEMENTOS!$D12*(1/MACROMICROELEMENTOS!$C12)*MACROMICROELEMENTOS!$E12))</f>
        <v/>
      </c>
      <c r="BL12" s="17" t="str">
        <f>IF(AND(MACROMICROELEMENTOS!$Y12="",MACROMICROELEMENTOS!$Z12="",MACROMICROELEMENTOS!$AA12="",MACROMICROELEMENTOS!$AB12=""),"",AVERAGE(MACROMICROELEMENTOS!$Y12,MACROMICROELEMENTOS!$Z12,MACROMICROELEMENTOS!$AA12,MACROMICROELEMENTOS!$AB12))</f>
        <v/>
      </c>
      <c r="BM12" s="23">
        <v>1</v>
      </c>
      <c r="BN12" s="31" t="str">
        <f>IF(OR(MACROMICROELEMENTOS!$A12="",MACROMICROELEMENTOS!$B12="",MACROMICROELEMENTOS!$C12="",MACROMICROELEMENTOS!$D12="",MACROMICROELEMENTOS!$E12="",MACROMICROELEMENTOS!$G12="",MACROMICROELEMENTOS!$BL12="",MACROMICROELEMENTOS!$BM12=""),"",((MACROMICROELEMENTOS!$G12-MACROMICROELEMENTOS!$BL12)*MACROMICROELEMENTOS!$BM12*MACROMICROELEMENTOS!$D12*(1/MACROMICROELEMENTOS!$C12)*MACROMICROELEMENTOS!$E12/1000))</f>
        <v/>
      </c>
      <c r="BO12" s="17" t="str">
        <f>IF(AND(MACROMICROELEMENTOS!$AC12="",MACROMICROELEMENTOS!$AD12="",MACROMICROELEMENTOS!$AE12="",MACROMICROELEMENTOS!$AF12=""),"",AVERAGE(MACROMICROELEMENTOS!$AC12,MACROMICROELEMENTOS!$AD12,MACROMICROELEMENTOS!$AE12,MACROMICROELEMENTOS!$AF12))</f>
        <v/>
      </c>
      <c r="BP12" s="23">
        <v>1</v>
      </c>
      <c r="BQ12" s="31" t="str">
        <f>IF(OR(MACROMICROELEMENTOS!$A12="",MACROMICROELEMENTOS!$B12="",MACROMICROELEMENTOS!$C12="",MACROMICROELEMENTOS!$D12="",MACROMICROELEMENTOS!$E12="",MACROMICROELEMENTOS!$H12="",MACROMICROELEMENTOS!$BO12="",MACROMICROELEMENTOS!$BP12=""),"",((MACROMICROELEMENTOS!$H12-MACROMICROELEMENTOS!$BO12)*MACROMICROELEMENTOS!$BP12*MACROMICROELEMENTOS!$D12*(1/MACROMICROELEMENTOS!$C12)*MACROMICROELEMENTOS!$E12))</f>
        <v/>
      </c>
      <c r="BR12" s="17" t="str">
        <f>IF(AND(MACROMICROELEMENTOS!$Q12="",MACROMICROELEMENTOS!$R12="",MACROMICROELEMENTOS!$S12="",MACROMICROELEMENTOS!$T12=""),"",AVERAGE(MACROMICROELEMENTOS!$Q12,MACROMICROELEMENTOS!$R12,MACROMICROELEMENTOS!$S12,MACROMICROELEMENTOS!$T12))</f>
        <v/>
      </c>
      <c r="BS12" s="23">
        <v>1</v>
      </c>
      <c r="BT12" s="31" t="str">
        <f>IF(OR(MACROMICROELEMENTOS!$A12="",MACROMICROELEMENTOS!$B12="",MACROMICROELEMENTOS!$C12="",MACROMICROELEMENTOS!$D12="",MACROMICROELEMENTOS!$E12="",MACROMICROELEMENTOS!$I12="",MACROMICROELEMENTOS!$BR12="",MACROMICROELEMENTOS!$BS12=""),"",((MACROMICROELEMENTOS!$I12-MACROMICROELEMENTOS!$BR12)*MACROMICROELEMENTOS!$BS12*MACROMICROELEMENTOS!$D12*(1/MACROMICROELEMENTOS!$C12)*MACROMICROELEMENTOS!$E12))</f>
        <v/>
      </c>
      <c r="BU12" s="17" t="str">
        <f>IF(AND(MACROMICROELEMENTOS!$AG12="",MACROMICROELEMENTOS!$AH12="",MACROMICROELEMENTOS!$AI12="",MACROMICROELEMENTOS!$AJ12=""),"",AVERAGE(MACROMICROELEMENTOS!$AG12,MACROMICROELEMENTOS!$AH12,MACROMICROELEMENTOS!$AI12,MACROMICROELEMENTOS!$AJ12))</f>
        <v/>
      </c>
      <c r="BV12" s="23">
        <v>1</v>
      </c>
      <c r="BW12" s="31" t="str">
        <f>IF(OR(MACROMICROELEMENTOS!$A12="",MACROMICROELEMENTOS!$B12="",MACROMICROELEMENTOS!$C12="",MACROMICROELEMENTOS!$D12="",MACROMICROELEMENTOS!$E12="",MACROMICROELEMENTOS!$J12="",MACROMICROELEMENTOS!$BU12="",MACROMICROELEMENTOS!$BV12=""),"",((MACROMICROELEMENTOS!$J12-MACROMICROELEMENTOS!$BU12)*MACROMICROELEMENTOS!$BV12*MACROMICROELEMENTOS!$D12*(1/MACROMICROELEMENTOS!$C12)*MACROMICROELEMENTOS!$E12))</f>
        <v/>
      </c>
      <c r="BX12" s="17" t="str">
        <f>IF(AND(MACROMICROELEMENTOS!$AK12="",MACROMICROELEMENTOS!$AL12="",MACROMICROELEMENTOS!$AM12="",MACROMICROELEMENTOS!$AN12=""),"",AVERAGE(MACROMICROELEMENTOS!$AK12,MACROMICROELEMENTOS!$AL12,MACROMICROELEMENTOS!$AM12,MACROMICROELEMENTOS!$AN12))</f>
        <v/>
      </c>
      <c r="BY12" s="23">
        <v>1</v>
      </c>
      <c r="BZ12" s="31" t="str">
        <f>IF(OR(MACROMICROELEMENTOS!$A12="",MACROMICROELEMENTOS!$B12="",MACROMICROELEMENTOS!$C12="",MACROMICROELEMENTOS!$D12="",MACROMICROELEMENTOS!$E12="",MACROMICROELEMENTOS!$K12="",MACROMICROELEMENTOS!$BX12="",MACROMICROELEMENTOS!$BY12=""),"",((MACROMICROELEMENTOS!$K12-MACROMICROELEMENTOS!$BX12)*MACROMICROELEMENTOS!$BY12*MACROMICROELEMENTOS!$D12*(1/MACROMICROELEMENTOS!$C12)*MACROMICROELEMENTOS!$E12))</f>
        <v/>
      </c>
      <c r="CA12" s="17" t="str">
        <f>IF(AND(MACROMICROELEMENTOS!$AO12="",MACROMICROELEMENTOS!$AP12="",MACROMICROELEMENTOS!$AQ12="",MACROMICROELEMENTOS!$AR12=""),"",AVERAGE(MACROMICROELEMENTOS!$AO12,MACROMICROELEMENTOS!$AP12,MACROMICROELEMENTOS!$AQ12,MACROMICROELEMENTOS!$AR12))</f>
        <v/>
      </c>
      <c r="CB12" s="23">
        <v>1</v>
      </c>
      <c r="CC12" s="31" t="str">
        <f>IF(OR(MACROMICROELEMENTOS!$A12="",MACROMICROELEMENTOS!$B12="",MACROMICROELEMENTOS!$C12="",MACROMICROELEMENTOS!$D12="",MACROMICROELEMENTOS!$E12="",MACROMICROELEMENTOS!$L12="",MACROMICROELEMENTOS!$CA12="",MACROMICROELEMENTOS!$CB12=""),"",((MACROMICROELEMENTOS!$L12-MACROMICROELEMENTOS!$CA12)*MACROMICROELEMENTOS!$CB12*MACROMICROELEMENTOS!$D12*(1/MACROMICROELEMENTOS!$C12)*MACROMICROELEMENTOS!$E12))</f>
        <v/>
      </c>
      <c r="CD12" s="17" t="str">
        <f>IF(AND(MACROMICROELEMENTOS!$AS12="",MACROMICROELEMENTOS!$AT12="",MACROMICROELEMENTOS!$AU12="",MACROMICROELEMENTOS!$AV12=""),"",AVERAGE(MACROMICROELEMENTOS!$AS12,MACROMICROELEMENTOS!$AT12,MACROMICROELEMENTOS!$AU12,MACROMICROELEMENTOS!$AV12))</f>
        <v/>
      </c>
      <c r="CE12" s="23">
        <v>1</v>
      </c>
      <c r="CF12" s="31" t="str">
        <f>IF(OR(MACROMICROELEMENTOS!$A12="",MACROMICROELEMENTOS!$B12="",MACROMICROELEMENTOS!$C12="",MACROMICROELEMENTOS!$D12="",MACROMICROELEMENTOS!$E12="",MACROMICROELEMENTOS!$M12="",MACROMICROELEMENTOS!$CD12="",MACROMICROELEMENTOS!$CE12=""),"",((MACROMICROELEMENTOS!$M12-MACROMICROELEMENTOS!$CD12)*MACROMICROELEMENTOS!$CE12*MACROMICROELEMENTOS!$D12*(1/MACROMICROELEMENTOS!$C12)*MACROMICROELEMENTOS!$E12))</f>
        <v/>
      </c>
      <c r="CG12" s="17" t="str">
        <f>IF(AND(MACROMICROELEMENTOS!$AW12="",MACROMICROELEMENTOS!$AX12="",MACROMICROELEMENTOS!$AY12="",MACROMICROELEMENTOS!$AZ12=""),"",AVERAGE(MACROMICROELEMENTOS!$AW12,MACROMICROELEMENTOS!$AX12,MACROMICROELEMENTOS!$AY12,MACROMICROELEMENTOS!$AZ12))</f>
        <v/>
      </c>
      <c r="CH12" s="23">
        <v>1</v>
      </c>
      <c r="CI12" s="31" t="str">
        <f>IF(OR(MACROMICROELEMENTOS!$A12="",MACROMICROELEMENTOS!$B12="",MACROMICROELEMENTOS!$C12="",MACROMICROELEMENTOS!$D12="",MACROMICROELEMENTOS!$E12="",MACROMICROELEMENTOS!$N12="",MACROMICROELEMENTOS!$CG12="",MACROMICROELEMENTOS!$CH12=""),"",((MACROMICROELEMENTOS!$N12-MACROMICROELEMENTOS!$CG12)*MACROMICROELEMENTOS!$CH12*MACROMICROELEMENTOS!$D12*(1/MACROMICROELEMENTOS!$C12)*MACROMICROELEMENTOS!$E12))</f>
        <v/>
      </c>
      <c r="CJ12" s="17" t="str">
        <f>IF(AND(MACROMICROELEMENTOS!$BA12="",MACROMICROELEMENTOS!$BB12="",MACROMICROELEMENTOS!$BC12="",MACROMICROELEMENTOS!$BD12=""),"",IF(O12&gt;2,0,AVERAGE(MACROMICROELEMENTOS!$BA12,MACROMICROELEMENTOS!$BB12,MACROMICROELEMENTOS!$BC12,MACROMICROELEMENTOS!$BD12)))</f>
        <v/>
      </c>
      <c r="CK12" s="23">
        <v>1</v>
      </c>
      <c r="CL12" s="31" t="str">
        <f>IF(OR(MACROMICROELEMENTOS!$A12="",MACROMICROELEMENTOS!$B12="",MACROMICROELEMENTOS!$C12="",MACROMICROELEMENTOS!$D12="",MACROMICROELEMENTOS!$E12="",MACROMICROELEMENTOS!$O12="",MACROMICROELEMENTOS!$CJ12="",MACROMICROELEMENTOS!$CK12=""),"",((MACROMICROELEMENTOS!$O12-MACROMICROELEMENTOS!$CJ12)*MACROMICROELEMENTOS!$CK12*MACROMICROELEMENTOS!$D12*(1/MACROMICROELEMENTOS!$C12)*MACROMICROELEMENTOS!$E12))</f>
        <v/>
      </c>
      <c r="CM12" s="17" t="str">
        <f>IF(AND(MACROMICROELEMENTOS!$BE12="",MACROMICROELEMENTOS!$BF12="",MACROMICROELEMENTOS!$BG12="",MACROMICROELEMENTOS!$BH12=""),"",AVERAGE(MACROMICROELEMENTOS!$BE12,MACROMICROELEMENTOS!$BF12,MACROMICROELEMENTOS!$BG12,MACROMICROELEMENTOS!$BH12))</f>
        <v/>
      </c>
      <c r="CN12" s="23">
        <v>1</v>
      </c>
      <c r="CO12" s="31" t="str">
        <f>IF(OR(MACROMICROELEMENTOS!$A12="",MACROMICROELEMENTOS!$B12="",MACROMICROELEMENTOS!$C12="",MACROMICROELEMENTOS!$D12="",MACROMICROELEMENTOS!$E12="",MACROMICROELEMENTOS!$P12="",MACROMICROELEMENTOS!$CM12="",MACROMICROELEMENTOS!$CN12=""),"",((MACROMICROELEMENTOS!$P12-MACROMICROELEMENTOS!$CM12)*MACROMICROELEMENTOS!$CN12*MACROMICROELEMENTOS!$D12*(1/MACROMICROELEMENTOS!$C12)*MACROMICROELEMENTOS!$E12))</f>
        <v/>
      </c>
    </row>
    <row r="13" spans="1:93" x14ac:dyDescent="0.3">
      <c r="A13" s="19" t="str">
        <f>IF(Pesada!A13="","",Pesada!A13)</f>
        <v/>
      </c>
      <c r="B13" s="16" t="str">
        <f>IF(Pesada!B13="","",Pesada!B13)</f>
        <v/>
      </c>
      <c r="C13" s="20" t="str">
        <f>IF(Pesada!C13="","",VALUE(Pesada!C13))</f>
        <v/>
      </c>
      <c r="D13" s="23">
        <v>100</v>
      </c>
      <c r="E13" s="30" t="str">
        <f>IF(METALESPESADOS!E13="","",METALESPESADOS!E13)</f>
        <v/>
      </c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17" t="str">
        <f>IF(AND(MACROMICROELEMENTOS!$U13="",MACROMICROELEMENTOS!$V13="",MACROMICROELEMENTOS!$W13="",MACROMICROELEMENTOS!$X13=""),"",AVERAGE(MACROMICROELEMENTOS!$U13,MACROMICROELEMENTOS!$V13,MACROMICROELEMENTOS!$W13,MACROMICROELEMENTOS!$X13))</f>
        <v/>
      </c>
      <c r="BJ13" s="23">
        <v>1</v>
      </c>
      <c r="BK13" s="31" t="str">
        <f>IF(OR(MACROMICROELEMENTOS!$A13="",MACROMICROELEMENTOS!$B13="",MACROMICROELEMENTOS!$C13="",MACROMICROELEMENTOS!$D13="",MACROMICROELEMENTOS!$E13="",MACROMICROELEMENTOS!$F13="",MACROMICROELEMENTOS!$BI13="",MACROMICROELEMENTOS!$BJ13=""),"",((MACROMICROELEMENTOS!$F13-MACROMICROELEMENTOS!$BI13)*MACROMICROELEMENTOS!$BJ13*MACROMICROELEMENTOS!$D13*(1/MACROMICROELEMENTOS!$C13)*MACROMICROELEMENTOS!$E13))</f>
        <v/>
      </c>
      <c r="BL13" s="17" t="str">
        <f>IF(AND(MACROMICROELEMENTOS!$Y13="",MACROMICROELEMENTOS!$Z13="",MACROMICROELEMENTOS!$AA13="",MACROMICROELEMENTOS!$AB13=""),"",AVERAGE(MACROMICROELEMENTOS!$Y13,MACROMICROELEMENTOS!$Z13,MACROMICROELEMENTOS!$AA13,MACROMICROELEMENTOS!$AB13))</f>
        <v/>
      </c>
      <c r="BM13" s="23">
        <v>1</v>
      </c>
      <c r="BN13" s="31" t="str">
        <f>IF(OR(MACROMICROELEMENTOS!$A13="",MACROMICROELEMENTOS!$B13="",MACROMICROELEMENTOS!$C13="",MACROMICROELEMENTOS!$D13="",MACROMICROELEMENTOS!$E13="",MACROMICROELEMENTOS!$G13="",MACROMICROELEMENTOS!$BL13="",MACROMICROELEMENTOS!$BM13=""),"",((MACROMICROELEMENTOS!$G13-MACROMICROELEMENTOS!$BL13)*MACROMICROELEMENTOS!$BM13*MACROMICROELEMENTOS!$D13*(1/MACROMICROELEMENTOS!$C13)*MACROMICROELEMENTOS!$E13/1000))</f>
        <v/>
      </c>
      <c r="BO13" s="17" t="str">
        <f>IF(AND(MACROMICROELEMENTOS!$AC13="",MACROMICROELEMENTOS!$AD13="",MACROMICROELEMENTOS!$AE13="",MACROMICROELEMENTOS!$AF13=""),"",AVERAGE(MACROMICROELEMENTOS!$AC13,MACROMICROELEMENTOS!$AD13,MACROMICROELEMENTOS!$AE13,MACROMICROELEMENTOS!$AF13))</f>
        <v/>
      </c>
      <c r="BP13" s="23">
        <v>1</v>
      </c>
      <c r="BQ13" s="31" t="str">
        <f>IF(OR(MACROMICROELEMENTOS!$A13="",MACROMICROELEMENTOS!$B13="",MACROMICROELEMENTOS!$C13="",MACROMICROELEMENTOS!$D13="",MACROMICROELEMENTOS!$E13="",MACROMICROELEMENTOS!$H13="",MACROMICROELEMENTOS!$BO13="",MACROMICROELEMENTOS!$BP13=""),"",((MACROMICROELEMENTOS!$H13-MACROMICROELEMENTOS!$BO13)*MACROMICROELEMENTOS!$BP13*MACROMICROELEMENTOS!$D13*(1/MACROMICROELEMENTOS!$C13)*MACROMICROELEMENTOS!$E13))</f>
        <v/>
      </c>
      <c r="BR13" s="17" t="str">
        <f>IF(AND(MACROMICROELEMENTOS!$Q13="",MACROMICROELEMENTOS!$R13="",MACROMICROELEMENTOS!$S13="",MACROMICROELEMENTOS!$T13=""),"",AVERAGE(MACROMICROELEMENTOS!$Q13,MACROMICROELEMENTOS!$R13,MACROMICROELEMENTOS!$S13,MACROMICROELEMENTOS!$T13))</f>
        <v/>
      </c>
      <c r="BS13" s="23">
        <v>1</v>
      </c>
      <c r="BT13" s="31" t="str">
        <f>IF(OR(MACROMICROELEMENTOS!$A13="",MACROMICROELEMENTOS!$B13="",MACROMICROELEMENTOS!$C13="",MACROMICROELEMENTOS!$D13="",MACROMICROELEMENTOS!$E13="",MACROMICROELEMENTOS!$I13="",MACROMICROELEMENTOS!$BR13="",MACROMICROELEMENTOS!$BS13=""),"",((MACROMICROELEMENTOS!$I13-MACROMICROELEMENTOS!$BR13)*MACROMICROELEMENTOS!$BS13*MACROMICROELEMENTOS!$D13*(1/MACROMICROELEMENTOS!$C13)*MACROMICROELEMENTOS!$E13))</f>
        <v/>
      </c>
      <c r="BU13" s="17" t="str">
        <f>IF(AND(MACROMICROELEMENTOS!$AG13="",MACROMICROELEMENTOS!$AH13="",MACROMICROELEMENTOS!$AI13="",MACROMICROELEMENTOS!$AJ13=""),"",AVERAGE(MACROMICROELEMENTOS!$AG13,MACROMICROELEMENTOS!$AH13,MACROMICROELEMENTOS!$AI13,MACROMICROELEMENTOS!$AJ13))</f>
        <v/>
      </c>
      <c r="BV13" s="23">
        <v>1</v>
      </c>
      <c r="BW13" s="31" t="str">
        <f>IF(OR(MACROMICROELEMENTOS!$A13="",MACROMICROELEMENTOS!$B13="",MACROMICROELEMENTOS!$C13="",MACROMICROELEMENTOS!$D13="",MACROMICROELEMENTOS!$E13="",MACROMICROELEMENTOS!$J13="",MACROMICROELEMENTOS!$BU13="",MACROMICROELEMENTOS!$BV13=""),"",((MACROMICROELEMENTOS!$J13-MACROMICROELEMENTOS!$BU13)*MACROMICROELEMENTOS!$BV13*MACROMICROELEMENTOS!$D13*(1/MACROMICROELEMENTOS!$C13)*MACROMICROELEMENTOS!$E13))</f>
        <v/>
      </c>
      <c r="BX13" s="17" t="str">
        <f>IF(AND(MACROMICROELEMENTOS!$AK13="",MACROMICROELEMENTOS!$AL13="",MACROMICROELEMENTOS!$AM13="",MACROMICROELEMENTOS!$AN13=""),"",AVERAGE(MACROMICROELEMENTOS!$AK13,MACROMICROELEMENTOS!$AL13,MACROMICROELEMENTOS!$AM13,MACROMICROELEMENTOS!$AN13))</f>
        <v/>
      </c>
      <c r="BY13" s="23">
        <v>1</v>
      </c>
      <c r="BZ13" s="31" t="str">
        <f>IF(OR(MACROMICROELEMENTOS!$A13="",MACROMICROELEMENTOS!$B13="",MACROMICROELEMENTOS!$C13="",MACROMICROELEMENTOS!$D13="",MACROMICROELEMENTOS!$E13="",MACROMICROELEMENTOS!$K13="",MACROMICROELEMENTOS!$BX13="",MACROMICROELEMENTOS!$BY13=""),"",((MACROMICROELEMENTOS!$K13-MACROMICROELEMENTOS!$BX13)*MACROMICROELEMENTOS!$BY13*MACROMICROELEMENTOS!$D13*(1/MACROMICROELEMENTOS!$C13)*MACROMICROELEMENTOS!$E13))</f>
        <v/>
      </c>
      <c r="CA13" s="17" t="str">
        <f>IF(AND(MACROMICROELEMENTOS!$AO13="",MACROMICROELEMENTOS!$AP13="",MACROMICROELEMENTOS!$AQ13="",MACROMICROELEMENTOS!$AR13=""),"",AVERAGE(MACROMICROELEMENTOS!$AO13,MACROMICROELEMENTOS!$AP13,MACROMICROELEMENTOS!$AQ13,MACROMICROELEMENTOS!$AR13))</f>
        <v/>
      </c>
      <c r="CB13" s="23">
        <v>1</v>
      </c>
      <c r="CC13" s="31" t="str">
        <f>IF(OR(MACROMICROELEMENTOS!$A13="",MACROMICROELEMENTOS!$B13="",MACROMICROELEMENTOS!$C13="",MACROMICROELEMENTOS!$D13="",MACROMICROELEMENTOS!$E13="",MACROMICROELEMENTOS!$L13="",MACROMICROELEMENTOS!$CA13="",MACROMICROELEMENTOS!$CB13=""),"",((MACROMICROELEMENTOS!$L13-MACROMICROELEMENTOS!$CA13)*MACROMICROELEMENTOS!$CB13*MACROMICROELEMENTOS!$D13*(1/MACROMICROELEMENTOS!$C13)*MACROMICROELEMENTOS!$E13))</f>
        <v/>
      </c>
      <c r="CD13" s="17" t="str">
        <f>IF(AND(MACROMICROELEMENTOS!$AS13="",MACROMICROELEMENTOS!$AT13="",MACROMICROELEMENTOS!$AU13="",MACROMICROELEMENTOS!$AV13=""),"",AVERAGE(MACROMICROELEMENTOS!$AS13,MACROMICROELEMENTOS!$AT13,MACROMICROELEMENTOS!$AU13,MACROMICROELEMENTOS!$AV13))</f>
        <v/>
      </c>
      <c r="CE13" s="23">
        <v>1</v>
      </c>
      <c r="CF13" s="31" t="str">
        <f>IF(OR(MACROMICROELEMENTOS!$A13="",MACROMICROELEMENTOS!$B13="",MACROMICROELEMENTOS!$C13="",MACROMICROELEMENTOS!$D13="",MACROMICROELEMENTOS!$E13="",MACROMICROELEMENTOS!$M13="",MACROMICROELEMENTOS!$CD13="",MACROMICROELEMENTOS!$CE13=""),"",((MACROMICROELEMENTOS!$M13-MACROMICROELEMENTOS!$CD13)*MACROMICROELEMENTOS!$CE13*MACROMICROELEMENTOS!$D13*(1/MACROMICROELEMENTOS!$C13)*MACROMICROELEMENTOS!$E13))</f>
        <v/>
      </c>
      <c r="CG13" s="17" t="str">
        <f>IF(AND(MACROMICROELEMENTOS!$AW13="",MACROMICROELEMENTOS!$AX13="",MACROMICROELEMENTOS!$AY13="",MACROMICROELEMENTOS!$AZ13=""),"",AVERAGE(MACROMICROELEMENTOS!$AW13,MACROMICROELEMENTOS!$AX13,MACROMICROELEMENTOS!$AY13,MACROMICROELEMENTOS!$AZ13))</f>
        <v/>
      </c>
      <c r="CH13" s="23">
        <v>1</v>
      </c>
      <c r="CI13" s="31" t="str">
        <f>IF(OR(MACROMICROELEMENTOS!$A13="",MACROMICROELEMENTOS!$B13="",MACROMICROELEMENTOS!$C13="",MACROMICROELEMENTOS!$D13="",MACROMICROELEMENTOS!$E13="",MACROMICROELEMENTOS!$N13="",MACROMICROELEMENTOS!$CG13="",MACROMICROELEMENTOS!$CH13=""),"",((MACROMICROELEMENTOS!$N13-MACROMICROELEMENTOS!$CG13)*MACROMICROELEMENTOS!$CH13*MACROMICROELEMENTOS!$D13*(1/MACROMICROELEMENTOS!$C13)*MACROMICROELEMENTOS!$E13))</f>
        <v/>
      </c>
      <c r="CJ13" s="17" t="str">
        <f>IF(AND(MACROMICROELEMENTOS!$BA13="",MACROMICROELEMENTOS!$BB13="",MACROMICROELEMENTOS!$BC13="",MACROMICROELEMENTOS!$BD13=""),"",IF(O13&gt;2,0,AVERAGE(MACROMICROELEMENTOS!$BA13,MACROMICROELEMENTOS!$BB13,MACROMICROELEMENTOS!$BC13,MACROMICROELEMENTOS!$BD13)))</f>
        <v/>
      </c>
      <c r="CK13" s="23">
        <v>1</v>
      </c>
      <c r="CL13" s="31" t="str">
        <f>IF(OR(MACROMICROELEMENTOS!$A13="",MACROMICROELEMENTOS!$B13="",MACROMICROELEMENTOS!$C13="",MACROMICROELEMENTOS!$D13="",MACROMICROELEMENTOS!$E13="",MACROMICROELEMENTOS!$O13="",MACROMICROELEMENTOS!$CJ13="",MACROMICROELEMENTOS!$CK13=""),"",((MACROMICROELEMENTOS!$O13-MACROMICROELEMENTOS!$CJ13)*MACROMICROELEMENTOS!$CK13*MACROMICROELEMENTOS!$D13*(1/MACROMICROELEMENTOS!$C13)*MACROMICROELEMENTOS!$E13))</f>
        <v/>
      </c>
      <c r="CM13" s="17" t="str">
        <f>IF(AND(MACROMICROELEMENTOS!$BE13="",MACROMICROELEMENTOS!$BF13="",MACROMICROELEMENTOS!$BG13="",MACROMICROELEMENTOS!$BH13=""),"",AVERAGE(MACROMICROELEMENTOS!$BE13,MACROMICROELEMENTOS!$BF13,MACROMICROELEMENTOS!$BG13,MACROMICROELEMENTOS!$BH13))</f>
        <v/>
      </c>
      <c r="CN13" s="23">
        <v>1</v>
      </c>
      <c r="CO13" s="31" t="str">
        <f>IF(OR(MACROMICROELEMENTOS!$A13="",MACROMICROELEMENTOS!$B13="",MACROMICROELEMENTOS!$C13="",MACROMICROELEMENTOS!$D13="",MACROMICROELEMENTOS!$E13="",MACROMICROELEMENTOS!$P13="",MACROMICROELEMENTOS!$CM13="",MACROMICROELEMENTOS!$CN13=""),"",((MACROMICROELEMENTOS!$P13-MACROMICROELEMENTOS!$CM13)*MACROMICROELEMENTOS!$CN13*MACROMICROELEMENTOS!$D13*(1/MACROMICROELEMENTOS!$C13)*MACROMICROELEMENTOS!$E13))</f>
        <v/>
      </c>
    </row>
    <row r="14" spans="1:93" x14ac:dyDescent="0.3">
      <c r="A14" s="19" t="str">
        <f>IF(Pesada!A14="","",Pesada!A14)</f>
        <v/>
      </c>
      <c r="B14" s="16" t="str">
        <f>IF(Pesada!B14="","",Pesada!B14)</f>
        <v/>
      </c>
      <c r="C14" s="20" t="str">
        <f>IF(Pesada!C14="","",VALUE(Pesada!C14))</f>
        <v/>
      </c>
      <c r="D14" s="23">
        <v>100</v>
      </c>
      <c r="E14" s="30" t="str">
        <f>IF(METALESPESADOS!E14="","",METALESPESADOS!E14)</f>
        <v/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17" t="str">
        <f>IF(AND(MACROMICROELEMENTOS!$U14="",MACROMICROELEMENTOS!$V14="",MACROMICROELEMENTOS!$W14="",MACROMICROELEMENTOS!$X14=""),"",AVERAGE(MACROMICROELEMENTOS!$U14,MACROMICROELEMENTOS!$V14,MACROMICROELEMENTOS!$W14,MACROMICROELEMENTOS!$X14))</f>
        <v/>
      </c>
      <c r="BJ14" s="23">
        <v>1</v>
      </c>
      <c r="BK14" s="31" t="str">
        <f>IF(OR(MACROMICROELEMENTOS!$A14="",MACROMICROELEMENTOS!$B14="",MACROMICROELEMENTOS!$C14="",MACROMICROELEMENTOS!$D14="",MACROMICROELEMENTOS!$E14="",MACROMICROELEMENTOS!$F14="",MACROMICROELEMENTOS!$BI14="",MACROMICROELEMENTOS!$BJ14=""),"",((MACROMICROELEMENTOS!$F14-MACROMICROELEMENTOS!$BI14)*MACROMICROELEMENTOS!$BJ14*MACROMICROELEMENTOS!$D14*(1/MACROMICROELEMENTOS!$C14)*MACROMICROELEMENTOS!$E14))</f>
        <v/>
      </c>
      <c r="BL14" s="17" t="str">
        <f>IF(AND(MACROMICROELEMENTOS!$Y14="",MACROMICROELEMENTOS!$Z14="",MACROMICROELEMENTOS!$AA14="",MACROMICROELEMENTOS!$AB14=""),"",AVERAGE(MACROMICROELEMENTOS!$Y14,MACROMICROELEMENTOS!$Z14,MACROMICROELEMENTOS!$AA14,MACROMICROELEMENTOS!$AB14))</f>
        <v/>
      </c>
      <c r="BM14" s="23">
        <v>1</v>
      </c>
      <c r="BN14" s="31" t="str">
        <f>IF(OR(MACROMICROELEMENTOS!$A14="",MACROMICROELEMENTOS!$B14="",MACROMICROELEMENTOS!$C14="",MACROMICROELEMENTOS!$D14="",MACROMICROELEMENTOS!$E14="",MACROMICROELEMENTOS!$G14="",MACROMICROELEMENTOS!$BL14="",MACROMICROELEMENTOS!$BM14=""),"",((MACROMICROELEMENTOS!$G14-MACROMICROELEMENTOS!$BL14)*MACROMICROELEMENTOS!$BM14*MACROMICROELEMENTOS!$D14*(1/MACROMICROELEMENTOS!$C14)*MACROMICROELEMENTOS!$E14/1000))</f>
        <v/>
      </c>
      <c r="BO14" s="17" t="str">
        <f>IF(AND(MACROMICROELEMENTOS!$AC14="",MACROMICROELEMENTOS!$AD14="",MACROMICROELEMENTOS!$AE14="",MACROMICROELEMENTOS!$AF14=""),"",AVERAGE(MACROMICROELEMENTOS!$AC14,MACROMICROELEMENTOS!$AD14,MACROMICROELEMENTOS!$AE14,MACROMICROELEMENTOS!$AF14))</f>
        <v/>
      </c>
      <c r="BP14" s="23">
        <v>1</v>
      </c>
      <c r="BQ14" s="31" t="str">
        <f>IF(OR(MACROMICROELEMENTOS!$A14="",MACROMICROELEMENTOS!$B14="",MACROMICROELEMENTOS!$C14="",MACROMICROELEMENTOS!$D14="",MACROMICROELEMENTOS!$E14="",MACROMICROELEMENTOS!$H14="",MACROMICROELEMENTOS!$BO14="",MACROMICROELEMENTOS!$BP14=""),"",((MACROMICROELEMENTOS!$H14-MACROMICROELEMENTOS!$BO14)*MACROMICROELEMENTOS!$BP14*MACROMICROELEMENTOS!$D14*(1/MACROMICROELEMENTOS!$C14)*MACROMICROELEMENTOS!$E14))</f>
        <v/>
      </c>
      <c r="BR14" s="17" t="str">
        <f>IF(AND(MACROMICROELEMENTOS!$Q14="",MACROMICROELEMENTOS!$R14="",MACROMICROELEMENTOS!$S14="",MACROMICROELEMENTOS!$T14=""),"",AVERAGE(MACROMICROELEMENTOS!$Q14,MACROMICROELEMENTOS!$R14,MACROMICROELEMENTOS!$S14,MACROMICROELEMENTOS!$T14))</f>
        <v/>
      </c>
      <c r="BS14" s="23">
        <v>1</v>
      </c>
      <c r="BT14" s="31" t="str">
        <f>IF(OR(MACROMICROELEMENTOS!$A14="",MACROMICROELEMENTOS!$B14="",MACROMICROELEMENTOS!$C14="",MACROMICROELEMENTOS!$D14="",MACROMICROELEMENTOS!$E14="",MACROMICROELEMENTOS!$I14="",MACROMICROELEMENTOS!$BR14="",MACROMICROELEMENTOS!$BS14=""),"",((MACROMICROELEMENTOS!$I14-MACROMICROELEMENTOS!$BR14)*MACROMICROELEMENTOS!$BS14*MACROMICROELEMENTOS!$D14*(1/MACROMICROELEMENTOS!$C14)*MACROMICROELEMENTOS!$E14))</f>
        <v/>
      </c>
      <c r="BU14" s="17" t="str">
        <f>IF(AND(MACROMICROELEMENTOS!$AG14="",MACROMICROELEMENTOS!$AH14="",MACROMICROELEMENTOS!$AI14="",MACROMICROELEMENTOS!$AJ14=""),"",AVERAGE(MACROMICROELEMENTOS!$AG14,MACROMICROELEMENTOS!$AH14,MACROMICROELEMENTOS!$AI14,MACROMICROELEMENTOS!$AJ14))</f>
        <v/>
      </c>
      <c r="BV14" s="23">
        <v>1</v>
      </c>
      <c r="BW14" s="31" t="str">
        <f>IF(OR(MACROMICROELEMENTOS!$A14="",MACROMICROELEMENTOS!$B14="",MACROMICROELEMENTOS!$C14="",MACROMICROELEMENTOS!$D14="",MACROMICROELEMENTOS!$E14="",MACROMICROELEMENTOS!$J14="",MACROMICROELEMENTOS!$BU14="",MACROMICROELEMENTOS!$BV14=""),"",((MACROMICROELEMENTOS!$J14-MACROMICROELEMENTOS!$BU14)*MACROMICROELEMENTOS!$BV14*MACROMICROELEMENTOS!$D14*(1/MACROMICROELEMENTOS!$C14)*MACROMICROELEMENTOS!$E14))</f>
        <v/>
      </c>
      <c r="BX14" s="17" t="str">
        <f>IF(AND(MACROMICROELEMENTOS!$AK14="",MACROMICROELEMENTOS!$AL14="",MACROMICROELEMENTOS!$AM14="",MACROMICROELEMENTOS!$AN14=""),"",AVERAGE(MACROMICROELEMENTOS!$AK14,MACROMICROELEMENTOS!$AL14,MACROMICROELEMENTOS!$AM14,MACROMICROELEMENTOS!$AN14))</f>
        <v/>
      </c>
      <c r="BY14" s="23">
        <v>1</v>
      </c>
      <c r="BZ14" s="31" t="str">
        <f>IF(OR(MACROMICROELEMENTOS!$A14="",MACROMICROELEMENTOS!$B14="",MACROMICROELEMENTOS!$C14="",MACROMICROELEMENTOS!$D14="",MACROMICROELEMENTOS!$E14="",MACROMICROELEMENTOS!$K14="",MACROMICROELEMENTOS!$BX14="",MACROMICROELEMENTOS!$BY14=""),"",((MACROMICROELEMENTOS!$K14-MACROMICROELEMENTOS!$BX14)*MACROMICROELEMENTOS!$BY14*MACROMICROELEMENTOS!$D14*(1/MACROMICROELEMENTOS!$C14)*MACROMICROELEMENTOS!$E14))</f>
        <v/>
      </c>
      <c r="CA14" s="17" t="str">
        <f>IF(AND(MACROMICROELEMENTOS!$AO14="",MACROMICROELEMENTOS!$AP14="",MACROMICROELEMENTOS!$AQ14="",MACROMICROELEMENTOS!$AR14=""),"",AVERAGE(MACROMICROELEMENTOS!$AO14,MACROMICROELEMENTOS!$AP14,MACROMICROELEMENTOS!$AQ14,MACROMICROELEMENTOS!$AR14))</f>
        <v/>
      </c>
      <c r="CB14" s="23">
        <v>1</v>
      </c>
      <c r="CC14" s="31" t="str">
        <f>IF(OR(MACROMICROELEMENTOS!$A14="",MACROMICROELEMENTOS!$B14="",MACROMICROELEMENTOS!$C14="",MACROMICROELEMENTOS!$D14="",MACROMICROELEMENTOS!$E14="",MACROMICROELEMENTOS!$L14="",MACROMICROELEMENTOS!$CA14="",MACROMICROELEMENTOS!$CB14=""),"",((MACROMICROELEMENTOS!$L14-MACROMICROELEMENTOS!$CA14)*MACROMICROELEMENTOS!$CB14*MACROMICROELEMENTOS!$D14*(1/MACROMICROELEMENTOS!$C14)*MACROMICROELEMENTOS!$E14))</f>
        <v/>
      </c>
      <c r="CD14" s="17" t="str">
        <f>IF(AND(MACROMICROELEMENTOS!$AS14="",MACROMICROELEMENTOS!$AT14="",MACROMICROELEMENTOS!$AU14="",MACROMICROELEMENTOS!$AV14=""),"",AVERAGE(MACROMICROELEMENTOS!$AS14,MACROMICROELEMENTOS!$AT14,MACROMICROELEMENTOS!$AU14,MACROMICROELEMENTOS!$AV14))</f>
        <v/>
      </c>
      <c r="CE14" s="23">
        <v>1</v>
      </c>
      <c r="CF14" s="31" t="str">
        <f>IF(OR(MACROMICROELEMENTOS!$A14="",MACROMICROELEMENTOS!$B14="",MACROMICROELEMENTOS!$C14="",MACROMICROELEMENTOS!$D14="",MACROMICROELEMENTOS!$E14="",MACROMICROELEMENTOS!$M14="",MACROMICROELEMENTOS!$CD14="",MACROMICROELEMENTOS!$CE14=""),"",((MACROMICROELEMENTOS!$M14-MACROMICROELEMENTOS!$CD14)*MACROMICROELEMENTOS!$CE14*MACROMICROELEMENTOS!$D14*(1/MACROMICROELEMENTOS!$C14)*MACROMICROELEMENTOS!$E14))</f>
        <v/>
      </c>
      <c r="CG14" s="17" t="str">
        <f>IF(AND(MACROMICROELEMENTOS!$AW14="",MACROMICROELEMENTOS!$AX14="",MACROMICROELEMENTOS!$AY14="",MACROMICROELEMENTOS!$AZ14=""),"",AVERAGE(MACROMICROELEMENTOS!$AW14,MACROMICROELEMENTOS!$AX14,MACROMICROELEMENTOS!$AY14,MACROMICROELEMENTOS!$AZ14))</f>
        <v/>
      </c>
      <c r="CH14" s="23">
        <v>1</v>
      </c>
      <c r="CI14" s="31" t="str">
        <f>IF(OR(MACROMICROELEMENTOS!$A14="",MACROMICROELEMENTOS!$B14="",MACROMICROELEMENTOS!$C14="",MACROMICROELEMENTOS!$D14="",MACROMICROELEMENTOS!$E14="",MACROMICROELEMENTOS!$N14="",MACROMICROELEMENTOS!$CG14="",MACROMICROELEMENTOS!$CH14=""),"",((MACROMICROELEMENTOS!$N14-MACROMICROELEMENTOS!$CG14)*MACROMICROELEMENTOS!$CH14*MACROMICROELEMENTOS!$D14*(1/MACROMICROELEMENTOS!$C14)*MACROMICROELEMENTOS!$E14))</f>
        <v/>
      </c>
      <c r="CJ14" s="17" t="str">
        <f>IF(AND(MACROMICROELEMENTOS!$BA14="",MACROMICROELEMENTOS!$BB14="",MACROMICROELEMENTOS!$BC14="",MACROMICROELEMENTOS!$BD14=""),"",IF(O14&gt;2,0,AVERAGE(MACROMICROELEMENTOS!$BA14,MACROMICROELEMENTOS!$BB14,MACROMICROELEMENTOS!$BC14,MACROMICROELEMENTOS!$BD14)))</f>
        <v/>
      </c>
      <c r="CK14" s="23">
        <v>1</v>
      </c>
      <c r="CL14" s="31" t="str">
        <f>IF(OR(MACROMICROELEMENTOS!$A14="",MACROMICROELEMENTOS!$B14="",MACROMICROELEMENTOS!$C14="",MACROMICROELEMENTOS!$D14="",MACROMICROELEMENTOS!$E14="",MACROMICROELEMENTOS!$O14="",MACROMICROELEMENTOS!$CJ14="",MACROMICROELEMENTOS!$CK14=""),"",((MACROMICROELEMENTOS!$O14-MACROMICROELEMENTOS!$CJ14)*MACROMICROELEMENTOS!$CK14*MACROMICROELEMENTOS!$D14*(1/MACROMICROELEMENTOS!$C14)*MACROMICROELEMENTOS!$E14))</f>
        <v/>
      </c>
      <c r="CM14" s="17" t="str">
        <f>IF(AND(MACROMICROELEMENTOS!$BE14="",MACROMICROELEMENTOS!$BF14="",MACROMICROELEMENTOS!$BG14="",MACROMICROELEMENTOS!$BH14=""),"",AVERAGE(MACROMICROELEMENTOS!$BE14,MACROMICROELEMENTOS!$BF14,MACROMICROELEMENTOS!$BG14,MACROMICROELEMENTOS!$BH14))</f>
        <v/>
      </c>
      <c r="CN14" s="23">
        <v>1</v>
      </c>
      <c r="CO14" s="31" t="str">
        <f>IF(OR(MACROMICROELEMENTOS!$A14="",MACROMICROELEMENTOS!$B14="",MACROMICROELEMENTOS!$C14="",MACROMICROELEMENTOS!$D14="",MACROMICROELEMENTOS!$E14="",MACROMICROELEMENTOS!$P14="",MACROMICROELEMENTOS!$CM14="",MACROMICROELEMENTOS!$CN14=""),"",((MACROMICROELEMENTOS!$P14-MACROMICROELEMENTOS!$CM14)*MACROMICROELEMENTOS!$CN14*MACROMICROELEMENTOS!$D14*(1/MACROMICROELEMENTOS!$C14)*MACROMICROELEMENTOS!$E14))</f>
        <v/>
      </c>
    </row>
    <row r="15" spans="1:93" x14ac:dyDescent="0.3">
      <c r="A15" s="19" t="str">
        <f>IF(Pesada!A15="","",Pesada!A15)</f>
        <v/>
      </c>
      <c r="B15" s="16" t="str">
        <f>IF(Pesada!B15="","",Pesada!B15)</f>
        <v/>
      </c>
      <c r="C15" s="20" t="str">
        <f>IF(Pesada!C15="","",VALUE(Pesada!C15))</f>
        <v/>
      </c>
      <c r="D15" s="23">
        <v>100</v>
      </c>
      <c r="E15" s="30" t="str">
        <f>IF(METALESPESADOS!E15="","",METALESPESADOS!E15)</f>
        <v/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4"/>
      <c r="BB15" s="24"/>
      <c r="BC15" s="24"/>
      <c r="BD15" s="24"/>
      <c r="BE15" s="24"/>
      <c r="BF15" s="24"/>
      <c r="BG15" s="24"/>
      <c r="BH15" s="24"/>
      <c r="BI15" s="17" t="str">
        <f>IF(AND(MACROMICROELEMENTOS!$U15="",MACROMICROELEMENTOS!$V15="",MACROMICROELEMENTOS!$W15="",MACROMICROELEMENTOS!$X15=""),"",AVERAGE(MACROMICROELEMENTOS!$U15,MACROMICROELEMENTOS!$V15,MACROMICROELEMENTOS!$W15,MACROMICROELEMENTOS!$X15))</f>
        <v/>
      </c>
      <c r="BJ15" s="23">
        <v>1</v>
      </c>
      <c r="BK15" s="31" t="str">
        <f>IF(OR(MACROMICROELEMENTOS!$A15="",MACROMICROELEMENTOS!$B15="",MACROMICROELEMENTOS!$C15="",MACROMICROELEMENTOS!$D15="",MACROMICROELEMENTOS!$E15="",MACROMICROELEMENTOS!$F15="",MACROMICROELEMENTOS!$BI15="",MACROMICROELEMENTOS!$BJ15=""),"",((MACROMICROELEMENTOS!$F15-MACROMICROELEMENTOS!$BI15)*MACROMICROELEMENTOS!$BJ15*MACROMICROELEMENTOS!$D15*(1/MACROMICROELEMENTOS!$C15)*MACROMICROELEMENTOS!$E15))</f>
        <v/>
      </c>
      <c r="BL15" s="17" t="str">
        <f>IF(AND(MACROMICROELEMENTOS!$Y15="",MACROMICROELEMENTOS!$Z15="",MACROMICROELEMENTOS!$AA15="",MACROMICROELEMENTOS!$AB15=""),"",AVERAGE(MACROMICROELEMENTOS!$Y15,MACROMICROELEMENTOS!$Z15,MACROMICROELEMENTOS!$AA15,MACROMICROELEMENTOS!$AB15))</f>
        <v/>
      </c>
      <c r="BM15" s="23">
        <v>1</v>
      </c>
      <c r="BN15" s="31" t="str">
        <f>IF(OR(MACROMICROELEMENTOS!$A15="",MACROMICROELEMENTOS!$B15="",MACROMICROELEMENTOS!$C15="",MACROMICROELEMENTOS!$D15="",MACROMICROELEMENTOS!$E15="",MACROMICROELEMENTOS!$G15="",MACROMICROELEMENTOS!$BL15="",MACROMICROELEMENTOS!$BM15=""),"",((MACROMICROELEMENTOS!$G15-MACROMICROELEMENTOS!$BL15)*MACROMICROELEMENTOS!$BM15*MACROMICROELEMENTOS!$D15*(1/MACROMICROELEMENTOS!$C15)*MACROMICROELEMENTOS!$E15/1000))</f>
        <v/>
      </c>
      <c r="BO15" s="17" t="str">
        <f>IF(AND(MACROMICROELEMENTOS!$AC15="",MACROMICROELEMENTOS!$AD15="",MACROMICROELEMENTOS!$AE15="",MACROMICROELEMENTOS!$AF15=""),"",AVERAGE(MACROMICROELEMENTOS!$AC15,MACROMICROELEMENTOS!$AD15,MACROMICROELEMENTOS!$AE15,MACROMICROELEMENTOS!$AF15))</f>
        <v/>
      </c>
      <c r="BP15" s="23">
        <v>1</v>
      </c>
      <c r="BQ15" s="31" t="str">
        <f>IF(OR(MACROMICROELEMENTOS!$A15="",MACROMICROELEMENTOS!$B15="",MACROMICROELEMENTOS!$C15="",MACROMICROELEMENTOS!$D15="",MACROMICROELEMENTOS!$E15="",MACROMICROELEMENTOS!$H15="",MACROMICROELEMENTOS!$BO15="",MACROMICROELEMENTOS!$BP15=""),"",((MACROMICROELEMENTOS!$H15-MACROMICROELEMENTOS!$BO15)*MACROMICROELEMENTOS!$BP15*MACROMICROELEMENTOS!$D15*(1/MACROMICROELEMENTOS!$C15)*MACROMICROELEMENTOS!$E15))</f>
        <v/>
      </c>
      <c r="BR15" s="17" t="str">
        <f>IF(AND(MACROMICROELEMENTOS!$Q15="",MACROMICROELEMENTOS!$R15="",MACROMICROELEMENTOS!$S15="",MACROMICROELEMENTOS!$T15=""),"",AVERAGE(MACROMICROELEMENTOS!$Q15,MACROMICROELEMENTOS!$R15,MACROMICROELEMENTOS!$S15,MACROMICROELEMENTOS!$T15))</f>
        <v/>
      </c>
      <c r="BS15" s="23">
        <v>1</v>
      </c>
      <c r="BT15" s="31" t="str">
        <f>IF(OR(MACROMICROELEMENTOS!$A15="",MACROMICROELEMENTOS!$B15="",MACROMICROELEMENTOS!$C15="",MACROMICROELEMENTOS!$D15="",MACROMICROELEMENTOS!$E15="",MACROMICROELEMENTOS!$I15="",MACROMICROELEMENTOS!$BR15="",MACROMICROELEMENTOS!$BS15=""),"",((MACROMICROELEMENTOS!$I15-MACROMICROELEMENTOS!$BR15)*MACROMICROELEMENTOS!$BS15*MACROMICROELEMENTOS!$D15*(1/MACROMICROELEMENTOS!$C15)*MACROMICROELEMENTOS!$E15))</f>
        <v/>
      </c>
      <c r="BU15" s="17" t="str">
        <f>IF(AND(MACROMICROELEMENTOS!$AG15="",MACROMICROELEMENTOS!$AH15="",MACROMICROELEMENTOS!$AI15="",MACROMICROELEMENTOS!$AJ15=""),"",AVERAGE(MACROMICROELEMENTOS!$AG15,MACROMICROELEMENTOS!$AH15,MACROMICROELEMENTOS!$AI15,MACROMICROELEMENTOS!$AJ15))</f>
        <v/>
      </c>
      <c r="BV15" s="23">
        <v>1</v>
      </c>
      <c r="BW15" s="31" t="str">
        <f>IF(OR(MACROMICROELEMENTOS!$A15="",MACROMICROELEMENTOS!$B15="",MACROMICROELEMENTOS!$C15="",MACROMICROELEMENTOS!$D15="",MACROMICROELEMENTOS!$E15="",MACROMICROELEMENTOS!$J15="",MACROMICROELEMENTOS!$BU15="",MACROMICROELEMENTOS!$BV15=""),"",((MACROMICROELEMENTOS!$J15-MACROMICROELEMENTOS!$BU15)*MACROMICROELEMENTOS!$BV15*MACROMICROELEMENTOS!$D15*(1/MACROMICROELEMENTOS!$C15)*MACROMICROELEMENTOS!$E15))</f>
        <v/>
      </c>
      <c r="BX15" s="17" t="str">
        <f>IF(AND(MACROMICROELEMENTOS!$AK15="",MACROMICROELEMENTOS!$AL15="",MACROMICROELEMENTOS!$AM15="",MACROMICROELEMENTOS!$AN15=""),"",AVERAGE(MACROMICROELEMENTOS!$AK15,MACROMICROELEMENTOS!$AL15,MACROMICROELEMENTOS!$AM15,MACROMICROELEMENTOS!$AN15))</f>
        <v/>
      </c>
      <c r="BY15" s="23">
        <v>1</v>
      </c>
      <c r="BZ15" s="31" t="str">
        <f>IF(OR(MACROMICROELEMENTOS!$A15="",MACROMICROELEMENTOS!$B15="",MACROMICROELEMENTOS!$C15="",MACROMICROELEMENTOS!$D15="",MACROMICROELEMENTOS!$E15="",MACROMICROELEMENTOS!$K15="",MACROMICROELEMENTOS!$BX15="",MACROMICROELEMENTOS!$BY15=""),"",((MACROMICROELEMENTOS!$K15-MACROMICROELEMENTOS!$BX15)*MACROMICROELEMENTOS!$BY15*MACROMICROELEMENTOS!$D15*(1/MACROMICROELEMENTOS!$C15)*MACROMICROELEMENTOS!$E15))</f>
        <v/>
      </c>
      <c r="CA15" s="17" t="str">
        <f>IF(AND(MACROMICROELEMENTOS!$AO15="",MACROMICROELEMENTOS!$AP15="",MACROMICROELEMENTOS!$AQ15="",MACROMICROELEMENTOS!$AR15=""),"",AVERAGE(MACROMICROELEMENTOS!$AO15,MACROMICROELEMENTOS!$AP15,MACROMICROELEMENTOS!$AQ15,MACROMICROELEMENTOS!$AR15))</f>
        <v/>
      </c>
      <c r="CB15" s="23">
        <v>1</v>
      </c>
      <c r="CC15" s="31" t="str">
        <f>IF(OR(MACROMICROELEMENTOS!$A15="",MACROMICROELEMENTOS!$B15="",MACROMICROELEMENTOS!$C15="",MACROMICROELEMENTOS!$D15="",MACROMICROELEMENTOS!$E15="",MACROMICROELEMENTOS!$L15="",MACROMICROELEMENTOS!$CA15="",MACROMICROELEMENTOS!$CB15=""),"",((MACROMICROELEMENTOS!$L15-MACROMICROELEMENTOS!$CA15)*MACROMICROELEMENTOS!$CB15*MACROMICROELEMENTOS!$D15*(1/MACROMICROELEMENTOS!$C15)*MACROMICROELEMENTOS!$E15))</f>
        <v/>
      </c>
      <c r="CD15" s="17" t="str">
        <f>IF(AND(MACROMICROELEMENTOS!$AS15="",MACROMICROELEMENTOS!$AT15="",MACROMICROELEMENTOS!$AU15="",MACROMICROELEMENTOS!$AV15=""),"",AVERAGE(MACROMICROELEMENTOS!$AS15,MACROMICROELEMENTOS!$AT15,MACROMICROELEMENTOS!$AU15,MACROMICROELEMENTOS!$AV15))</f>
        <v/>
      </c>
      <c r="CE15" s="23">
        <v>1</v>
      </c>
      <c r="CF15" s="31" t="str">
        <f>IF(OR(MACROMICROELEMENTOS!$A15="",MACROMICROELEMENTOS!$B15="",MACROMICROELEMENTOS!$C15="",MACROMICROELEMENTOS!$D15="",MACROMICROELEMENTOS!$E15="",MACROMICROELEMENTOS!$M15="",MACROMICROELEMENTOS!$CD15="",MACROMICROELEMENTOS!$CE15=""),"",((MACROMICROELEMENTOS!$M15-MACROMICROELEMENTOS!$CD15)*MACROMICROELEMENTOS!$CE15*MACROMICROELEMENTOS!$D15*(1/MACROMICROELEMENTOS!$C15)*MACROMICROELEMENTOS!$E15))</f>
        <v/>
      </c>
      <c r="CG15" s="17" t="str">
        <f>IF(AND(MACROMICROELEMENTOS!$AW15="",MACROMICROELEMENTOS!$AX15="",MACROMICROELEMENTOS!$AY15="",MACROMICROELEMENTOS!$AZ15=""),"",AVERAGE(MACROMICROELEMENTOS!$AW15,MACROMICROELEMENTOS!$AX15,MACROMICROELEMENTOS!$AY15,MACROMICROELEMENTOS!$AZ15))</f>
        <v/>
      </c>
      <c r="CH15" s="23">
        <v>1</v>
      </c>
      <c r="CI15" s="31" t="str">
        <f>IF(OR(MACROMICROELEMENTOS!$A15="",MACROMICROELEMENTOS!$B15="",MACROMICROELEMENTOS!$C15="",MACROMICROELEMENTOS!$D15="",MACROMICROELEMENTOS!$E15="",MACROMICROELEMENTOS!$N15="",MACROMICROELEMENTOS!$CG15="",MACROMICROELEMENTOS!$CH15=""),"",((MACROMICROELEMENTOS!$N15-MACROMICROELEMENTOS!$CG15)*MACROMICROELEMENTOS!$CH15*MACROMICROELEMENTOS!$D15*(1/MACROMICROELEMENTOS!$C15)*MACROMICROELEMENTOS!$E15))</f>
        <v/>
      </c>
      <c r="CJ15" s="17" t="str">
        <f>IF(AND(MACROMICROELEMENTOS!$BA15="",MACROMICROELEMENTOS!$BB15="",MACROMICROELEMENTOS!$BC15="",MACROMICROELEMENTOS!$BD15=""),"",IF(O15&gt;2,0,AVERAGE(MACROMICROELEMENTOS!$BA15,MACROMICROELEMENTOS!$BB15,MACROMICROELEMENTOS!$BC15,MACROMICROELEMENTOS!$BD15)))</f>
        <v/>
      </c>
      <c r="CK15" s="23">
        <v>1</v>
      </c>
      <c r="CL15" s="31" t="str">
        <f>IF(OR(MACROMICROELEMENTOS!$A15="",MACROMICROELEMENTOS!$B15="",MACROMICROELEMENTOS!$C15="",MACROMICROELEMENTOS!$D15="",MACROMICROELEMENTOS!$E15="",MACROMICROELEMENTOS!$O15="",MACROMICROELEMENTOS!$CJ15="",MACROMICROELEMENTOS!$CK15=""),"",((MACROMICROELEMENTOS!$O15-MACROMICROELEMENTOS!$CJ15)*MACROMICROELEMENTOS!$CK15*MACROMICROELEMENTOS!$D15*(1/MACROMICROELEMENTOS!$C15)*MACROMICROELEMENTOS!$E15))</f>
        <v/>
      </c>
      <c r="CM15" s="17" t="str">
        <f>IF(AND(MACROMICROELEMENTOS!$BE15="",MACROMICROELEMENTOS!$BF15="",MACROMICROELEMENTOS!$BG15="",MACROMICROELEMENTOS!$BH15=""),"",AVERAGE(MACROMICROELEMENTOS!$BE15,MACROMICROELEMENTOS!$BF15,MACROMICROELEMENTOS!$BG15,MACROMICROELEMENTOS!$BH15))</f>
        <v/>
      </c>
      <c r="CN15" s="23">
        <v>1</v>
      </c>
      <c r="CO15" s="31" t="str">
        <f>IF(OR(MACROMICROELEMENTOS!$A15="",MACROMICROELEMENTOS!$B15="",MACROMICROELEMENTOS!$C15="",MACROMICROELEMENTOS!$D15="",MACROMICROELEMENTOS!$E15="",MACROMICROELEMENTOS!$P15="",MACROMICROELEMENTOS!$CM15="",MACROMICROELEMENTOS!$CN15=""),"",((MACROMICROELEMENTOS!$P15-MACROMICROELEMENTOS!$CM15)*MACROMICROELEMENTOS!$CN15*MACROMICROELEMENTOS!$D15*(1/MACROMICROELEMENTOS!$C15)*MACROMICROELEMENTOS!$E15))</f>
        <v/>
      </c>
    </row>
    <row r="16" spans="1:93" x14ac:dyDescent="0.3">
      <c r="A16" s="19" t="str">
        <f>IF(Pesada!A16="","",Pesada!A16)</f>
        <v/>
      </c>
      <c r="B16" s="16" t="str">
        <f>IF(Pesada!B16="","",Pesada!B16)</f>
        <v/>
      </c>
      <c r="C16" s="20" t="str">
        <f>IF(Pesada!C16="","",VALUE(Pesada!C16))</f>
        <v/>
      </c>
      <c r="D16" s="23">
        <v>100</v>
      </c>
      <c r="E16" s="30" t="str">
        <f>IF(METALESPESADOS!E16="","",METALESPESADOS!E16)</f>
        <v/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17" t="str">
        <f>IF(AND(MACROMICROELEMENTOS!$U16="",MACROMICROELEMENTOS!$V16="",MACROMICROELEMENTOS!$W16="",MACROMICROELEMENTOS!$X16=""),"",AVERAGE(MACROMICROELEMENTOS!$U16,MACROMICROELEMENTOS!$V16,MACROMICROELEMENTOS!$W16,MACROMICROELEMENTOS!$X16))</f>
        <v/>
      </c>
      <c r="BJ16" s="23">
        <v>1</v>
      </c>
      <c r="BK16" s="31" t="str">
        <f>IF(OR(MACROMICROELEMENTOS!$A16="",MACROMICROELEMENTOS!$B16="",MACROMICROELEMENTOS!$C16="",MACROMICROELEMENTOS!$D16="",MACROMICROELEMENTOS!$E16="",MACROMICROELEMENTOS!$F16="",MACROMICROELEMENTOS!$BI16="",MACROMICROELEMENTOS!$BJ16=""),"",((MACROMICROELEMENTOS!$F16-MACROMICROELEMENTOS!$BI16)*MACROMICROELEMENTOS!$BJ16*MACROMICROELEMENTOS!$D16*(1/MACROMICROELEMENTOS!$C16)*MACROMICROELEMENTOS!$E16))</f>
        <v/>
      </c>
      <c r="BL16" s="17" t="str">
        <f>IF(AND(MACROMICROELEMENTOS!$Y16="",MACROMICROELEMENTOS!$Z16="",MACROMICROELEMENTOS!$AA16="",MACROMICROELEMENTOS!$AB16=""),"",AVERAGE(MACROMICROELEMENTOS!$Y16,MACROMICROELEMENTOS!$Z16,MACROMICROELEMENTOS!$AA16,MACROMICROELEMENTOS!$AB16))</f>
        <v/>
      </c>
      <c r="BM16" s="23">
        <v>1</v>
      </c>
      <c r="BN16" s="31" t="str">
        <f>IF(OR(MACROMICROELEMENTOS!$A16="",MACROMICROELEMENTOS!$B16="",MACROMICROELEMENTOS!$C16="",MACROMICROELEMENTOS!$D16="",MACROMICROELEMENTOS!$E16="",MACROMICROELEMENTOS!$G16="",MACROMICROELEMENTOS!$BL16="",MACROMICROELEMENTOS!$BM16=""),"",((MACROMICROELEMENTOS!$G16-MACROMICROELEMENTOS!$BL16)*MACROMICROELEMENTOS!$BM16*MACROMICROELEMENTOS!$D16*(1/MACROMICROELEMENTOS!$C16)*MACROMICROELEMENTOS!$E16/1000))</f>
        <v/>
      </c>
      <c r="BO16" s="17" t="str">
        <f>IF(AND(MACROMICROELEMENTOS!$AC16="",MACROMICROELEMENTOS!$AD16="",MACROMICROELEMENTOS!$AE16="",MACROMICROELEMENTOS!$AF16=""),"",AVERAGE(MACROMICROELEMENTOS!$AC16,MACROMICROELEMENTOS!$AD16,MACROMICROELEMENTOS!$AE16,MACROMICROELEMENTOS!$AF16))</f>
        <v/>
      </c>
      <c r="BP16" s="23">
        <v>1</v>
      </c>
      <c r="BQ16" s="31" t="str">
        <f>IF(OR(MACROMICROELEMENTOS!$A16="",MACROMICROELEMENTOS!$B16="",MACROMICROELEMENTOS!$C16="",MACROMICROELEMENTOS!$D16="",MACROMICROELEMENTOS!$E16="",MACROMICROELEMENTOS!$H16="",MACROMICROELEMENTOS!$BO16="",MACROMICROELEMENTOS!$BP16=""),"",((MACROMICROELEMENTOS!$H16-MACROMICROELEMENTOS!$BO16)*MACROMICROELEMENTOS!$BP16*MACROMICROELEMENTOS!$D16*(1/MACROMICROELEMENTOS!$C16)*MACROMICROELEMENTOS!$E16))</f>
        <v/>
      </c>
      <c r="BR16" s="17" t="str">
        <f>IF(AND(MACROMICROELEMENTOS!$Q16="",MACROMICROELEMENTOS!$R16="",MACROMICROELEMENTOS!$S16="",MACROMICROELEMENTOS!$T16=""),"",AVERAGE(MACROMICROELEMENTOS!$Q16,MACROMICROELEMENTOS!$R16,MACROMICROELEMENTOS!$S16,MACROMICROELEMENTOS!$T16))</f>
        <v/>
      </c>
      <c r="BS16" s="23">
        <v>1</v>
      </c>
      <c r="BT16" s="31" t="str">
        <f>IF(OR(MACROMICROELEMENTOS!$A16="",MACROMICROELEMENTOS!$B16="",MACROMICROELEMENTOS!$C16="",MACROMICROELEMENTOS!$D16="",MACROMICROELEMENTOS!$E16="",MACROMICROELEMENTOS!$I16="",MACROMICROELEMENTOS!$BR16="",MACROMICROELEMENTOS!$BS16=""),"",((MACROMICROELEMENTOS!$I16-MACROMICROELEMENTOS!$BR16)*MACROMICROELEMENTOS!$BS16*MACROMICROELEMENTOS!$D16*(1/MACROMICROELEMENTOS!$C16)*MACROMICROELEMENTOS!$E16))</f>
        <v/>
      </c>
      <c r="BU16" s="17" t="str">
        <f>IF(AND(MACROMICROELEMENTOS!$AG16="",MACROMICROELEMENTOS!$AH16="",MACROMICROELEMENTOS!$AI16="",MACROMICROELEMENTOS!$AJ16=""),"",AVERAGE(MACROMICROELEMENTOS!$AG16,MACROMICROELEMENTOS!$AH16,MACROMICROELEMENTOS!$AI16,MACROMICROELEMENTOS!$AJ16))</f>
        <v/>
      </c>
      <c r="BV16" s="23">
        <v>1</v>
      </c>
      <c r="BW16" s="31" t="str">
        <f>IF(OR(MACROMICROELEMENTOS!$A16="",MACROMICROELEMENTOS!$B16="",MACROMICROELEMENTOS!$C16="",MACROMICROELEMENTOS!$D16="",MACROMICROELEMENTOS!$E16="",MACROMICROELEMENTOS!$J16="",MACROMICROELEMENTOS!$BU16="",MACROMICROELEMENTOS!$BV16=""),"",((MACROMICROELEMENTOS!$J16-MACROMICROELEMENTOS!$BU16)*MACROMICROELEMENTOS!$BV16*MACROMICROELEMENTOS!$D16*(1/MACROMICROELEMENTOS!$C16)*MACROMICROELEMENTOS!$E16))</f>
        <v/>
      </c>
      <c r="BX16" s="17" t="str">
        <f>IF(AND(MACROMICROELEMENTOS!$AK16="",MACROMICROELEMENTOS!$AL16="",MACROMICROELEMENTOS!$AM16="",MACROMICROELEMENTOS!$AN16=""),"",AVERAGE(MACROMICROELEMENTOS!$AK16,MACROMICROELEMENTOS!$AL16,MACROMICROELEMENTOS!$AM16,MACROMICROELEMENTOS!$AN16))</f>
        <v/>
      </c>
      <c r="BY16" s="23">
        <v>1</v>
      </c>
      <c r="BZ16" s="31" t="str">
        <f>IF(OR(MACROMICROELEMENTOS!$A16="",MACROMICROELEMENTOS!$B16="",MACROMICROELEMENTOS!$C16="",MACROMICROELEMENTOS!$D16="",MACROMICROELEMENTOS!$E16="",MACROMICROELEMENTOS!$K16="",MACROMICROELEMENTOS!$BX16="",MACROMICROELEMENTOS!$BY16=""),"",((MACROMICROELEMENTOS!$K16-MACROMICROELEMENTOS!$BX16)*MACROMICROELEMENTOS!$BY16*MACROMICROELEMENTOS!$D16*(1/MACROMICROELEMENTOS!$C16)*MACROMICROELEMENTOS!$E16))</f>
        <v/>
      </c>
      <c r="CA16" s="17" t="str">
        <f>IF(AND(MACROMICROELEMENTOS!$AO16="",MACROMICROELEMENTOS!$AP16="",MACROMICROELEMENTOS!$AQ16="",MACROMICROELEMENTOS!$AR16=""),"",AVERAGE(MACROMICROELEMENTOS!$AO16,MACROMICROELEMENTOS!$AP16,MACROMICROELEMENTOS!$AQ16,MACROMICROELEMENTOS!$AR16))</f>
        <v/>
      </c>
      <c r="CB16" s="23">
        <v>1</v>
      </c>
      <c r="CC16" s="31" t="str">
        <f>IF(OR(MACROMICROELEMENTOS!$A16="",MACROMICROELEMENTOS!$B16="",MACROMICROELEMENTOS!$C16="",MACROMICROELEMENTOS!$D16="",MACROMICROELEMENTOS!$E16="",MACROMICROELEMENTOS!$L16="",MACROMICROELEMENTOS!$CA16="",MACROMICROELEMENTOS!$CB16=""),"",((MACROMICROELEMENTOS!$L16-MACROMICROELEMENTOS!$CA16)*MACROMICROELEMENTOS!$CB16*MACROMICROELEMENTOS!$D16*(1/MACROMICROELEMENTOS!$C16)*MACROMICROELEMENTOS!$E16))</f>
        <v/>
      </c>
      <c r="CD16" s="17" t="str">
        <f>IF(AND(MACROMICROELEMENTOS!$AS16="",MACROMICROELEMENTOS!$AT16="",MACROMICROELEMENTOS!$AU16="",MACROMICROELEMENTOS!$AV16=""),"",AVERAGE(MACROMICROELEMENTOS!$AS16,MACROMICROELEMENTOS!$AT16,MACROMICROELEMENTOS!$AU16,MACROMICROELEMENTOS!$AV16))</f>
        <v/>
      </c>
      <c r="CE16" s="23">
        <v>1</v>
      </c>
      <c r="CF16" s="31" t="str">
        <f>IF(OR(MACROMICROELEMENTOS!$A16="",MACROMICROELEMENTOS!$B16="",MACROMICROELEMENTOS!$C16="",MACROMICROELEMENTOS!$D16="",MACROMICROELEMENTOS!$E16="",MACROMICROELEMENTOS!$M16="",MACROMICROELEMENTOS!$CD16="",MACROMICROELEMENTOS!$CE16=""),"",((MACROMICROELEMENTOS!$M16-MACROMICROELEMENTOS!$CD16)*MACROMICROELEMENTOS!$CE16*MACROMICROELEMENTOS!$D16*(1/MACROMICROELEMENTOS!$C16)*MACROMICROELEMENTOS!$E16))</f>
        <v/>
      </c>
      <c r="CG16" s="17" t="str">
        <f>IF(AND(MACROMICROELEMENTOS!$AW16="",MACROMICROELEMENTOS!$AX16="",MACROMICROELEMENTOS!$AY16="",MACROMICROELEMENTOS!$AZ16=""),"",AVERAGE(MACROMICROELEMENTOS!$AW16,MACROMICROELEMENTOS!$AX16,MACROMICROELEMENTOS!$AY16,MACROMICROELEMENTOS!$AZ16))</f>
        <v/>
      </c>
      <c r="CH16" s="23">
        <v>1</v>
      </c>
      <c r="CI16" s="31" t="str">
        <f>IF(OR(MACROMICROELEMENTOS!$A16="",MACROMICROELEMENTOS!$B16="",MACROMICROELEMENTOS!$C16="",MACROMICROELEMENTOS!$D16="",MACROMICROELEMENTOS!$E16="",MACROMICROELEMENTOS!$N16="",MACROMICROELEMENTOS!$CG16="",MACROMICROELEMENTOS!$CH16=""),"",((MACROMICROELEMENTOS!$N16-MACROMICROELEMENTOS!$CG16)*MACROMICROELEMENTOS!$CH16*MACROMICROELEMENTOS!$D16*(1/MACROMICROELEMENTOS!$C16)*MACROMICROELEMENTOS!$E16))</f>
        <v/>
      </c>
      <c r="CJ16" s="17" t="str">
        <f>IF(AND(MACROMICROELEMENTOS!$BA16="",MACROMICROELEMENTOS!$BB16="",MACROMICROELEMENTOS!$BC16="",MACROMICROELEMENTOS!$BD16=""),"",IF(O16&gt;2,0,AVERAGE(MACROMICROELEMENTOS!$BA16,MACROMICROELEMENTOS!$BB16,MACROMICROELEMENTOS!$BC16,MACROMICROELEMENTOS!$BD16)))</f>
        <v/>
      </c>
      <c r="CK16" s="23">
        <v>1</v>
      </c>
      <c r="CL16" s="31" t="str">
        <f>IF(OR(MACROMICROELEMENTOS!$A16="",MACROMICROELEMENTOS!$B16="",MACROMICROELEMENTOS!$C16="",MACROMICROELEMENTOS!$D16="",MACROMICROELEMENTOS!$E16="",MACROMICROELEMENTOS!$O16="",MACROMICROELEMENTOS!$CJ16="",MACROMICROELEMENTOS!$CK16=""),"",((MACROMICROELEMENTOS!$O16-MACROMICROELEMENTOS!$CJ16)*MACROMICROELEMENTOS!$CK16*MACROMICROELEMENTOS!$D16*(1/MACROMICROELEMENTOS!$C16)*MACROMICROELEMENTOS!$E16))</f>
        <v/>
      </c>
      <c r="CM16" s="17" t="str">
        <f>IF(AND(MACROMICROELEMENTOS!$BE16="",MACROMICROELEMENTOS!$BF16="",MACROMICROELEMENTOS!$BG16="",MACROMICROELEMENTOS!$BH16=""),"",AVERAGE(MACROMICROELEMENTOS!$BE16,MACROMICROELEMENTOS!$BF16,MACROMICROELEMENTOS!$BG16,MACROMICROELEMENTOS!$BH16))</f>
        <v/>
      </c>
      <c r="CN16" s="23">
        <v>1</v>
      </c>
      <c r="CO16" s="31" t="str">
        <f>IF(OR(MACROMICROELEMENTOS!$A16="",MACROMICROELEMENTOS!$B16="",MACROMICROELEMENTOS!$C16="",MACROMICROELEMENTOS!$D16="",MACROMICROELEMENTOS!$E16="",MACROMICROELEMENTOS!$P16="",MACROMICROELEMENTOS!$CM16="",MACROMICROELEMENTOS!$CN16=""),"",((MACROMICROELEMENTOS!$P16-MACROMICROELEMENTOS!$CM16)*MACROMICROELEMENTOS!$CN16*MACROMICROELEMENTOS!$D16*(1/MACROMICROELEMENTOS!$C16)*MACROMICROELEMENTOS!$E16))</f>
        <v/>
      </c>
    </row>
    <row r="17" spans="1:93" x14ac:dyDescent="0.3">
      <c r="A17" s="19" t="str">
        <f>IF(Pesada!A17="","",Pesada!A17)</f>
        <v/>
      </c>
      <c r="B17" s="16" t="str">
        <f>IF(Pesada!B17="","",Pesada!B17)</f>
        <v/>
      </c>
      <c r="C17" s="20" t="str">
        <f>IF(Pesada!C17="","",VALUE(Pesada!C17))</f>
        <v/>
      </c>
      <c r="D17" s="23">
        <v>100</v>
      </c>
      <c r="E17" s="30" t="str">
        <f>IF(METALESPESADOS!E17="","",METALESPESADOS!E17)</f>
        <v/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17" t="str">
        <f>IF(AND(MACROMICROELEMENTOS!$U17="",MACROMICROELEMENTOS!$V17="",MACROMICROELEMENTOS!$W17="",MACROMICROELEMENTOS!$X17=""),"",AVERAGE(MACROMICROELEMENTOS!$U17,MACROMICROELEMENTOS!$V17,MACROMICROELEMENTOS!$W17,MACROMICROELEMENTOS!$X17))</f>
        <v/>
      </c>
      <c r="BJ17" s="23">
        <v>1</v>
      </c>
      <c r="BK17" s="31" t="str">
        <f>IF(OR(MACROMICROELEMENTOS!$A17="",MACROMICROELEMENTOS!$B17="",MACROMICROELEMENTOS!$C17="",MACROMICROELEMENTOS!$D17="",MACROMICROELEMENTOS!$E17="",MACROMICROELEMENTOS!$F17="",MACROMICROELEMENTOS!$BI17="",MACROMICROELEMENTOS!$BJ17=""),"",((MACROMICROELEMENTOS!$F17-MACROMICROELEMENTOS!$BI17)*MACROMICROELEMENTOS!$BJ17*MACROMICROELEMENTOS!$D17*(1/MACROMICROELEMENTOS!$C17)*MACROMICROELEMENTOS!$E17))</f>
        <v/>
      </c>
      <c r="BL17" s="17" t="str">
        <f>IF(AND(MACROMICROELEMENTOS!$Y17="",MACROMICROELEMENTOS!$Z17="",MACROMICROELEMENTOS!$AA17="",MACROMICROELEMENTOS!$AB17=""),"",AVERAGE(MACROMICROELEMENTOS!$Y17,MACROMICROELEMENTOS!$Z17,MACROMICROELEMENTOS!$AA17,MACROMICROELEMENTOS!$AB17))</f>
        <v/>
      </c>
      <c r="BM17" s="23">
        <v>1</v>
      </c>
      <c r="BN17" s="31" t="str">
        <f>IF(OR(MACROMICROELEMENTOS!$A17="",MACROMICROELEMENTOS!$B17="",MACROMICROELEMENTOS!$C17="",MACROMICROELEMENTOS!$D17="",MACROMICROELEMENTOS!$E17="",MACROMICROELEMENTOS!$G17="",MACROMICROELEMENTOS!$BL17="",MACROMICROELEMENTOS!$BM17=""),"",((MACROMICROELEMENTOS!$G17-MACROMICROELEMENTOS!$BL17)*MACROMICROELEMENTOS!$BM17*MACROMICROELEMENTOS!$D17*(1/MACROMICROELEMENTOS!$C17)*MACROMICROELEMENTOS!$E17/1000))</f>
        <v/>
      </c>
      <c r="BO17" s="17" t="str">
        <f>IF(AND(MACROMICROELEMENTOS!$AC17="",MACROMICROELEMENTOS!$AD17="",MACROMICROELEMENTOS!$AE17="",MACROMICROELEMENTOS!$AF17=""),"",AVERAGE(MACROMICROELEMENTOS!$AC17,MACROMICROELEMENTOS!$AD17,MACROMICROELEMENTOS!$AE17,MACROMICROELEMENTOS!$AF17))</f>
        <v/>
      </c>
      <c r="BP17" s="23">
        <v>1</v>
      </c>
      <c r="BQ17" s="31" t="str">
        <f>IF(OR(MACROMICROELEMENTOS!$A17="",MACROMICROELEMENTOS!$B17="",MACROMICROELEMENTOS!$C17="",MACROMICROELEMENTOS!$D17="",MACROMICROELEMENTOS!$E17="",MACROMICROELEMENTOS!$H17="",MACROMICROELEMENTOS!$BO17="",MACROMICROELEMENTOS!$BP17=""),"",((MACROMICROELEMENTOS!$H17-MACROMICROELEMENTOS!$BO17)*MACROMICROELEMENTOS!$BP17*MACROMICROELEMENTOS!$D17*(1/MACROMICROELEMENTOS!$C17)*MACROMICROELEMENTOS!$E17))</f>
        <v/>
      </c>
      <c r="BR17" s="17" t="str">
        <f>IF(AND(MACROMICROELEMENTOS!$Q17="",MACROMICROELEMENTOS!$R17="",MACROMICROELEMENTOS!$S17="",MACROMICROELEMENTOS!$T17=""),"",AVERAGE(MACROMICROELEMENTOS!$Q17,MACROMICROELEMENTOS!$R17,MACROMICROELEMENTOS!$S17,MACROMICROELEMENTOS!$T17))</f>
        <v/>
      </c>
      <c r="BS17" s="23">
        <v>1</v>
      </c>
      <c r="BT17" s="31" t="str">
        <f>IF(OR(MACROMICROELEMENTOS!$A17="",MACROMICROELEMENTOS!$B17="",MACROMICROELEMENTOS!$C17="",MACROMICROELEMENTOS!$D17="",MACROMICROELEMENTOS!$E17="",MACROMICROELEMENTOS!$I17="",MACROMICROELEMENTOS!$BR17="",MACROMICROELEMENTOS!$BS17=""),"",((MACROMICROELEMENTOS!$I17-MACROMICROELEMENTOS!$BR17)*MACROMICROELEMENTOS!$BS17*MACROMICROELEMENTOS!$D17*(1/MACROMICROELEMENTOS!$C17)*MACROMICROELEMENTOS!$E17))</f>
        <v/>
      </c>
      <c r="BU17" s="17" t="str">
        <f>IF(AND(MACROMICROELEMENTOS!$AG17="",MACROMICROELEMENTOS!$AH17="",MACROMICROELEMENTOS!$AI17="",MACROMICROELEMENTOS!$AJ17=""),"",AVERAGE(MACROMICROELEMENTOS!$AG17,MACROMICROELEMENTOS!$AH17,MACROMICROELEMENTOS!$AI17,MACROMICROELEMENTOS!$AJ17))</f>
        <v/>
      </c>
      <c r="BV17" s="23">
        <v>1</v>
      </c>
      <c r="BW17" s="31" t="str">
        <f>IF(OR(MACROMICROELEMENTOS!$A17="",MACROMICROELEMENTOS!$B17="",MACROMICROELEMENTOS!$C17="",MACROMICROELEMENTOS!$D17="",MACROMICROELEMENTOS!$E17="",MACROMICROELEMENTOS!$J17="",MACROMICROELEMENTOS!$BU17="",MACROMICROELEMENTOS!$BV17=""),"",((MACROMICROELEMENTOS!$J17-MACROMICROELEMENTOS!$BU17)*MACROMICROELEMENTOS!$BV17*MACROMICROELEMENTOS!$D17*(1/MACROMICROELEMENTOS!$C17)*MACROMICROELEMENTOS!$E17))</f>
        <v/>
      </c>
      <c r="BX17" s="17" t="str">
        <f>IF(AND(MACROMICROELEMENTOS!$AK17="",MACROMICROELEMENTOS!$AL17="",MACROMICROELEMENTOS!$AM17="",MACROMICROELEMENTOS!$AN17=""),"",AVERAGE(MACROMICROELEMENTOS!$AK17,MACROMICROELEMENTOS!$AL17,MACROMICROELEMENTOS!$AM17,MACROMICROELEMENTOS!$AN17))</f>
        <v/>
      </c>
      <c r="BY17" s="23">
        <v>1</v>
      </c>
      <c r="BZ17" s="31" t="str">
        <f>IF(OR(MACROMICROELEMENTOS!$A17="",MACROMICROELEMENTOS!$B17="",MACROMICROELEMENTOS!$C17="",MACROMICROELEMENTOS!$D17="",MACROMICROELEMENTOS!$E17="",MACROMICROELEMENTOS!$K17="",MACROMICROELEMENTOS!$BX17="",MACROMICROELEMENTOS!$BY17=""),"",((MACROMICROELEMENTOS!$K17-MACROMICROELEMENTOS!$BX17)*MACROMICROELEMENTOS!$BY17*MACROMICROELEMENTOS!$D17*(1/MACROMICROELEMENTOS!$C17)*MACROMICROELEMENTOS!$E17))</f>
        <v/>
      </c>
      <c r="CA17" s="17" t="str">
        <f>IF(AND(MACROMICROELEMENTOS!$AO17="",MACROMICROELEMENTOS!$AP17="",MACROMICROELEMENTOS!$AQ17="",MACROMICROELEMENTOS!$AR17=""),"",AVERAGE(MACROMICROELEMENTOS!$AO17,MACROMICROELEMENTOS!$AP17,MACROMICROELEMENTOS!$AQ17,MACROMICROELEMENTOS!$AR17))</f>
        <v/>
      </c>
      <c r="CB17" s="23">
        <v>1</v>
      </c>
      <c r="CC17" s="31" t="str">
        <f>IF(OR(MACROMICROELEMENTOS!$A17="",MACROMICROELEMENTOS!$B17="",MACROMICROELEMENTOS!$C17="",MACROMICROELEMENTOS!$D17="",MACROMICROELEMENTOS!$E17="",MACROMICROELEMENTOS!$L17="",MACROMICROELEMENTOS!$CA17="",MACROMICROELEMENTOS!$CB17=""),"",((MACROMICROELEMENTOS!$L17-MACROMICROELEMENTOS!$CA17)*MACROMICROELEMENTOS!$CB17*MACROMICROELEMENTOS!$D17*(1/MACROMICROELEMENTOS!$C17)*MACROMICROELEMENTOS!$E17))</f>
        <v/>
      </c>
      <c r="CD17" s="17" t="str">
        <f>IF(AND(MACROMICROELEMENTOS!$AS17="",MACROMICROELEMENTOS!$AT17="",MACROMICROELEMENTOS!$AU17="",MACROMICROELEMENTOS!$AV17=""),"",AVERAGE(MACROMICROELEMENTOS!$AS17,MACROMICROELEMENTOS!$AT17,MACROMICROELEMENTOS!$AU17,MACROMICROELEMENTOS!$AV17))</f>
        <v/>
      </c>
      <c r="CE17" s="23">
        <v>1</v>
      </c>
      <c r="CF17" s="31" t="str">
        <f>IF(OR(MACROMICROELEMENTOS!$A17="",MACROMICROELEMENTOS!$B17="",MACROMICROELEMENTOS!$C17="",MACROMICROELEMENTOS!$D17="",MACROMICROELEMENTOS!$E17="",MACROMICROELEMENTOS!$M17="",MACROMICROELEMENTOS!$CD17="",MACROMICROELEMENTOS!$CE17=""),"",((MACROMICROELEMENTOS!$M17-MACROMICROELEMENTOS!$CD17)*MACROMICROELEMENTOS!$CE17*MACROMICROELEMENTOS!$D17*(1/MACROMICROELEMENTOS!$C17)*MACROMICROELEMENTOS!$E17))</f>
        <v/>
      </c>
      <c r="CG17" s="17" t="str">
        <f>IF(AND(MACROMICROELEMENTOS!$AW17="",MACROMICROELEMENTOS!$AX17="",MACROMICROELEMENTOS!$AY17="",MACROMICROELEMENTOS!$AZ17=""),"",AVERAGE(MACROMICROELEMENTOS!$AW17,MACROMICROELEMENTOS!$AX17,MACROMICROELEMENTOS!$AY17,MACROMICROELEMENTOS!$AZ17))</f>
        <v/>
      </c>
      <c r="CH17" s="23">
        <v>1</v>
      </c>
      <c r="CI17" s="31" t="str">
        <f>IF(OR(MACROMICROELEMENTOS!$A17="",MACROMICROELEMENTOS!$B17="",MACROMICROELEMENTOS!$C17="",MACROMICROELEMENTOS!$D17="",MACROMICROELEMENTOS!$E17="",MACROMICROELEMENTOS!$N17="",MACROMICROELEMENTOS!$CG17="",MACROMICROELEMENTOS!$CH17=""),"",((MACROMICROELEMENTOS!$N17-MACROMICROELEMENTOS!$CG17)*MACROMICROELEMENTOS!$CH17*MACROMICROELEMENTOS!$D17*(1/MACROMICROELEMENTOS!$C17)*MACROMICROELEMENTOS!$E17))</f>
        <v/>
      </c>
      <c r="CJ17" s="17" t="str">
        <f>IF(AND(MACROMICROELEMENTOS!$BA17="",MACROMICROELEMENTOS!$BB17="",MACROMICROELEMENTOS!$BC17="",MACROMICROELEMENTOS!$BD17=""),"",IF(O17&gt;2,0,AVERAGE(MACROMICROELEMENTOS!$BA17,MACROMICROELEMENTOS!$BB17,MACROMICROELEMENTOS!$BC17,MACROMICROELEMENTOS!$BD17)))</f>
        <v/>
      </c>
      <c r="CK17" s="23">
        <v>1</v>
      </c>
      <c r="CL17" s="31" t="str">
        <f>IF(OR(MACROMICROELEMENTOS!$A17="",MACROMICROELEMENTOS!$B17="",MACROMICROELEMENTOS!$C17="",MACROMICROELEMENTOS!$D17="",MACROMICROELEMENTOS!$E17="",MACROMICROELEMENTOS!$O17="",MACROMICROELEMENTOS!$CJ17="",MACROMICROELEMENTOS!$CK17=""),"",((MACROMICROELEMENTOS!$O17-MACROMICROELEMENTOS!$CJ17)*MACROMICROELEMENTOS!$CK17*MACROMICROELEMENTOS!$D17*(1/MACROMICROELEMENTOS!$C17)*MACROMICROELEMENTOS!$E17))</f>
        <v/>
      </c>
      <c r="CM17" s="17" t="str">
        <f>IF(AND(MACROMICROELEMENTOS!$BE17="",MACROMICROELEMENTOS!$BF17="",MACROMICROELEMENTOS!$BG17="",MACROMICROELEMENTOS!$BH17=""),"",AVERAGE(MACROMICROELEMENTOS!$BE17,MACROMICROELEMENTOS!$BF17,MACROMICROELEMENTOS!$BG17,MACROMICROELEMENTOS!$BH17))</f>
        <v/>
      </c>
      <c r="CN17" s="23">
        <v>1</v>
      </c>
      <c r="CO17" s="31" t="str">
        <f>IF(OR(MACROMICROELEMENTOS!$A17="",MACROMICROELEMENTOS!$B17="",MACROMICROELEMENTOS!$C17="",MACROMICROELEMENTOS!$D17="",MACROMICROELEMENTOS!$E17="",MACROMICROELEMENTOS!$P17="",MACROMICROELEMENTOS!$CM17="",MACROMICROELEMENTOS!$CN17=""),"",((MACROMICROELEMENTOS!$P17-MACROMICROELEMENTOS!$CM17)*MACROMICROELEMENTOS!$CN17*MACROMICROELEMENTOS!$D17*(1/MACROMICROELEMENTOS!$C17)*MACROMICROELEMENTOS!$E17))</f>
        <v/>
      </c>
    </row>
    <row r="18" spans="1:93" x14ac:dyDescent="0.3">
      <c r="A18" s="19" t="str">
        <f>IF(Pesada!A18="","",Pesada!A18)</f>
        <v/>
      </c>
      <c r="B18" s="16" t="str">
        <f>IF(Pesada!B18="","",Pesada!B18)</f>
        <v/>
      </c>
      <c r="C18" s="20" t="str">
        <f>IF(Pesada!C18="","",VALUE(Pesada!C18))</f>
        <v/>
      </c>
      <c r="D18" s="23">
        <v>100</v>
      </c>
      <c r="E18" s="30" t="str">
        <f>IF(METALESPESADOS!E18="","",METALESPESADOS!E18)</f>
        <v/>
      </c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17" t="str">
        <f>IF(AND(MACROMICROELEMENTOS!$U18="",MACROMICROELEMENTOS!$V18="",MACROMICROELEMENTOS!$W18="",MACROMICROELEMENTOS!$X18=""),"",AVERAGE(MACROMICROELEMENTOS!$U18,MACROMICROELEMENTOS!$V18,MACROMICROELEMENTOS!$W18,MACROMICROELEMENTOS!$X18))</f>
        <v/>
      </c>
      <c r="BJ18" s="23">
        <v>1</v>
      </c>
      <c r="BK18" s="31" t="str">
        <f>IF(OR(MACROMICROELEMENTOS!$A18="",MACROMICROELEMENTOS!$B18="",MACROMICROELEMENTOS!$C18="",MACROMICROELEMENTOS!$D18="",MACROMICROELEMENTOS!$E18="",MACROMICROELEMENTOS!$F18="",MACROMICROELEMENTOS!$BI18="",MACROMICROELEMENTOS!$BJ18=""),"",((MACROMICROELEMENTOS!$F18-MACROMICROELEMENTOS!$BI18)*MACROMICROELEMENTOS!$BJ18*MACROMICROELEMENTOS!$D18*(1/MACROMICROELEMENTOS!$C18)*MACROMICROELEMENTOS!$E18))</f>
        <v/>
      </c>
      <c r="BL18" s="17" t="str">
        <f>IF(AND(MACROMICROELEMENTOS!$Y18="",MACROMICROELEMENTOS!$Z18="",MACROMICROELEMENTOS!$AA18="",MACROMICROELEMENTOS!$AB18=""),"",AVERAGE(MACROMICROELEMENTOS!$Y18,MACROMICROELEMENTOS!$Z18,MACROMICROELEMENTOS!$AA18,MACROMICROELEMENTOS!$AB18))</f>
        <v/>
      </c>
      <c r="BM18" s="23">
        <v>1</v>
      </c>
      <c r="BN18" s="31" t="str">
        <f>IF(OR(MACROMICROELEMENTOS!$A18="",MACROMICROELEMENTOS!$B18="",MACROMICROELEMENTOS!$C18="",MACROMICROELEMENTOS!$D18="",MACROMICROELEMENTOS!$E18="",MACROMICROELEMENTOS!$G18="",MACROMICROELEMENTOS!$BL18="",MACROMICROELEMENTOS!$BM18=""),"",((MACROMICROELEMENTOS!$G18-MACROMICROELEMENTOS!$BL18)*MACROMICROELEMENTOS!$BM18*MACROMICROELEMENTOS!$D18*(1/MACROMICROELEMENTOS!$C18)*MACROMICROELEMENTOS!$E18/1000))</f>
        <v/>
      </c>
      <c r="BO18" s="17" t="str">
        <f>IF(AND(MACROMICROELEMENTOS!$AC18="",MACROMICROELEMENTOS!$AD18="",MACROMICROELEMENTOS!$AE18="",MACROMICROELEMENTOS!$AF18=""),"",AVERAGE(MACROMICROELEMENTOS!$AC18,MACROMICROELEMENTOS!$AD18,MACROMICROELEMENTOS!$AE18,MACROMICROELEMENTOS!$AF18))</f>
        <v/>
      </c>
      <c r="BP18" s="23">
        <v>1</v>
      </c>
      <c r="BQ18" s="31" t="str">
        <f>IF(OR(MACROMICROELEMENTOS!$A18="",MACROMICROELEMENTOS!$B18="",MACROMICROELEMENTOS!$C18="",MACROMICROELEMENTOS!$D18="",MACROMICROELEMENTOS!$E18="",MACROMICROELEMENTOS!$H18="",MACROMICROELEMENTOS!$BO18="",MACROMICROELEMENTOS!$BP18=""),"",((MACROMICROELEMENTOS!$H18-MACROMICROELEMENTOS!$BO18)*MACROMICROELEMENTOS!$BP18*MACROMICROELEMENTOS!$D18*(1/MACROMICROELEMENTOS!$C18)*MACROMICROELEMENTOS!$E18))</f>
        <v/>
      </c>
      <c r="BR18" s="17" t="str">
        <f>IF(AND(MACROMICROELEMENTOS!$Q18="",MACROMICROELEMENTOS!$R18="",MACROMICROELEMENTOS!$S18="",MACROMICROELEMENTOS!$T18=""),"",AVERAGE(MACROMICROELEMENTOS!$Q18,MACROMICROELEMENTOS!$R18,MACROMICROELEMENTOS!$S18,MACROMICROELEMENTOS!$T18))</f>
        <v/>
      </c>
      <c r="BS18" s="23">
        <v>1</v>
      </c>
      <c r="BT18" s="31" t="str">
        <f>IF(OR(MACROMICROELEMENTOS!$A18="",MACROMICROELEMENTOS!$B18="",MACROMICROELEMENTOS!$C18="",MACROMICROELEMENTOS!$D18="",MACROMICROELEMENTOS!$E18="",MACROMICROELEMENTOS!$I18="",MACROMICROELEMENTOS!$BR18="",MACROMICROELEMENTOS!$BS18=""),"",((MACROMICROELEMENTOS!$I18-MACROMICROELEMENTOS!$BR18)*MACROMICROELEMENTOS!$BS18*MACROMICROELEMENTOS!$D18*(1/MACROMICROELEMENTOS!$C18)*MACROMICROELEMENTOS!$E18))</f>
        <v/>
      </c>
      <c r="BU18" s="17" t="str">
        <f>IF(AND(MACROMICROELEMENTOS!$AG18="",MACROMICROELEMENTOS!$AH18="",MACROMICROELEMENTOS!$AI18="",MACROMICROELEMENTOS!$AJ18=""),"",AVERAGE(MACROMICROELEMENTOS!$AG18,MACROMICROELEMENTOS!$AH18,MACROMICROELEMENTOS!$AI18,MACROMICROELEMENTOS!$AJ18))</f>
        <v/>
      </c>
      <c r="BV18" s="23">
        <v>1</v>
      </c>
      <c r="BW18" s="31" t="str">
        <f>IF(OR(MACROMICROELEMENTOS!$A18="",MACROMICROELEMENTOS!$B18="",MACROMICROELEMENTOS!$C18="",MACROMICROELEMENTOS!$D18="",MACROMICROELEMENTOS!$E18="",MACROMICROELEMENTOS!$J18="",MACROMICROELEMENTOS!$BU18="",MACROMICROELEMENTOS!$BV18=""),"",((MACROMICROELEMENTOS!$J18-MACROMICROELEMENTOS!$BU18)*MACROMICROELEMENTOS!$BV18*MACROMICROELEMENTOS!$D18*(1/MACROMICROELEMENTOS!$C18)*MACROMICROELEMENTOS!$E18))</f>
        <v/>
      </c>
      <c r="BX18" s="17" t="str">
        <f>IF(AND(MACROMICROELEMENTOS!$AK18="",MACROMICROELEMENTOS!$AL18="",MACROMICROELEMENTOS!$AM18="",MACROMICROELEMENTOS!$AN18=""),"",AVERAGE(MACROMICROELEMENTOS!$AK18,MACROMICROELEMENTOS!$AL18,MACROMICROELEMENTOS!$AM18,MACROMICROELEMENTOS!$AN18))</f>
        <v/>
      </c>
      <c r="BY18" s="23">
        <v>1</v>
      </c>
      <c r="BZ18" s="31" t="str">
        <f>IF(OR(MACROMICROELEMENTOS!$A18="",MACROMICROELEMENTOS!$B18="",MACROMICROELEMENTOS!$C18="",MACROMICROELEMENTOS!$D18="",MACROMICROELEMENTOS!$E18="",MACROMICROELEMENTOS!$K18="",MACROMICROELEMENTOS!$BX18="",MACROMICROELEMENTOS!$BY18=""),"",((MACROMICROELEMENTOS!$K18-MACROMICROELEMENTOS!$BX18)*MACROMICROELEMENTOS!$BY18*MACROMICROELEMENTOS!$D18*(1/MACROMICROELEMENTOS!$C18)*MACROMICROELEMENTOS!$E18))</f>
        <v/>
      </c>
      <c r="CA18" s="17" t="str">
        <f>IF(AND(MACROMICROELEMENTOS!$AO18="",MACROMICROELEMENTOS!$AP18="",MACROMICROELEMENTOS!$AQ18="",MACROMICROELEMENTOS!$AR18=""),"",AVERAGE(MACROMICROELEMENTOS!$AO18,MACROMICROELEMENTOS!$AP18,MACROMICROELEMENTOS!$AQ18,MACROMICROELEMENTOS!$AR18))</f>
        <v/>
      </c>
      <c r="CB18" s="23">
        <v>1</v>
      </c>
      <c r="CC18" s="31" t="str">
        <f>IF(OR(MACROMICROELEMENTOS!$A18="",MACROMICROELEMENTOS!$B18="",MACROMICROELEMENTOS!$C18="",MACROMICROELEMENTOS!$D18="",MACROMICROELEMENTOS!$E18="",MACROMICROELEMENTOS!$L18="",MACROMICROELEMENTOS!$CA18="",MACROMICROELEMENTOS!$CB18=""),"",((MACROMICROELEMENTOS!$L18-MACROMICROELEMENTOS!$CA18)*MACROMICROELEMENTOS!$CB18*MACROMICROELEMENTOS!$D18*(1/MACROMICROELEMENTOS!$C18)*MACROMICROELEMENTOS!$E18))</f>
        <v/>
      </c>
      <c r="CD18" s="17" t="str">
        <f>IF(AND(MACROMICROELEMENTOS!$AS18="",MACROMICROELEMENTOS!$AT18="",MACROMICROELEMENTOS!$AU18="",MACROMICROELEMENTOS!$AV18=""),"",AVERAGE(MACROMICROELEMENTOS!$AS18,MACROMICROELEMENTOS!$AT18,MACROMICROELEMENTOS!$AU18,MACROMICROELEMENTOS!$AV18))</f>
        <v/>
      </c>
      <c r="CE18" s="23">
        <v>1</v>
      </c>
      <c r="CF18" s="31" t="str">
        <f>IF(OR(MACROMICROELEMENTOS!$A18="",MACROMICROELEMENTOS!$B18="",MACROMICROELEMENTOS!$C18="",MACROMICROELEMENTOS!$D18="",MACROMICROELEMENTOS!$E18="",MACROMICROELEMENTOS!$M18="",MACROMICROELEMENTOS!$CD18="",MACROMICROELEMENTOS!$CE18=""),"",((MACROMICROELEMENTOS!$M18-MACROMICROELEMENTOS!$CD18)*MACROMICROELEMENTOS!$CE18*MACROMICROELEMENTOS!$D18*(1/MACROMICROELEMENTOS!$C18)*MACROMICROELEMENTOS!$E18))</f>
        <v/>
      </c>
      <c r="CG18" s="17" t="str">
        <f>IF(AND(MACROMICROELEMENTOS!$AW18="",MACROMICROELEMENTOS!$AX18="",MACROMICROELEMENTOS!$AY18="",MACROMICROELEMENTOS!$AZ18=""),"",AVERAGE(MACROMICROELEMENTOS!$AW18,MACROMICROELEMENTOS!$AX18,MACROMICROELEMENTOS!$AY18,MACROMICROELEMENTOS!$AZ18))</f>
        <v/>
      </c>
      <c r="CH18" s="23">
        <v>1</v>
      </c>
      <c r="CI18" s="31" t="str">
        <f>IF(OR(MACROMICROELEMENTOS!$A18="",MACROMICROELEMENTOS!$B18="",MACROMICROELEMENTOS!$C18="",MACROMICROELEMENTOS!$D18="",MACROMICROELEMENTOS!$E18="",MACROMICROELEMENTOS!$N18="",MACROMICROELEMENTOS!$CG18="",MACROMICROELEMENTOS!$CH18=""),"",((MACROMICROELEMENTOS!$N18-MACROMICROELEMENTOS!$CG18)*MACROMICROELEMENTOS!$CH18*MACROMICROELEMENTOS!$D18*(1/MACROMICROELEMENTOS!$C18)*MACROMICROELEMENTOS!$E18))</f>
        <v/>
      </c>
      <c r="CJ18" s="17" t="str">
        <f>IF(AND(MACROMICROELEMENTOS!$BA18="",MACROMICROELEMENTOS!$BB18="",MACROMICROELEMENTOS!$BC18="",MACROMICROELEMENTOS!$BD18=""),"",IF(O18&gt;2,0,AVERAGE(MACROMICROELEMENTOS!$BA18,MACROMICROELEMENTOS!$BB18,MACROMICROELEMENTOS!$BC18,MACROMICROELEMENTOS!$BD18)))</f>
        <v/>
      </c>
      <c r="CK18" s="23">
        <v>1</v>
      </c>
      <c r="CL18" s="31" t="str">
        <f>IF(OR(MACROMICROELEMENTOS!$A18="",MACROMICROELEMENTOS!$B18="",MACROMICROELEMENTOS!$C18="",MACROMICROELEMENTOS!$D18="",MACROMICROELEMENTOS!$E18="",MACROMICROELEMENTOS!$O18="",MACROMICROELEMENTOS!$CJ18="",MACROMICROELEMENTOS!$CK18=""),"",((MACROMICROELEMENTOS!$O18-MACROMICROELEMENTOS!$CJ18)*MACROMICROELEMENTOS!$CK18*MACROMICROELEMENTOS!$D18*(1/MACROMICROELEMENTOS!$C18)*MACROMICROELEMENTOS!$E18))</f>
        <v/>
      </c>
      <c r="CM18" s="17" t="str">
        <f>IF(AND(MACROMICROELEMENTOS!$BE18="",MACROMICROELEMENTOS!$BF18="",MACROMICROELEMENTOS!$BG18="",MACROMICROELEMENTOS!$BH18=""),"",AVERAGE(MACROMICROELEMENTOS!$BE18,MACROMICROELEMENTOS!$BF18,MACROMICROELEMENTOS!$BG18,MACROMICROELEMENTOS!$BH18))</f>
        <v/>
      </c>
      <c r="CN18" s="23">
        <v>1</v>
      </c>
      <c r="CO18" s="31" t="str">
        <f>IF(OR(MACROMICROELEMENTOS!$A18="",MACROMICROELEMENTOS!$B18="",MACROMICROELEMENTOS!$C18="",MACROMICROELEMENTOS!$D18="",MACROMICROELEMENTOS!$E18="",MACROMICROELEMENTOS!$P18="",MACROMICROELEMENTOS!$CM18="",MACROMICROELEMENTOS!$CN18=""),"",((MACROMICROELEMENTOS!$P18-MACROMICROELEMENTOS!$CM18)*MACROMICROELEMENTOS!$CN18*MACROMICROELEMENTOS!$D18*(1/MACROMICROELEMENTOS!$C18)*MACROMICROELEMENTOS!$E18))</f>
        <v/>
      </c>
    </row>
    <row r="19" spans="1:93" x14ac:dyDescent="0.3">
      <c r="A19" s="19" t="str">
        <f>IF(Pesada!A19="","",Pesada!A19)</f>
        <v/>
      </c>
      <c r="B19" s="16" t="str">
        <f>IF(Pesada!B19="","",Pesada!B19)</f>
        <v/>
      </c>
      <c r="C19" s="20" t="str">
        <f>IF(Pesada!C19="","",VALUE(Pesada!C19))</f>
        <v/>
      </c>
      <c r="D19" s="23">
        <v>100</v>
      </c>
      <c r="E19" s="30" t="str">
        <f>IF(METALESPESADOS!E19="","",METALESPESADOS!E19)</f>
        <v/>
      </c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17" t="str">
        <f>IF(AND(MACROMICROELEMENTOS!$U19="",MACROMICROELEMENTOS!$V19="",MACROMICROELEMENTOS!$W19="",MACROMICROELEMENTOS!$X19=""),"",AVERAGE(MACROMICROELEMENTOS!$U19,MACROMICROELEMENTOS!$V19,MACROMICROELEMENTOS!$W19,MACROMICROELEMENTOS!$X19))</f>
        <v/>
      </c>
      <c r="BJ19" s="23">
        <v>1</v>
      </c>
      <c r="BK19" s="31" t="str">
        <f>IF(OR(MACROMICROELEMENTOS!$A19="",MACROMICROELEMENTOS!$B19="",MACROMICROELEMENTOS!$C19="",MACROMICROELEMENTOS!$D19="",MACROMICROELEMENTOS!$E19="",MACROMICROELEMENTOS!$F19="",MACROMICROELEMENTOS!$BI19="",MACROMICROELEMENTOS!$BJ19=""),"",((MACROMICROELEMENTOS!$F19-MACROMICROELEMENTOS!$BI19)*MACROMICROELEMENTOS!$BJ19*MACROMICROELEMENTOS!$D19*(1/MACROMICROELEMENTOS!$C19)*MACROMICROELEMENTOS!$E19))</f>
        <v/>
      </c>
      <c r="BL19" s="17" t="str">
        <f>IF(AND(MACROMICROELEMENTOS!$Y19="",MACROMICROELEMENTOS!$Z19="",MACROMICROELEMENTOS!$AA19="",MACROMICROELEMENTOS!$AB19=""),"",AVERAGE(MACROMICROELEMENTOS!$Y19,MACROMICROELEMENTOS!$Z19,MACROMICROELEMENTOS!$AA19,MACROMICROELEMENTOS!$AB19))</f>
        <v/>
      </c>
      <c r="BM19" s="23">
        <v>1</v>
      </c>
      <c r="BN19" s="31" t="str">
        <f>IF(OR(MACROMICROELEMENTOS!$A19="",MACROMICROELEMENTOS!$B19="",MACROMICROELEMENTOS!$C19="",MACROMICROELEMENTOS!$D19="",MACROMICROELEMENTOS!$E19="",MACROMICROELEMENTOS!$G19="",MACROMICROELEMENTOS!$BL19="",MACROMICROELEMENTOS!$BM19=""),"",((MACROMICROELEMENTOS!$G19-MACROMICROELEMENTOS!$BL19)*MACROMICROELEMENTOS!$BM19*MACROMICROELEMENTOS!$D19*(1/MACROMICROELEMENTOS!$C19)*MACROMICROELEMENTOS!$E19/1000))</f>
        <v/>
      </c>
      <c r="BO19" s="17" t="str">
        <f>IF(AND(MACROMICROELEMENTOS!$AC19="",MACROMICROELEMENTOS!$AD19="",MACROMICROELEMENTOS!$AE19="",MACROMICROELEMENTOS!$AF19=""),"",AVERAGE(MACROMICROELEMENTOS!$AC19,MACROMICROELEMENTOS!$AD19,MACROMICROELEMENTOS!$AE19,MACROMICROELEMENTOS!$AF19))</f>
        <v/>
      </c>
      <c r="BP19" s="23">
        <v>1</v>
      </c>
      <c r="BQ19" s="31" t="str">
        <f>IF(OR(MACROMICROELEMENTOS!$A19="",MACROMICROELEMENTOS!$B19="",MACROMICROELEMENTOS!$C19="",MACROMICROELEMENTOS!$D19="",MACROMICROELEMENTOS!$E19="",MACROMICROELEMENTOS!$H19="",MACROMICROELEMENTOS!$BO19="",MACROMICROELEMENTOS!$BP19=""),"",((MACROMICROELEMENTOS!$H19-MACROMICROELEMENTOS!$BO19)*MACROMICROELEMENTOS!$BP19*MACROMICROELEMENTOS!$D19*(1/MACROMICROELEMENTOS!$C19)*MACROMICROELEMENTOS!$E19))</f>
        <v/>
      </c>
      <c r="BR19" s="17" t="str">
        <f>IF(AND(MACROMICROELEMENTOS!$Q19="",MACROMICROELEMENTOS!$R19="",MACROMICROELEMENTOS!$S19="",MACROMICROELEMENTOS!$T19=""),"",AVERAGE(MACROMICROELEMENTOS!$Q19,MACROMICROELEMENTOS!$R19,MACROMICROELEMENTOS!$S19,MACROMICROELEMENTOS!$T19))</f>
        <v/>
      </c>
      <c r="BS19" s="23">
        <v>1</v>
      </c>
      <c r="BT19" s="31" t="str">
        <f>IF(OR(MACROMICROELEMENTOS!$A19="",MACROMICROELEMENTOS!$B19="",MACROMICROELEMENTOS!$C19="",MACROMICROELEMENTOS!$D19="",MACROMICROELEMENTOS!$E19="",MACROMICROELEMENTOS!$I19="",MACROMICROELEMENTOS!$BR19="",MACROMICROELEMENTOS!$BS19=""),"",((MACROMICROELEMENTOS!$I19-MACROMICROELEMENTOS!$BR19)*MACROMICROELEMENTOS!$BS19*MACROMICROELEMENTOS!$D19*(1/MACROMICROELEMENTOS!$C19)*MACROMICROELEMENTOS!$E19))</f>
        <v/>
      </c>
      <c r="BU19" s="17" t="str">
        <f>IF(AND(MACROMICROELEMENTOS!$AG19="",MACROMICROELEMENTOS!$AH19="",MACROMICROELEMENTOS!$AI19="",MACROMICROELEMENTOS!$AJ19=""),"",AVERAGE(MACROMICROELEMENTOS!$AG19,MACROMICROELEMENTOS!$AH19,MACROMICROELEMENTOS!$AI19,MACROMICROELEMENTOS!$AJ19))</f>
        <v/>
      </c>
      <c r="BV19" s="23">
        <v>1</v>
      </c>
      <c r="BW19" s="31" t="str">
        <f>IF(OR(MACROMICROELEMENTOS!$A19="",MACROMICROELEMENTOS!$B19="",MACROMICROELEMENTOS!$C19="",MACROMICROELEMENTOS!$D19="",MACROMICROELEMENTOS!$E19="",MACROMICROELEMENTOS!$J19="",MACROMICROELEMENTOS!$BU19="",MACROMICROELEMENTOS!$BV19=""),"",((MACROMICROELEMENTOS!$J19-MACROMICROELEMENTOS!$BU19)*MACROMICROELEMENTOS!$BV19*MACROMICROELEMENTOS!$D19*(1/MACROMICROELEMENTOS!$C19)*MACROMICROELEMENTOS!$E19))</f>
        <v/>
      </c>
      <c r="BX19" s="17" t="str">
        <f>IF(AND(MACROMICROELEMENTOS!$AK19="",MACROMICROELEMENTOS!$AL19="",MACROMICROELEMENTOS!$AM19="",MACROMICROELEMENTOS!$AN19=""),"",AVERAGE(MACROMICROELEMENTOS!$AK19,MACROMICROELEMENTOS!$AL19,MACROMICROELEMENTOS!$AM19,MACROMICROELEMENTOS!$AN19))</f>
        <v/>
      </c>
      <c r="BY19" s="23">
        <v>1</v>
      </c>
      <c r="BZ19" s="31" t="str">
        <f>IF(OR(MACROMICROELEMENTOS!$A19="",MACROMICROELEMENTOS!$B19="",MACROMICROELEMENTOS!$C19="",MACROMICROELEMENTOS!$D19="",MACROMICROELEMENTOS!$E19="",MACROMICROELEMENTOS!$K19="",MACROMICROELEMENTOS!$BX19="",MACROMICROELEMENTOS!$BY19=""),"",((MACROMICROELEMENTOS!$K19-MACROMICROELEMENTOS!$BX19)*MACROMICROELEMENTOS!$BY19*MACROMICROELEMENTOS!$D19*(1/MACROMICROELEMENTOS!$C19)*MACROMICROELEMENTOS!$E19))</f>
        <v/>
      </c>
      <c r="CA19" s="17" t="str">
        <f>IF(AND(MACROMICROELEMENTOS!$AO19="",MACROMICROELEMENTOS!$AP19="",MACROMICROELEMENTOS!$AQ19="",MACROMICROELEMENTOS!$AR19=""),"",AVERAGE(MACROMICROELEMENTOS!$AO19,MACROMICROELEMENTOS!$AP19,MACROMICROELEMENTOS!$AQ19,MACROMICROELEMENTOS!$AR19))</f>
        <v/>
      </c>
      <c r="CB19" s="23">
        <v>1</v>
      </c>
      <c r="CC19" s="31" t="str">
        <f>IF(OR(MACROMICROELEMENTOS!$A19="",MACROMICROELEMENTOS!$B19="",MACROMICROELEMENTOS!$C19="",MACROMICROELEMENTOS!$D19="",MACROMICROELEMENTOS!$E19="",MACROMICROELEMENTOS!$L19="",MACROMICROELEMENTOS!$CA19="",MACROMICROELEMENTOS!$CB19=""),"",((MACROMICROELEMENTOS!$L19-MACROMICROELEMENTOS!$CA19)*MACROMICROELEMENTOS!$CB19*MACROMICROELEMENTOS!$D19*(1/MACROMICROELEMENTOS!$C19)*MACROMICROELEMENTOS!$E19))</f>
        <v/>
      </c>
      <c r="CD19" s="17" t="str">
        <f>IF(AND(MACROMICROELEMENTOS!$AS19="",MACROMICROELEMENTOS!$AT19="",MACROMICROELEMENTOS!$AU19="",MACROMICROELEMENTOS!$AV19=""),"",AVERAGE(MACROMICROELEMENTOS!$AS19,MACROMICROELEMENTOS!$AT19,MACROMICROELEMENTOS!$AU19,MACROMICROELEMENTOS!$AV19))</f>
        <v/>
      </c>
      <c r="CE19" s="23">
        <v>1</v>
      </c>
      <c r="CF19" s="31" t="str">
        <f>IF(OR(MACROMICROELEMENTOS!$A19="",MACROMICROELEMENTOS!$B19="",MACROMICROELEMENTOS!$C19="",MACROMICROELEMENTOS!$D19="",MACROMICROELEMENTOS!$E19="",MACROMICROELEMENTOS!$M19="",MACROMICROELEMENTOS!$CD19="",MACROMICROELEMENTOS!$CE19=""),"",((MACROMICROELEMENTOS!$M19-MACROMICROELEMENTOS!$CD19)*MACROMICROELEMENTOS!$CE19*MACROMICROELEMENTOS!$D19*(1/MACROMICROELEMENTOS!$C19)*MACROMICROELEMENTOS!$E19))</f>
        <v/>
      </c>
      <c r="CG19" s="17" t="str">
        <f>IF(AND(MACROMICROELEMENTOS!$AW19="",MACROMICROELEMENTOS!$AX19="",MACROMICROELEMENTOS!$AY19="",MACROMICROELEMENTOS!$AZ19=""),"",AVERAGE(MACROMICROELEMENTOS!$AW19,MACROMICROELEMENTOS!$AX19,MACROMICROELEMENTOS!$AY19,MACROMICROELEMENTOS!$AZ19))</f>
        <v/>
      </c>
      <c r="CH19" s="23">
        <v>1</v>
      </c>
      <c r="CI19" s="31" t="str">
        <f>IF(OR(MACROMICROELEMENTOS!$A19="",MACROMICROELEMENTOS!$B19="",MACROMICROELEMENTOS!$C19="",MACROMICROELEMENTOS!$D19="",MACROMICROELEMENTOS!$E19="",MACROMICROELEMENTOS!$N19="",MACROMICROELEMENTOS!$CG19="",MACROMICROELEMENTOS!$CH19=""),"",((MACROMICROELEMENTOS!$N19-MACROMICROELEMENTOS!$CG19)*MACROMICROELEMENTOS!$CH19*MACROMICROELEMENTOS!$D19*(1/MACROMICROELEMENTOS!$C19)*MACROMICROELEMENTOS!$E19))</f>
        <v/>
      </c>
      <c r="CJ19" s="17" t="str">
        <f>IF(AND(MACROMICROELEMENTOS!$BA19="",MACROMICROELEMENTOS!$BB19="",MACROMICROELEMENTOS!$BC19="",MACROMICROELEMENTOS!$BD19=""),"",IF(O19&gt;2,0,AVERAGE(MACROMICROELEMENTOS!$BA19,MACROMICROELEMENTOS!$BB19,MACROMICROELEMENTOS!$BC19,MACROMICROELEMENTOS!$BD19)))</f>
        <v/>
      </c>
      <c r="CK19" s="23">
        <v>1</v>
      </c>
      <c r="CL19" s="31" t="str">
        <f>IF(OR(MACROMICROELEMENTOS!$A19="",MACROMICROELEMENTOS!$B19="",MACROMICROELEMENTOS!$C19="",MACROMICROELEMENTOS!$D19="",MACROMICROELEMENTOS!$E19="",MACROMICROELEMENTOS!$O19="",MACROMICROELEMENTOS!$CJ19="",MACROMICROELEMENTOS!$CK19=""),"",((MACROMICROELEMENTOS!$O19-MACROMICROELEMENTOS!$CJ19)*MACROMICROELEMENTOS!$CK19*MACROMICROELEMENTOS!$D19*(1/MACROMICROELEMENTOS!$C19)*MACROMICROELEMENTOS!$E19))</f>
        <v/>
      </c>
      <c r="CM19" s="17" t="str">
        <f>IF(AND(MACROMICROELEMENTOS!$BE19="",MACROMICROELEMENTOS!$BF19="",MACROMICROELEMENTOS!$BG19="",MACROMICROELEMENTOS!$BH19=""),"",AVERAGE(MACROMICROELEMENTOS!$BE19,MACROMICROELEMENTOS!$BF19,MACROMICROELEMENTOS!$BG19,MACROMICROELEMENTOS!$BH19))</f>
        <v/>
      </c>
      <c r="CN19" s="23">
        <v>1</v>
      </c>
      <c r="CO19" s="31" t="str">
        <f>IF(OR(MACROMICROELEMENTOS!$A19="",MACROMICROELEMENTOS!$B19="",MACROMICROELEMENTOS!$C19="",MACROMICROELEMENTOS!$D19="",MACROMICROELEMENTOS!$E19="",MACROMICROELEMENTOS!$P19="",MACROMICROELEMENTOS!$CM19="",MACROMICROELEMENTOS!$CN19=""),"",((MACROMICROELEMENTOS!$P19-MACROMICROELEMENTOS!$CM19)*MACROMICROELEMENTOS!$CN19*MACROMICROELEMENTOS!$D19*(1/MACROMICROELEMENTOS!$C19)*MACROMICROELEMENTOS!$E19))</f>
        <v/>
      </c>
    </row>
    <row r="20" spans="1:93" x14ac:dyDescent="0.3">
      <c r="A20" s="19" t="str">
        <f>IF(Pesada!A20="","",Pesada!A20)</f>
        <v/>
      </c>
      <c r="B20" s="16" t="str">
        <f>IF(Pesada!B20="","",Pesada!B20)</f>
        <v/>
      </c>
      <c r="C20" s="20" t="str">
        <f>IF(Pesada!C20="","",VALUE(Pesada!C20))</f>
        <v/>
      </c>
      <c r="D20" s="23">
        <v>100</v>
      </c>
      <c r="E20" s="30" t="str">
        <f>IF(METALESPESADOS!E20="","",METALESPESADOS!E20)</f>
        <v/>
      </c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17" t="str">
        <f>IF(AND(MACROMICROELEMENTOS!$U20="",MACROMICROELEMENTOS!$V20="",MACROMICROELEMENTOS!$W20="",MACROMICROELEMENTOS!$X20=""),"",AVERAGE(MACROMICROELEMENTOS!$U20,MACROMICROELEMENTOS!$V20,MACROMICROELEMENTOS!$W20,MACROMICROELEMENTOS!$X20))</f>
        <v/>
      </c>
      <c r="BJ20" s="23">
        <v>1</v>
      </c>
      <c r="BK20" s="31" t="str">
        <f>IF(OR(MACROMICROELEMENTOS!$A20="",MACROMICROELEMENTOS!$B20="",MACROMICROELEMENTOS!$C20="",MACROMICROELEMENTOS!$D20="",MACROMICROELEMENTOS!$E20="",MACROMICROELEMENTOS!$F20="",MACROMICROELEMENTOS!$BI20="",MACROMICROELEMENTOS!$BJ20=""),"",((MACROMICROELEMENTOS!$F20-MACROMICROELEMENTOS!$BI20)*MACROMICROELEMENTOS!$BJ20*MACROMICROELEMENTOS!$D20*(1/MACROMICROELEMENTOS!$C20)*MACROMICROELEMENTOS!$E20))</f>
        <v/>
      </c>
      <c r="BL20" s="17" t="str">
        <f>IF(AND(MACROMICROELEMENTOS!$Y20="",MACROMICROELEMENTOS!$Z20="",MACROMICROELEMENTOS!$AA20="",MACROMICROELEMENTOS!$AB20=""),"",AVERAGE(MACROMICROELEMENTOS!$Y20,MACROMICROELEMENTOS!$Z20,MACROMICROELEMENTOS!$AA20,MACROMICROELEMENTOS!$AB20))</f>
        <v/>
      </c>
      <c r="BM20" s="23">
        <v>1</v>
      </c>
      <c r="BN20" s="31" t="str">
        <f>IF(OR(MACROMICROELEMENTOS!$A20="",MACROMICROELEMENTOS!$B20="",MACROMICROELEMENTOS!$C20="",MACROMICROELEMENTOS!$D20="",MACROMICROELEMENTOS!$E20="",MACROMICROELEMENTOS!$G20="",MACROMICROELEMENTOS!$BL20="",MACROMICROELEMENTOS!$BM20=""),"",((MACROMICROELEMENTOS!$G20-MACROMICROELEMENTOS!$BL20)*MACROMICROELEMENTOS!$BM20*MACROMICROELEMENTOS!$D20*(1/MACROMICROELEMENTOS!$C20)*MACROMICROELEMENTOS!$E20/1000))</f>
        <v/>
      </c>
      <c r="BO20" s="17" t="str">
        <f>IF(AND(MACROMICROELEMENTOS!$AC20="",MACROMICROELEMENTOS!$AD20="",MACROMICROELEMENTOS!$AE20="",MACROMICROELEMENTOS!$AF20=""),"",AVERAGE(MACROMICROELEMENTOS!$AC20,MACROMICROELEMENTOS!$AD20,MACROMICROELEMENTOS!$AE20,MACROMICROELEMENTOS!$AF20))</f>
        <v/>
      </c>
      <c r="BP20" s="23">
        <v>1</v>
      </c>
      <c r="BQ20" s="31" t="str">
        <f>IF(OR(MACROMICROELEMENTOS!$A20="",MACROMICROELEMENTOS!$B20="",MACROMICROELEMENTOS!$C20="",MACROMICROELEMENTOS!$D20="",MACROMICROELEMENTOS!$E20="",MACROMICROELEMENTOS!$H20="",MACROMICROELEMENTOS!$BO20="",MACROMICROELEMENTOS!$BP20=""),"",((MACROMICROELEMENTOS!$H20-MACROMICROELEMENTOS!$BO20)*MACROMICROELEMENTOS!$BP20*MACROMICROELEMENTOS!$D20*(1/MACROMICROELEMENTOS!$C20)*MACROMICROELEMENTOS!$E20))</f>
        <v/>
      </c>
      <c r="BR20" s="17" t="str">
        <f>IF(AND(MACROMICROELEMENTOS!$Q20="",MACROMICROELEMENTOS!$R20="",MACROMICROELEMENTOS!$S20="",MACROMICROELEMENTOS!$T20=""),"",AVERAGE(MACROMICROELEMENTOS!$Q20,MACROMICROELEMENTOS!$R20,MACROMICROELEMENTOS!$S20,MACROMICROELEMENTOS!$T20))</f>
        <v/>
      </c>
      <c r="BS20" s="23">
        <v>1</v>
      </c>
      <c r="BT20" s="31" t="str">
        <f>IF(OR(MACROMICROELEMENTOS!$A20="",MACROMICROELEMENTOS!$B20="",MACROMICROELEMENTOS!$C20="",MACROMICROELEMENTOS!$D20="",MACROMICROELEMENTOS!$E20="",MACROMICROELEMENTOS!$I20="",MACROMICROELEMENTOS!$BR20="",MACROMICROELEMENTOS!$BS20=""),"",((MACROMICROELEMENTOS!$I20-MACROMICROELEMENTOS!$BR20)*MACROMICROELEMENTOS!$BS20*MACROMICROELEMENTOS!$D20*(1/MACROMICROELEMENTOS!$C20)*MACROMICROELEMENTOS!$E20))</f>
        <v/>
      </c>
      <c r="BU20" s="17" t="str">
        <f>IF(AND(MACROMICROELEMENTOS!$AG20="",MACROMICROELEMENTOS!$AH20="",MACROMICROELEMENTOS!$AI20="",MACROMICROELEMENTOS!$AJ20=""),"",AVERAGE(MACROMICROELEMENTOS!$AG20,MACROMICROELEMENTOS!$AH20,MACROMICROELEMENTOS!$AI20,MACROMICROELEMENTOS!$AJ20))</f>
        <v/>
      </c>
      <c r="BV20" s="23">
        <v>1</v>
      </c>
      <c r="BW20" s="31" t="str">
        <f>IF(OR(MACROMICROELEMENTOS!$A20="",MACROMICROELEMENTOS!$B20="",MACROMICROELEMENTOS!$C20="",MACROMICROELEMENTOS!$D20="",MACROMICROELEMENTOS!$E20="",MACROMICROELEMENTOS!$J20="",MACROMICROELEMENTOS!$BU20="",MACROMICROELEMENTOS!$BV20=""),"",((MACROMICROELEMENTOS!$J20-MACROMICROELEMENTOS!$BU20)*MACROMICROELEMENTOS!$BV20*MACROMICROELEMENTOS!$D20*(1/MACROMICROELEMENTOS!$C20)*MACROMICROELEMENTOS!$E20))</f>
        <v/>
      </c>
      <c r="BX20" s="17" t="str">
        <f>IF(AND(MACROMICROELEMENTOS!$AK20="",MACROMICROELEMENTOS!$AL20="",MACROMICROELEMENTOS!$AM20="",MACROMICROELEMENTOS!$AN20=""),"",AVERAGE(MACROMICROELEMENTOS!$AK20,MACROMICROELEMENTOS!$AL20,MACROMICROELEMENTOS!$AM20,MACROMICROELEMENTOS!$AN20))</f>
        <v/>
      </c>
      <c r="BY20" s="23">
        <v>1</v>
      </c>
      <c r="BZ20" s="31" t="str">
        <f>IF(OR(MACROMICROELEMENTOS!$A20="",MACROMICROELEMENTOS!$B20="",MACROMICROELEMENTOS!$C20="",MACROMICROELEMENTOS!$D20="",MACROMICROELEMENTOS!$E20="",MACROMICROELEMENTOS!$K20="",MACROMICROELEMENTOS!$BX20="",MACROMICROELEMENTOS!$BY20=""),"",((MACROMICROELEMENTOS!$K20-MACROMICROELEMENTOS!$BX20)*MACROMICROELEMENTOS!$BY20*MACROMICROELEMENTOS!$D20*(1/MACROMICROELEMENTOS!$C20)*MACROMICROELEMENTOS!$E20))</f>
        <v/>
      </c>
      <c r="CA20" s="17" t="str">
        <f>IF(AND(MACROMICROELEMENTOS!$AO20="",MACROMICROELEMENTOS!$AP20="",MACROMICROELEMENTOS!$AQ20="",MACROMICROELEMENTOS!$AR20=""),"",AVERAGE(MACROMICROELEMENTOS!$AO20,MACROMICROELEMENTOS!$AP20,MACROMICROELEMENTOS!$AQ20,MACROMICROELEMENTOS!$AR20))</f>
        <v/>
      </c>
      <c r="CB20" s="23">
        <v>1</v>
      </c>
      <c r="CC20" s="31" t="str">
        <f>IF(OR(MACROMICROELEMENTOS!$A20="",MACROMICROELEMENTOS!$B20="",MACROMICROELEMENTOS!$C20="",MACROMICROELEMENTOS!$D20="",MACROMICROELEMENTOS!$E20="",MACROMICROELEMENTOS!$L20="",MACROMICROELEMENTOS!$CA20="",MACROMICROELEMENTOS!$CB20=""),"",((MACROMICROELEMENTOS!$L20-MACROMICROELEMENTOS!$CA20)*MACROMICROELEMENTOS!$CB20*MACROMICROELEMENTOS!$D20*(1/MACROMICROELEMENTOS!$C20)*MACROMICROELEMENTOS!$E20))</f>
        <v/>
      </c>
      <c r="CD20" s="17" t="str">
        <f>IF(AND(MACROMICROELEMENTOS!$AS20="",MACROMICROELEMENTOS!$AT20="",MACROMICROELEMENTOS!$AU20="",MACROMICROELEMENTOS!$AV20=""),"",AVERAGE(MACROMICROELEMENTOS!$AS20,MACROMICROELEMENTOS!$AT20,MACROMICROELEMENTOS!$AU20,MACROMICROELEMENTOS!$AV20))</f>
        <v/>
      </c>
      <c r="CE20" s="23">
        <v>1</v>
      </c>
      <c r="CF20" s="31" t="str">
        <f>IF(OR(MACROMICROELEMENTOS!$A20="",MACROMICROELEMENTOS!$B20="",MACROMICROELEMENTOS!$C20="",MACROMICROELEMENTOS!$D20="",MACROMICROELEMENTOS!$E20="",MACROMICROELEMENTOS!$M20="",MACROMICROELEMENTOS!$CD20="",MACROMICROELEMENTOS!$CE20=""),"",((MACROMICROELEMENTOS!$M20-MACROMICROELEMENTOS!$CD20)*MACROMICROELEMENTOS!$CE20*MACROMICROELEMENTOS!$D20*(1/MACROMICROELEMENTOS!$C20)*MACROMICROELEMENTOS!$E20))</f>
        <v/>
      </c>
      <c r="CG20" s="17" t="str">
        <f>IF(AND(MACROMICROELEMENTOS!$AW20="",MACROMICROELEMENTOS!$AX20="",MACROMICROELEMENTOS!$AY20="",MACROMICROELEMENTOS!$AZ20=""),"",AVERAGE(MACROMICROELEMENTOS!$AW20,MACROMICROELEMENTOS!$AX20,MACROMICROELEMENTOS!$AY20,MACROMICROELEMENTOS!$AZ20))</f>
        <v/>
      </c>
      <c r="CH20" s="23">
        <v>1</v>
      </c>
      <c r="CI20" s="31" t="str">
        <f>IF(OR(MACROMICROELEMENTOS!$A20="",MACROMICROELEMENTOS!$B20="",MACROMICROELEMENTOS!$C20="",MACROMICROELEMENTOS!$D20="",MACROMICROELEMENTOS!$E20="",MACROMICROELEMENTOS!$N20="",MACROMICROELEMENTOS!$CG20="",MACROMICROELEMENTOS!$CH20=""),"",((MACROMICROELEMENTOS!$N20-MACROMICROELEMENTOS!$CG20)*MACROMICROELEMENTOS!$CH20*MACROMICROELEMENTOS!$D20*(1/MACROMICROELEMENTOS!$C20)*MACROMICROELEMENTOS!$E20))</f>
        <v/>
      </c>
      <c r="CJ20" s="17" t="str">
        <f>IF(AND(MACROMICROELEMENTOS!$BA20="",MACROMICROELEMENTOS!$BB20="",MACROMICROELEMENTOS!$BC20="",MACROMICROELEMENTOS!$BD20=""),"",IF(O20&gt;2,0,AVERAGE(MACROMICROELEMENTOS!$BA20,MACROMICROELEMENTOS!$BB20,MACROMICROELEMENTOS!$BC20,MACROMICROELEMENTOS!$BD20)))</f>
        <v/>
      </c>
      <c r="CK20" s="23">
        <v>1</v>
      </c>
      <c r="CL20" s="31" t="str">
        <f>IF(OR(MACROMICROELEMENTOS!$A20="",MACROMICROELEMENTOS!$B20="",MACROMICROELEMENTOS!$C20="",MACROMICROELEMENTOS!$D20="",MACROMICROELEMENTOS!$E20="",MACROMICROELEMENTOS!$O20="",MACROMICROELEMENTOS!$CJ20="",MACROMICROELEMENTOS!$CK20=""),"",((MACROMICROELEMENTOS!$O20-MACROMICROELEMENTOS!$CJ20)*MACROMICROELEMENTOS!$CK20*MACROMICROELEMENTOS!$D20*(1/MACROMICROELEMENTOS!$C20)*MACROMICROELEMENTOS!$E20))</f>
        <v/>
      </c>
      <c r="CM20" s="17" t="str">
        <f>IF(AND(MACROMICROELEMENTOS!$BE20="",MACROMICROELEMENTOS!$BF20="",MACROMICROELEMENTOS!$BG20="",MACROMICROELEMENTOS!$BH20=""),"",AVERAGE(MACROMICROELEMENTOS!$BE20,MACROMICROELEMENTOS!$BF20,MACROMICROELEMENTOS!$BG20,MACROMICROELEMENTOS!$BH20))</f>
        <v/>
      </c>
      <c r="CN20" s="23">
        <v>1</v>
      </c>
      <c r="CO20" s="31" t="str">
        <f>IF(OR(MACROMICROELEMENTOS!$A20="",MACROMICROELEMENTOS!$B20="",MACROMICROELEMENTOS!$C20="",MACROMICROELEMENTOS!$D20="",MACROMICROELEMENTOS!$E20="",MACROMICROELEMENTOS!$P20="",MACROMICROELEMENTOS!$CM20="",MACROMICROELEMENTOS!$CN20=""),"",((MACROMICROELEMENTOS!$P20-MACROMICROELEMENTOS!$CM20)*MACROMICROELEMENTOS!$CN20*MACROMICROELEMENTOS!$D20*(1/MACROMICROELEMENTOS!$C20)*MACROMICROELEMENTOS!$E20))</f>
        <v/>
      </c>
    </row>
    <row r="21" spans="1:93" x14ac:dyDescent="0.3">
      <c r="A21" s="19" t="str">
        <f>IF(Pesada!A21="","",Pesada!A21)</f>
        <v/>
      </c>
      <c r="B21" s="16" t="str">
        <f>IF(Pesada!B21="","",Pesada!B21)</f>
        <v/>
      </c>
      <c r="C21" s="20" t="str">
        <f>IF(Pesada!C21="","",VALUE(Pesada!C21))</f>
        <v/>
      </c>
      <c r="D21" s="23">
        <v>100</v>
      </c>
      <c r="E21" s="30" t="str">
        <f>IF(METALESPESADOS!E21="","",METALESPESADOS!E21)</f>
        <v/>
      </c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17" t="str">
        <f>IF(AND(MACROMICROELEMENTOS!$U21="",MACROMICROELEMENTOS!$V21="",MACROMICROELEMENTOS!$W21="",MACROMICROELEMENTOS!$X21=""),"",AVERAGE(MACROMICROELEMENTOS!$U21,MACROMICROELEMENTOS!$V21,MACROMICROELEMENTOS!$W21,MACROMICROELEMENTOS!$X21))</f>
        <v/>
      </c>
      <c r="BJ21" s="23">
        <v>1</v>
      </c>
      <c r="BK21" s="31" t="str">
        <f>IF(OR(MACROMICROELEMENTOS!$A21="",MACROMICROELEMENTOS!$B21="",MACROMICROELEMENTOS!$C21="",MACROMICROELEMENTOS!$D21="",MACROMICROELEMENTOS!$E21="",MACROMICROELEMENTOS!$F21="",MACROMICROELEMENTOS!$BI21="",MACROMICROELEMENTOS!$BJ21=""),"",((MACROMICROELEMENTOS!$F21-MACROMICROELEMENTOS!$BI21)*MACROMICROELEMENTOS!$BJ21*MACROMICROELEMENTOS!$D21*(1/MACROMICROELEMENTOS!$C21)*MACROMICROELEMENTOS!$E21))</f>
        <v/>
      </c>
      <c r="BL21" s="17" t="str">
        <f>IF(AND(MACROMICROELEMENTOS!$Y21="",MACROMICROELEMENTOS!$Z21="",MACROMICROELEMENTOS!$AA21="",MACROMICROELEMENTOS!$AB21=""),"",AVERAGE(MACROMICROELEMENTOS!$Y21,MACROMICROELEMENTOS!$Z21,MACROMICROELEMENTOS!$AA21,MACROMICROELEMENTOS!$AB21))</f>
        <v/>
      </c>
      <c r="BM21" s="23">
        <v>1</v>
      </c>
      <c r="BN21" s="31" t="str">
        <f>IF(OR(MACROMICROELEMENTOS!$A21="",MACROMICROELEMENTOS!$B21="",MACROMICROELEMENTOS!$C21="",MACROMICROELEMENTOS!$D21="",MACROMICROELEMENTOS!$E21="",MACROMICROELEMENTOS!$G21="",MACROMICROELEMENTOS!$BL21="",MACROMICROELEMENTOS!$BM21=""),"",((MACROMICROELEMENTOS!$G21-MACROMICROELEMENTOS!$BL21)*MACROMICROELEMENTOS!$BM21*MACROMICROELEMENTOS!$D21*(1/MACROMICROELEMENTOS!$C21)*MACROMICROELEMENTOS!$E21/1000))</f>
        <v/>
      </c>
      <c r="BO21" s="17" t="str">
        <f>IF(AND(MACROMICROELEMENTOS!$AC21="",MACROMICROELEMENTOS!$AD21="",MACROMICROELEMENTOS!$AE21="",MACROMICROELEMENTOS!$AF21=""),"",AVERAGE(MACROMICROELEMENTOS!$AC21,MACROMICROELEMENTOS!$AD21,MACROMICROELEMENTOS!$AE21,MACROMICROELEMENTOS!$AF21))</f>
        <v/>
      </c>
      <c r="BP21" s="23">
        <v>1</v>
      </c>
      <c r="BQ21" s="31" t="str">
        <f>IF(OR(MACROMICROELEMENTOS!$A21="",MACROMICROELEMENTOS!$B21="",MACROMICROELEMENTOS!$C21="",MACROMICROELEMENTOS!$D21="",MACROMICROELEMENTOS!$E21="",MACROMICROELEMENTOS!$H21="",MACROMICROELEMENTOS!$BO21="",MACROMICROELEMENTOS!$BP21=""),"",((MACROMICROELEMENTOS!$H21-MACROMICROELEMENTOS!$BO21)*MACROMICROELEMENTOS!$BP21*MACROMICROELEMENTOS!$D21*(1/MACROMICROELEMENTOS!$C21)*MACROMICROELEMENTOS!$E21))</f>
        <v/>
      </c>
      <c r="BR21" s="17" t="str">
        <f>IF(AND(MACROMICROELEMENTOS!$Q21="",MACROMICROELEMENTOS!$R21="",MACROMICROELEMENTOS!$S21="",MACROMICROELEMENTOS!$T21=""),"",AVERAGE(MACROMICROELEMENTOS!$Q21,MACROMICROELEMENTOS!$R21,MACROMICROELEMENTOS!$S21,MACROMICROELEMENTOS!$T21))</f>
        <v/>
      </c>
      <c r="BS21" s="23">
        <v>1</v>
      </c>
      <c r="BT21" s="31" t="str">
        <f>IF(OR(MACROMICROELEMENTOS!$A21="",MACROMICROELEMENTOS!$B21="",MACROMICROELEMENTOS!$C21="",MACROMICROELEMENTOS!$D21="",MACROMICROELEMENTOS!$E21="",MACROMICROELEMENTOS!$I21="",MACROMICROELEMENTOS!$BR21="",MACROMICROELEMENTOS!$BS21=""),"",((MACROMICROELEMENTOS!$I21-MACROMICROELEMENTOS!$BR21)*MACROMICROELEMENTOS!$BS21*MACROMICROELEMENTOS!$D21*(1/MACROMICROELEMENTOS!$C21)*MACROMICROELEMENTOS!$E21))</f>
        <v/>
      </c>
      <c r="BU21" s="17" t="str">
        <f>IF(AND(MACROMICROELEMENTOS!$AG21="",MACROMICROELEMENTOS!$AH21="",MACROMICROELEMENTOS!$AI21="",MACROMICROELEMENTOS!$AJ21=""),"",AVERAGE(MACROMICROELEMENTOS!$AG21,MACROMICROELEMENTOS!$AH21,MACROMICROELEMENTOS!$AI21,MACROMICROELEMENTOS!$AJ21))</f>
        <v/>
      </c>
      <c r="BV21" s="23">
        <v>1</v>
      </c>
      <c r="BW21" s="31" t="str">
        <f>IF(OR(MACROMICROELEMENTOS!$A21="",MACROMICROELEMENTOS!$B21="",MACROMICROELEMENTOS!$C21="",MACROMICROELEMENTOS!$D21="",MACROMICROELEMENTOS!$E21="",MACROMICROELEMENTOS!$J21="",MACROMICROELEMENTOS!$BU21="",MACROMICROELEMENTOS!$BV21=""),"",((MACROMICROELEMENTOS!$J21-MACROMICROELEMENTOS!$BU21)*MACROMICROELEMENTOS!$BV21*MACROMICROELEMENTOS!$D21*(1/MACROMICROELEMENTOS!$C21)*MACROMICROELEMENTOS!$E21))</f>
        <v/>
      </c>
      <c r="BX21" s="17" t="str">
        <f>IF(AND(MACROMICROELEMENTOS!$AK21="",MACROMICROELEMENTOS!$AL21="",MACROMICROELEMENTOS!$AM21="",MACROMICROELEMENTOS!$AN21=""),"",AVERAGE(MACROMICROELEMENTOS!$AK21,MACROMICROELEMENTOS!$AL21,MACROMICROELEMENTOS!$AM21,MACROMICROELEMENTOS!$AN21))</f>
        <v/>
      </c>
      <c r="BY21" s="23">
        <v>1</v>
      </c>
      <c r="BZ21" s="31" t="str">
        <f>IF(OR(MACROMICROELEMENTOS!$A21="",MACROMICROELEMENTOS!$B21="",MACROMICROELEMENTOS!$C21="",MACROMICROELEMENTOS!$D21="",MACROMICROELEMENTOS!$E21="",MACROMICROELEMENTOS!$K21="",MACROMICROELEMENTOS!$BX21="",MACROMICROELEMENTOS!$BY21=""),"",((MACROMICROELEMENTOS!$K21-MACROMICROELEMENTOS!$BX21)*MACROMICROELEMENTOS!$BY21*MACROMICROELEMENTOS!$D21*(1/MACROMICROELEMENTOS!$C21)*MACROMICROELEMENTOS!$E21))</f>
        <v/>
      </c>
      <c r="CA21" s="17" t="str">
        <f>IF(AND(MACROMICROELEMENTOS!$AO21="",MACROMICROELEMENTOS!$AP21="",MACROMICROELEMENTOS!$AQ21="",MACROMICROELEMENTOS!$AR21=""),"",AVERAGE(MACROMICROELEMENTOS!$AO21,MACROMICROELEMENTOS!$AP21,MACROMICROELEMENTOS!$AQ21,MACROMICROELEMENTOS!$AR21))</f>
        <v/>
      </c>
      <c r="CB21" s="23">
        <v>1</v>
      </c>
      <c r="CC21" s="31" t="str">
        <f>IF(OR(MACROMICROELEMENTOS!$A21="",MACROMICROELEMENTOS!$B21="",MACROMICROELEMENTOS!$C21="",MACROMICROELEMENTOS!$D21="",MACROMICROELEMENTOS!$E21="",MACROMICROELEMENTOS!$L21="",MACROMICROELEMENTOS!$CA21="",MACROMICROELEMENTOS!$CB21=""),"",((MACROMICROELEMENTOS!$L21-MACROMICROELEMENTOS!$CA21)*MACROMICROELEMENTOS!$CB21*MACROMICROELEMENTOS!$D21*(1/MACROMICROELEMENTOS!$C21)*MACROMICROELEMENTOS!$E21))</f>
        <v/>
      </c>
      <c r="CD21" s="17" t="str">
        <f>IF(AND(MACROMICROELEMENTOS!$AS21="",MACROMICROELEMENTOS!$AT21="",MACROMICROELEMENTOS!$AU21="",MACROMICROELEMENTOS!$AV21=""),"",AVERAGE(MACROMICROELEMENTOS!$AS21,MACROMICROELEMENTOS!$AT21,MACROMICROELEMENTOS!$AU21,MACROMICROELEMENTOS!$AV21))</f>
        <v/>
      </c>
      <c r="CE21" s="23">
        <v>1</v>
      </c>
      <c r="CF21" s="31" t="str">
        <f>IF(OR(MACROMICROELEMENTOS!$A21="",MACROMICROELEMENTOS!$B21="",MACROMICROELEMENTOS!$C21="",MACROMICROELEMENTOS!$D21="",MACROMICROELEMENTOS!$E21="",MACROMICROELEMENTOS!$M21="",MACROMICROELEMENTOS!$CD21="",MACROMICROELEMENTOS!$CE21=""),"",((MACROMICROELEMENTOS!$M21-MACROMICROELEMENTOS!$CD21)*MACROMICROELEMENTOS!$CE21*MACROMICROELEMENTOS!$D21*(1/MACROMICROELEMENTOS!$C21)*MACROMICROELEMENTOS!$E21))</f>
        <v/>
      </c>
      <c r="CG21" s="17" t="str">
        <f>IF(AND(MACROMICROELEMENTOS!$AW21="",MACROMICROELEMENTOS!$AX21="",MACROMICROELEMENTOS!$AY21="",MACROMICROELEMENTOS!$AZ21=""),"",AVERAGE(MACROMICROELEMENTOS!$AW21,MACROMICROELEMENTOS!$AX21,MACROMICROELEMENTOS!$AY21,MACROMICROELEMENTOS!$AZ21))</f>
        <v/>
      </c>
      <c r="CH21" s="23">
        <v>1</v>
      </c>
      <c r="CI21" s="31" t="str">
        <f>IF(OR(MACROMICROELEMENTOS!$A21="",MACROMICROELEMENTOS!$B21="",MACROMICROELEMENTOS!$C21="",MACROMICROELEMENTOS!$D21="",MACROMICROELEMENTOS!$E21="",MACROMICROELEMENTOS!$N21="",MACROMICROELEMENTOS!$CG21="",MACROMICROELEMENTOS!$CH21=""),"",((MACROMICROELEMENTOS!$N21-MACROMICROELEMENTOS!$CG21)*MACROMICROELEMENTOS!$CH21*MACROMICROELEMENTOS!$D21*(1/MACROMICROELEMENTOS!$C21)*MACROMICROELEMENTOS!$E21))</f>
        <v/>
      </c>
      <c r="CJ21" s="17" t="str">
        <f>IF(AND(MACROMICROELEMENTOS!$BA21="",MACROMICROELEMENTOS!$BB21="",MACROMICROELEMENTOS!$BC21="",MACROMICROELEMENTOS!$BD21=""),"",IF(O21&gt;2,0,AVERAGE(MACROMICROELEMENTOS!$BA21,MACROMICROELEMENTOS!$BB21,MACROMICROELEMENTOS!$BC21,MACROMICROELEMENTOS!$BD21)))</f>
        <v/>
      </c>
      <c r="CK21" s="23">
        <v>1</v>
      </c>
      <c r="CL21" s="31" t="str">
        <f>IF(OR(MACROMICROELEMENTOS!$A21="",MACROMICROELEMENTOS!$B21="",MACROMICROELEMENTOS!$C21="",MACROMICROELEMENTOS!$D21="",MACROMICROELEMENTOS!$E21="",MACROMICROELEMENTOS!$O21="",MACROMICROELEMENTOS!$CJ21="",MACROMICROELEMENTOS!$CK21=""),"",((MACROMICROELEMENTOS!$O21-MACROMICROELEMENTOS!$CJ21)*MACROMICROELEMENTOS!$CK21*MACROMICROELEMENTOS!$D21*(1/MACROMICROELEMENTOS!$C21)*MACROMICROELEMENTOS!$E21))</f>
        <v/>
      </c>
      <c r="CM21" s="17" t="str">
        <f>IF(AND(MACROMICROELEMENTOS!$BE21="",MACROMICROELEMENTOS!$BF21="",MACROMICROELEMENTOS!$BG21="",MACROMICROELEMENTOS!$BH21=""),"",AVERAGE(MACROMICROELEMENTOS!$BE21,MACROMICROELEMENTOS!$BF21,MACROMICROELEMENTOS!$BG21,MACROMICROELEMENTOS!$BH21))</f>
        <v/>
      </c>
      <c r="CN21" s="23">
        <v>1</v>
      </c>
      <c r="CO21" s="31" t="str">
        <f>IF(OR(MACROMICROELEMENTOS!$A21="",MACROMICROELEMENTOS!$B21="",MACROMICROELEMENTOS!$C21="",MACROMICROELEMENTOS!$D21="",MACROMICROELEMENTOS!$E21="",MACROMICROELEMENTOS!$P21="",MACROMICROELEMENTOS!$CM21="",MACROMICROELEMENTOS!$CN21=""),"",((MACROMICROELEMENTOS!$P21-MACROMICROELEMENTOS!$CM21)*MACROMICROELEMENTOS!$CN21*MACROMICROELEMENTOS!$D21*(1/MACROMICROELEMENTOS!$C21)*MACROMICROELEMENTOS!$E21))</f>
        <v/>
      </c>
    </row>
    <row r="22" spans="1:93" x14ac:dyDescent="0.3">
      <c r="A22" s="19" t="str">
        <f>IF(Pesada!A22="","",Pesada!A22)</f>
        <v/>
      </c>
      <c r="B22" s="16" t="str">
        <f>IF(Pesada!B22="","",Pesada!B22)</f>
        <v/>
      </c>
      <c r="C22" s="20" t="str">
        <f>IF(Pesada!C22="","",VALUE(Pesada!C22))</f>
        <v/>
      </c>
      <c r="D22" s="23">
        <v>100</v>
      </c>
      <c r="E22" s="30" t="str">
        <f>IF(METALESPESADOS!E22="","",METALESPESADOS!E22)</f>
        <v/>
      </c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  <c r="BF22" s="24"/>
      <c r="BG22" s="24"/>
      <c r="BH22" s="24"/>
      <c r="BI22" s="17" t="str">
        <f>IF(AND(MACROMICROELEMENTOS!$U22="",MACROMICROELEMENTOS!$V22="",MACROMICROELEMENTOS!$W22="",MACROMICROELEMENTOS!$X22=""),"",AVERAGE(MACROMICROELEMENTOS!$U22,MACROMICROELEMENTOS!$V22,MACROMICROELEMENTOS!$W22,MACROMICROELEMENTOS!$X22))</f>
        <v/>
      </c>
      <c r="BJ22" s="23">
        <v>1</v>
      </c>
      <c r="BK22" s="31" t="str">
        <f>IF(OR(MACROMICROELEMENTOS!$A22="",MACROMICROELEMENTOS!$B22="",MACROMICROELEMENTOS!$C22="",MACROMICROELEMENTOS!$D22="",MACROMICROELEMENTOS!$E22="",MACROMICROELEMENTOS!$F22="",MACROMICROELEMENTOS!$BI22="",MACROMICROELEMENTOS!$BJ22=""),"",((MACROMICROELEMENTOS!$F22-MACROMICROELEMENTOS!$BI22)*MACROMICROELEMENTOS!$BJ22*MACROMICROELEMENTOS!$D22*(1/MACROMICROELEMENTOS!$C22)*MACROMICROELEMENTOS!$E22))</f>
        <v/>
      </c>
      <c r="BL22" s="17" t="str">
        <f>IF(AND(MACROMICROELEMENTOS!$Y22="",MACROMICROELEMENTOS!$Z22="",MACROMICROELEMENTOS!$AA22="",MACROMICROELEMENTOS!$AB22=""),"",AVERAGE(MACROMICROELEMENTOS!$Y22,MACROMICROELEMENTOS!$Z22,MACROMICROELEMENTOS!$AA22,MACROMICROELEMENTOS!$AB22))</f>
        <v/>
      </c>
      <c r="BM22" s="23">
        <v>1</v>
      </c>
      <c r="BN22" s="31" t="str">
        <f>IF(OR(MACROMICROELEMENTOS!$A22="",MACROMICROELEMENTOS!$B22="",MACROMICROELEMENTOS!$C22="",MACROMICROELEMENTOS!$D22="",MACROMICROELEMENTOS!$E22="",MACROMICROELEMENTOS!$G22="",MACROMICROELEMENTOS!$BL22="",MACROMICROELEMENTOS!$BM22=""),"",((MACROMICROELEMENTOS!$G22-MACROMICROELEMENTOS!$BL22)*MACROMICROELEMENTOS!$BM22*MACROMICROELEMENTOS!$D22*(1/MACROMICROELEMENTOS!$C22)*MACROMICROELEMENTOS!$E22/1000))</f>
        <v/>
      </c>
      <c r="BO22" s="17" t="str">
        <f>IF(AND(MACROMICROELEMENTOS!$AC22="",MACROMICROELEMENTOS!$AD22="",MACROMICROELEMENTOS!$AE22="",MACROMICROELEMENTOS!$AF22=""),"",AVERAGE(MACROMICROELEMENTOS!$AC22,MACROMICROELEMENTOS!$AD22,MACROMICROELEMENTOS!$AE22,MACROMICROELEMENTOS!$AF22))</f>
        <v/>
      </c>
      <c r="BP22" s="23">
        <v>1</v>
      </c>
      <c r="BQ22" s="31" t="str">
        <f>IF(OR(MACROMICROELEMENTOS!$A22="",MACROMICROELEMENTOS!$B22="",MACROMICROELEMENTOS!$C22="",MACROMICROELEMENTOS!$D22="",MACROMICROELEMENTOS!$E22="",MACROMICROELEMENTOS!$H22="",MACROMICROELEMENTOS!$BO22="",MACROMICROELEMENTOS!$BP22=""),"",((MACROMICROELEMENTOS!$H22-MACROMICROELEMENTOS!$BO22)*MACROMICROELEMENTOS!$BP22*MACROMICROELEMENTOS!$D22*(1/MACROMICROELEMENTOS!$C22)*MACROMICROELEMENTOS!$E22))</f>
        <v/>
      </c>
      <c r="BR22" s="17" t="str">
        <f>IF(AND(MACROMICROELEMENTOS!$Q22="",MACROMICROELEMENTOS!$R22="",MACROMICROELEMENTOS!$S22="",MACROMICROELEMENTOS!$T22=""),"",AVERAGE(MACROMICROELEMENTOS!$Q22,MACROMICROELEMENTOS!$R22,MACROMICROELEMENTOS!$S22,MACROMICROELEMENTOS!$T22))</f>
        <v/>
      </c>
      <c r="BS22" s="23">
        <v>1</v>
      </c>
      <c r="BT22" s="31" t="str">
        <f>IF(OR(MACROMICROELEMENTOS!$A22="",MACROMICROELEMENTOS!$B22="",MACROMICROELEMENTOS!$C22="",MACROMICROELEMENTOS!$D22="",MACROMICROELEMENTOS!$E22="",MACROMICROELEMENTOS!$I22="",MACROMICROELEMENTOS!$BR22="",MACROMICROELEMENTOS!$BS22=""),"",((MACROMICROELEMENTOS!$I22-MACROMICROELEMENTOS!$BR22)*MACROMICROELEMENTOS!$BS22*MACROMICROELEMENTOS!$D22*(1/MACROMICROELEMENTOS!$C22)*MACROMICROELEMENTOS!$E22))</f>
        <v/>
      </c>
      <c r="BU22" s="17" t="str">
        <f>IF(AND(MACROMICROELEMENTOS!$AG22="",MACROMICROELEMENTOS!$AH22="",MACROMICROELEMENTOS!$AI22="",MACROMICROELEMENTOS!$AJ22=""),"",AVERAGE(MACROMICROELEMENTOS!$AG22,MACROMICROELEMENTOS!$AH22,MACROMICROELEMENTOS!$AI22,MACROMICROELEMENTOS!$AJ22))</f>
        <v/>
      </c>
      <c r="BV22" s="23">
        <v>1</v>
      </c>
      <c r="BW22" s="31" t="str">
        <f>IF(OR(MACROMICROELEMENTOS!$A22="",MACROMICROELEMENTOS!$B22="",MACROMICROELEMENTOS!$C22="",MACROMICROELEMENTOS!$D22="",MACROMICROELEMENTOS!$E22="",MACROMICROELEMENTOS!$J22="",MACROMICROELEMENTOS!$BU22="",MACROMICROELEMENTOS!$BV22=""),"",((MACROMICROELEMENTOS!$J22-MACROMICROELEMENTOS!$BU22)*MACROMICROELEMENTOS!$BV22*MACROMICROELEMENTOS!$D22*(1/MACROMICROELEMENTOS!$C22)*MACROMICROELEMENTOS!$E22))</f>
        <v/>
      </c>
      <c r="BX22" s="17" t="str">
        <f>IF(AND(MACROMICROELEMENTOS!$AK22="",MACROMICROELEMENTOS!$AL22="",MACROMICROELEMENTOS!$AM22="",MACROMICROELEMENTOS!$AN22=""),"",AVERAGE(MACROMICROELEMENTOS!$AK22,MACROMICROELEMENTOS!$AL22,MACROMICROELEMENTOS!$AM22,MACROMICROELEMENTOS!$AN22))</f>
        <v/>
      </c>
      <c r="BY22" s="23">
        <v>1</v>
      </c>
      <c r="BZ22" s="31" t="str">
        <f>IF(OR(MACROMICROELEMENTOS!$A22="",MACROMICROELEMENTOS!$B22="",MACROMICROELEMENTOS!$C22="",MACROMICROELEMENTOS!$D22="",MACROMICROELEMENTOS!$E22="",MACROMICROELEMENTOS!$K22="",MACROMICROELEMENTOS!$BX22="",MACROMICROELEMENTOS!$BY22=""),"",((MACROMICROELEMENTOS!$K22-MACROMICROELEMENTOS!$BX22)*MACROMICROELEMENTOS!$BY22*MACROMICROELEMENTOS!$D22*(1/MACROMICROELEMENTOS!$C22)*MACROMICROELEMENTOS!$E22))</f>
        <v/>
      </c>
      <c r="CA22" s="17" t="str">
        <f>IF(AND(MACROMICROELEMENTOS!$AO22="",MACROMICROELEMENTOS!$AP22="",MACROMICROELEMENTOS!$AQ22="",MACROMICROELEMENTOS!$AR22=""),"",AVERAGE(MACROMICROELEMENTOS!$AO22,MACROMICROELEMENTOS!$AP22,MACROMICROELEMENTOS!$AQ22,MACROMICROELEMENTOS!$AR22))</f>
        <v/>
      </c>
      <c r="CB22" s="23">
        <v>1</v>
      </c>
      <c r="CC22" s="31" t="str">
        <f>IF(OR(MACROMICROELEMENTOS!$A22="",MACROMICROELEMENTOS!$B22="",MACROMICROELEMENTOS!$C22="",MACROMICROELEMENTOS!$D22="",MACROMICROELEMENTOS!$E22="",MACROMICROELEMENTOS!$L22="",MACROMICROELEMENTOS!$CA22="",MACROMICROELEMENTOS!$CB22=""),"",((MACROMICROELEMENTOS!$L22-MACROMICROELEMENTOS!$CA22)*MACROMICROELEMENTOS!$CB22*MACROMICROELEMENTOS!$D22*(1/MACROMICROELEMENTOS!$C22)*MACROMICROELEMENTOS!$E22))</f>
        <v/>
      </c>
      <c r="CD22" s="17" t="str">
        <f>IF(AND(MACROMICROELEMENTOS!$AS22="",MACROMICROELEMENTOS!$AT22="",MACROMICROELEMENTOS!$AU22="",MACROMICROELEMENTOS!$AV22=""),"",AVERAGE(MACROMICROELEMENTOS!$AS22,MACROMICROELEMENTOS!$AT22,MACROMICROELEMENTOS!$AU22,MACROMICROELEMENTOS!$AV22))</f>
        <v/>
      </c>
      <c r="CE22" s="23">
        <v>1</v>
      </c>
      <c r="CF22" s="31" t="str">
        <f>IF(OR(MACROMICROELEMENTOS!$A22="",MACROMICROELEMENTOS!$B22="",MACROMICROELEMENTOS!$C22="",MACROMICROELEMENTOS!$D22="",MACROMICROELEMENTOS!$E22="",MACROMICROELEMENTOS!$M22="",MACROMICROELEMENTOS!$CD22="",MACROMICROELEMENTOS!$CE22=""),"",((MACROMICROELEMENTOS!$M22-MACROMICROELEMENTOS!$CD22)*MACROMICROELEMENTOS!$CE22*MACROMICROELEMENTOS!$D22*(1/MACROMICROELEMENTOS!$C22)*MACROMICROELEMENTOS!$E22))</f>
        <v/>
      </c>
      <c r="CG22" s="17" t="str">
        <f>IF(AND(MACROMICROELEMENTOS!$AW22="",MACROMICROELEMENTOS!$AX22="",MACROMICROELEMENTOS!$AY22="",MACROMICROELEMENTOS!$AZ22=""),"",AVERAGE(MACROMICROELEMENTOS!$AW22,MACROMICROELEMENTOS!$AX22,MACROMICROELEMENTOS!$AY22,MACROMICROELEMENTOS!$AZ22))</f>
        <v/>
      </c>
      <c r="CH22" s="23">
        <v>1</v>
      </c>
      <c r="CI22" s="31" t="str">
        <f>IF(OR(MACROMICROELEMENTOS!$A22="",MACROMICROELEMENTOS!$B22="",MACROMICROELEMENTOS!$C22="",MACROMICROELEMENTOS!$D22="",MACROMICROELEMENTOS!$E22="",MACROMICROELEMENTOS!$N22="",MACROMICROELEMENTOS!$CG22="",MACROMICROELEMENTOS!$CH22=""),"",((MACROMICROELEMENTOS!$N22-MACROMICROELEMENTOS!$CG22)*MACROMICROELEMENTOS!$CH22*MACROMICROELEMENTOS!$D22*(1/MACROMICROELEMENTOS!$C22)*MACROMICROELEMENTOS!$E22))</f>
        <v/>
      </c>
      <c r="CJ22" s="17" t="str">
        <f>IF(AND(MACROMICROELEMENTOS!$BA22="",MACROMICROELEMENTOS!$BB22="",MACROMICROELEMENTOS!$BC22="",MACROMICROELEMENTOS!$BD22=""),"",IF(O22&gt;2,0,AVERAGE(MACROMICROELEMENTOS!$BA22,MACROMICROELEMENTOS!$BB22,MACROMICROELEMENTOS!$BC22,MACROMICROELEMENTOS!$BD22)))</f>
        <v/>
      </c>
      <c r="CK22" s="23">
        <v>1</v>
      </c>
      <c r="CL22" s="31" t="str">
        <f>IF(OR(MACROMICROELEMENTOS!$A22="",MACROMICROELEMENTOS!$B22="",MACROMICROELEMENTOS!$C22="",MACROMICROELEMENTOS!$D22="",MACROMICROELEMENTOS!$E22="",MACROMICROELEMENTOS!$O22="",MACROMICROELEMENTOS!$CJ22="",MACROMICROELEMENTOS!$CK22=""),"",((MACROMICROELEMENTOS!$O22-MACROMICROELEMENTOS!$CJ22)*MACROMICROELEMENTOS!$CK22*MACROMICROELEMENTOS!$D22*(1/MACROMICROELEMENTOS!$C22)*MACROMICROELEMENTOS!$E22))</f>
        <v/>
      </c>
      <c r="CM22" s="17" t="str">
        <f>IF(AND(MACROMICROELEMENTOS!$BE22="",MACROMICROELEMENTOS!$BF22="",MACROMICROELEMENTOS!$BG22="",MACROMICROELEMENTOS!$BH22=""),"",AVERAGE(MACROMICROELEMENTOS!$BE22,MACROMICROELEMENTOS!$BF22,MACROMICROELEMENTOS!$BG22,MACROMICROELEMENTOS!$BH22))</f>
        <v/>
      </c>
      <c r="CN22" s="23">
        <v>1</v>
      </c>
      <c r="CO22" s="31" t="str">
        <f>IF(OR(MACROMICROELEMENTOS!$A22="",MACROMICROELEMENTOS!$B22="",MACROMICROELEMENTOS!$C22="",MACROMICROELEMENTOS!$D22="",MACROMICROELEMENTOS!$E22="",MACROMICROELEMENTOS!$P22="",MACROMICROELEMENTOS!$CM22="",MACROMICROELEMENTOS!$CN22=""),"",((MACROMICROELEMENTOS!$P22-MACROMICROELEMENTOS!$CM22)*MACROMICROELEMENTOS!$CN22*MACROMICROELEMENTOS!$D22*(1/MACROMICROELEMENTOS!$C22)*MACROMICROELEMENTOS!$E22))</f>
        <v/>
      </c>
    </row>
    <row r="23" spans="1:93" x14ac:dyDescent="0.3">
      <c r="A23" s="19" t="str">
        <f>IF(Pesada!A23="","",Pesada!A23)</f>
        <v/>
      </c>
      <c r="B23" s="16" t="str">
        <f>IF(Pesada!B23="","",Pesada!B23)</f>
        <v/>
      </c>
      <c r="C23" s="20" t="str">
        <f>IF(Pesada!C23="","",VALUE(Pesada!C23))</f>
        <v/>
      </c>
      <c r="D23" s="23">
        <v>100</v>
      </c>
      <c r="E23" s="30" t="str">
        <f>IF(METALESPESADOS!E23="","",METALESPESADOS!E23)</f>
        <v/>
      </c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17" t="str">
        <f>IF(AND(MACROMICROELEMENTOS!$U23="",MACROMICROELEMENTOS!$V23="",MACROMICROELEMENTOS!$W23="",MACROMICROELEMENTOS!$X23=""),"",AVERAGE(MACROMICROELEMENTOS!$U23,MACROMICROELEMENTOS!$V23,MACROMICROELEMENTOS!$W23,MACROMICROELEMENTOS!$X23))</f>
        <v/>
      </c>
      <c r="BJ23" s="23">
        <v>1</v>
      </c>
      <c r="BK23" s="31" t="str">
        <f>IF(OR(MACROMICROELEMENTOS!$A23="",MACROMICROELEMENTOS!$B23="",MACROMICROELEMENTOS!$C23="",MACROMICROELEMENTOS!$D23="",MACROMICROELEMENTOS!$E23="",MACROMICROELEMENTOS!$F23="",MACROMICROELEMENTOS!$BI23="",MACROMICROELEMENTOS!$BJ23=""),"",((MACROMICROELEMENTOS!$F23-MACROMICROELEMENTOS!$BI23)*MACROMICROELEMENTOS!$BJ23*MACROMICROELEMENTOS!$D23*(1/MACROMICROELEMENTOS!$C23)*MACROMICROELEMENTOS!$E23))</f>
        <v/>
      </c>
      <c r="BL23" s="17" t="str">
        <f>IF(AND(MACROMICROELEMENTOS!$Y23="",MACROMICROELEMENTOS!$Z23="",MACROMICROELEMENTOS!$AA23="",MACROMICROELEMENTOS!$AB23=""),"",AVERAGE(MACROMICROELEMENTOS!$Y23,MACROMICROELEMENTOS!$Z23,MACROMICROELEMENTOS!$AA23,MACROMICROELEMENTOS!$AB23))</f>
        <v/>
      </c>
      <c r="BM23" s="23">
        <v>1</v>
      </c>
      <c r="BN23" s="31" t="str">
        <f>IF(OR(MACROMICROELEMENTOS!$A23="",MACROMICROELEMENTOS!$B23="",MACROMICROELEMENTOS!$C23="",MACROMICROELEMENTOS!$D23="",MACROMICROELEMENTOS!$E23="",MACROMICROELEMENTOS!$G23="",MACROMICROELEMENTOS!$BL23="",MACROMICROELEMENTOS!$BM23=""),"",((MACROMICROELEMENTOS!$G23-MACROMICROELEMENTOS!$BL23)*MACROMICROELEMENTOS!$BM23*MACROMICROELEMENTOS!$D23*(1/MACROMICROELEMENTOS!$C23)*MACROMICROELEMENTOS!$E23/1000))</f>
        <v/>
      </c>
      <c r="BO23" s="17" t="str">
        <f>IF(AND(MACROMICROELEMENTOS!$AC23="",MACROMICROELEMENTOS!$AD23="",MACROMICROELEMENTOS!$AE23="",MACROMICROELEMENTOS!$AF23=""),"",AVERAGE(MACROMICROELEMENTOS!$AC23,MACROMICROELEMENTOS!$AD23,MACROMICROELEMENTOS!$AE23,MACROMICROELEMENTOS!$AF23))</f>
        <v/>
      </c>
      <c r="BP23" s="23">
        <v>1</v>
      </c>
      <c r="BQ23" s="31" t="str">
        <f>IF(OR(MACROMICROELEMENTOS!$A23="",MACROMICROELEMENTOS!$B23="",MACROMICROELEMENTOS!$C23="",MACROMICROELEMENTOS!$D23="",MACROMICROELEMENTOS!$E23="",MACROMICROELEMENTOS!$H23="",MACROMICROELEMENTOS!$BO23="",MACROMICROELEMENTOS!$BP23=""),"",((MACROMICROELEMENTOS!$H23-MACROMICROELEMENTOS!$BO23)*MACROMICROELEMENTOS!$BP23*MACROMICROELEMENTOS!$D23*(1/MACROMICROELEMENTOS!$C23)*MACROMICROELEMENTOS!$E23))</f>
        <v/>
      </c>
      <c r="BR23" s="17" t="str">
        <f>IF(AND(MACROMICROELEMENTOS!$Q23="",MACROMICROELEMENTOS!$R23="",MACROMICROELEMENTOS!$S23="",MACROMICROELEMENTOS!$T23=""),"",AVERAGE(MACROMICROELEMENTOS!$Q23,MACROMICROELEMENTOS!$R23,MACROMICROELEMENTOS!$S23,MACROMICROELEMENTOS!$T23))</f>
        <v/>
      </c>
      <c r="BS23" s="23">
        <v>1</v>
      </c>
      <c r="BT23" s="31" t="str">
        <f>IF(OR(MACROMICROELEMENTOS!$A23="",MACROMICROELEMENTOS!$B23="",MACROMICROELEMENTOS!$C23="",MACROMICROELEMENTOS!$D23="",MACROMICROELEMENTOS!$E23="",MACROMICROELEMENTOS!$I23="",MACROMICROELEMENTOS!$BR23="",MACROMICROELEMENTOS!$BS23=""),"",((MACROMICROELEMENTOS!$I23-MACROMICROELEMENTOS!$BR23)*MACROMICROELEMENTOS!$BS23*MACROMICROELEMENTOS!$D23*(1/MACROMICROELEMENTOS!$C23)*MACROMICROELEMENTOS!$E23))</f>
        <v/>
      </c>
      <c r="BU23" s="17" t="str">
        <f>IF(AND(MACROMICROELEMENTOS!$AG23="",MACROMICROELEMENTOS!$AH23="",MACROMICROELEMENTOS!$AI23="",MACROMICROELEMENTOS!$AJ23=""),"",AVERAGE(MACROMICROELEMENTOS!$AG23,MACROMICROELEMENTOS!$AH23,MACROMICROELEMENTOS!$AI23,MACROMICROELEMENTOS!$AJ23))</f>
        <v/>
      </c>
      <c r="BV23" s="23">
        <v>1</v>
      </c>
      <c r="BW23" s="31" t="str">
        <f>IF(OR(MACROMICROELEMENTOS!$A23="",MACROMICROELEMENTOS!$B23="",MACROMICROELEMENTOS!$C23="",MACROMICROELEMENTOS!$D23="",MACROMICROELEMENTOS!$E23="",MACROMICROELEMENTOS!$J23="",MACROMICROELEMENTOS!$BU23="",MACROMICROELEMENTOS!$BV23=""),"",((MACROMICROELEMENTOS!$J23-MACROMICROELEMENTOS!$BU23)*MACROMICROELEMENTOS!$BV23*MACROMICROELEMENTOS!$D23*(1/MACROMICROELEMENTOS!$C23)*MACROMICROELEMENTOS!$E23))</f>
        <v/>
      </c>
      <c r="BX23" s="17" t="str">
        <f>IF(AND(MACROMICROELEMENTOS!$AK23="",MACROMICROELEMENTOS!$AL23="",MACROMICROELEMENTOS!$AM23="",MACROMICROELEMENTOS!$AN23=""),"",AVERAGE(MACROMICROELEMENTOS!$AK23,MACROMICROELEMENTOS!$AL23,MACROMICROELEMENTOS!$AM23,MACROMICROELEMENTOS!$AN23))</f>
        <v/>
      </c>
      <c r="BY23" s="23">
        <v>1</v>
      </c>
      <c r="BZ23" s="31" t="str">
        <f>IF(OR(MACROMICROELEMENTOS!$A23="",MACROMICROELEMENTOS!$B23="",MACROMICROELEMENTOS!$C23="",MACROMICROELEMENTOS!$D23="",MACROMICROELEMENTOS!$E23="",MACROMICROELEMENTOS!$K23="",MACROMICROELEMENTOS!$BX23="",MACROMICROELEMENTOS!$BY23=""),"",((MACROMICROELEMENTOS!$K23-MACROMICROELEMENTOS!$BX23)*MACROMICROELEMENTOS!$BY23*MACROMICROELEMENTOS!$D23*(1/MACROMICROELEMENTOS!$C23)*MACROMICROELEMENTOS!$E23))</f>
        <v/>
      </c>
      <c r="CA23" s="17" t="str">
        <f>IF(AND(MACROMICROELEMENTOS!$AO23="",MACROMICROELEMENTOS!$AP23="",MACROMICROELEMENTOS!$AQ23="",MACROMICROELEMENTOS!$AR23=""),"",AVERAGE(MACROMICROELEMENTOS!$AO23,MACROMICROELEMENTOS!$AP23,MACROMICROELEMENTOS!$AQ23,MACROMICROELEMENTOS!$AR23))</f>
        <v/>
      </c>
      <c r="CB23" s="23">
        <v>1</v>
      </c>
      <c r="CC23" s="31" t="str">
        <f>IF(OR(MACROMICROELEMENTOS!$A23="",MACROMICROELEMENTOS!$B23="",MACROMICROELEMENTOS!$C23="",MACROMICROELEMENTOS!$D23="",MACROMICROELEMENTOS!$E23="",MACROMICROELEMENTOS!$L23="",MACROMICROELEMENTOS!$CA23="",MACROMICROELEMENTOS!$CB23=""),"",((MACROMICROELEMENTOS!$L23-MACROMICROELEMENTOS!$CA23)*MACROMICROELEMENTOS!$CB23*MACROMICROELEMENTOS!$D23*(1/MACROMICROELEMENTOS!$C23)*MACROMICROELEMENTOS!$E23))</f>
        <v/>
      </c>
      <c r="CD23" s="17" t="str">
        <f>IF(AND(MACROMICROELEMENTOS!$AS23="",MACROMICROELEMENTOS!$AT23="",MACROMICROELEMENTOS!$AU23="",MACROMICROELEMENTOS!$AV23=""),"",AVERAGE(MACROMICROELEMENTOS!$AS23,MACROMICROELEMENTOS!$AT23,MACROMICROELEMENTOS!$AU23,MACROMICROELEMENTOS!$AV23))</f>
        <v/>
      </c>
      <c r="CE23" s="23">
        <v>1</v>
      </c>
      <c r="CF23" s="31" t="str">
        <f>IF(OR(MACROMICROELEMENTOS!$A23="",MACROMICROELEMENTOS!$B23="",MACROMICROELEMENTOS!$C23="",MACROMICROELEMENTOS!$D23="",MACROMICROELEMENTOS!$E23="",MACROMICROELEMENTOS!$M23="",MACROMICROELEMENTOS!$CD23="",MACROMICROELEMENTOS!$CE23=""),"",((MACROMICROELEMENTOS!$M23-MACROMICROELEMENTOS!$CD23)*MACROMICROELEMENTOS!$CE23*MACROMICROELEMENTOS!$D23*(1/MACROMICROELEMENTOS!$C23)*MACROMICROELEMENTOS!$E23))</f>
        <v/>
      </c>
      <c r="CG23" s="17" t="str">
        <f>IF(AND(MACROMICROELEMENTOS!$AW23="",MACROMICROELEMENTOS!$AX23="",MACROMICROELEMENTOS!$AY23="",MACROMICROELEMENTOS!$AZ23=""),"",AVERAGE(MACROMICROELEMENTOS!$AW23,MACROMICROELEMENTOS!$AX23,MACROMICROELEMENTOS!$AY23,MACROMICROELEMENTOS!$AZ23))</f>
        <v/>
      </c>
      <c r="CH23" s="23">
        <v>1</v>
      </c>
      <c r="CI23" s="31" t="str">
        <f>IF(OR(MACROMICROELEMENTOS!$A23="",MACROMICROELEMENTOS!$B23="",MACROMICROELEMENTOS!$C23="",MACROMICROELEMENTOS!$D23="",MACROMICROELEMENTOS!$E23="",MACROMICROELEMENTOS!$N23="",MACROMICROELEMENTOS!$CG23="",MACROMICROELEMENTOS!$CH23=""),"",((MACROMICROELEMENTOS!$N23-MACROMICROELEMENTOS!$CG23)*MACROMICROELEMENTOS!$CH23*MACROMICROELEMENTOS!$D23*(1/MACROMICROELEMENTOS!$C23)*MACROMICROELEMENTOS!$E23))</f>
        <v/>
      </c>
      <c r="CJ23" s="17" t="str">
        <f>IF(AND(MACROMICROELEMENTOS!$BA23="",MACROMICROELEMENTOS!$BB23="",MACROMICROELEMENTOS!$BC23="",MACROMICROELEMENTOS!$BD23=""),"",IF(O23&gt;2,0,AVERAGE(MACROMICROELEMENTOS!$BA23,MACROMICROELEMENTOS!$BB23,MACROMICROELEMENTOS!$BC23,MACROMICROELEMENTOS!$BD23)))</f>
        <v/>
      </c>
      <c r="CK23" s="23">
        <v>1</v>
      </c>
      <c r="CL23" s="31" t="str">
        <f>IF(OR(MACROMICROELEMENTOS!$A23="",MACROMICROELEMENTOS!$B23="",MACROMICROELEMENTOS!$C23="",MACROMICROELEMENTOS!$D23="",MACROMICROELEMENTOS!$E23="",MACROMICROELEMENTOS!$O23="",MACROMICROELEMENTOS!$CJ23="",MACROMICROELEMENTOS!$CK23=""),"",((MACROMICROELEMENTOS!$O23-MACROMICROELEMENTOS!$CJ23)*MACROMICROELEMENTOS!$CK23*MACROMICROELEMENTOS!$D23*(1/MACROMICROELEMENTOS!$C23)*MACROMICROELEMENTOS!$E23))</f>
        <v/>
      </c>
      <c r="CM23" s="17" t="str">
        <f>IF(AND(MACROMICROELEMENTOS!$BE23="",MACROMICROELEMENTOS!$BF23="",MACROMICROELEMENTOS!$BG23="",MACROMICROELEMENTOS!$BH23=""),"",AVERAGE(MACROMICROELEMENTOS!$BE23,MACROMICROELEMENTOS!$BF23,MACROMICROELEMENTOS!$BG23,MACROMICROELEMENTOS!$BH23))</f>
        <v/>
      </c>
      <c r="CN23" s="23">
        <v>1</v>
      </c>
      <c r="CO23" s="31" t="str">
        <f>IF(OR(MACROMICROELEMENTOS!$A23="",MACROMICROELEMENTOS!$B23="",MACROMICROELEMENTOS!$C23="",MACROMICROELEMENTOS!$D23="",MACROMICROELEMENTOS!$E23="",MACROMICROELEMENTOS!$P23="",MACROMICROELEMENTOS!$CM23="",MACROMICROELEMENTOS!$CN23=""),"",((MACROMICROELEMENTOS!$P23-MACROMICROELEMENTOS!$CM23)*MACROMICROELEMENTOS!$CN23*MACROMICROELEMENTOS!$D23*(1/MACROMICROELEMENTOS!$C23)*MACROMICROELEMENTOS!$E23))</f>
        <v/>
      </c>
    </row>
    <row r="24" spans="1:93" x14ac:dyDescent="0.3">
      <c r="A24" s="19" t="str">
        <f>IF(Pesada!A24="","",Pesada!A24)</f>
        <v/>
      </c>
      <c r="B24" s="16" t="str">
        <f>IF(Pesada!B24="","",Pesada!B24)</f>
        <v/>
      </c>
      <c r="C24" s="20" t="str">
        <f>IF(Pesada!C24="","",VALUE(Pesada!C24))</f>
        <v/>
      </c>
      <c r="D24" s="23">
        <v>100</v>
      </c>
      <c r="E24" s="30" t="str">
        <f>IF(METALESPESADOS!E24="","",METALESPESADOS!E24)</f>
        <v/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4"/>
      <c r="BB24" s="24"/>
      <c r="BC24" s="24"/>
      <c r="BD24" s="24"/>
      <c r="BE24" s="24"/>
      <c r="BF24" s="24"/>
      <c r="BG24" s="24"/>
      <c r="BH24" s="24"/>
      <c r="BI24" s="17" t="str">
        <f>IF(AND(MACROMICROELEMENTOS!$U24="",MACROMICROELEMENTOS!$V24="",MACROMICROELEMENTOS!$W24="",MACROMICROELEMENTOS!$X24=""),"",AVERAGE(MACROMICROELEMENTOS!$U24,MACROMICROELEMENTOS!$V24,MACROMICROELEMENTOS!$W24,MACROMICROELEMENTOS!$X24))</f>
        <v/>
      </c>
      <c r="BJ24" s="23">
        <v>1</v>
      </c>
      <c r="BK24" s="31" t="str">
        <f>IF(OR(MACROMICROELEMENTOS!$A24="",MACROMICROELEMENTOS!$B24="",MACROMICROELEMENTOS!$C24="",MACROMICROELEMENTOS!$D24="",MACROMICROELEMENTOS!$E24="",MACROMICROELEMENTOS!$F24="",MACROMICROELEMENTOS!$BI24="",MACROMICROELEMENTOS!$BJ24=""),"",((MACROMICROELEMENTOS!$F24-MACROMICROELEMENTOS!$BI24)*MACROMICROELEMENTOS!$BJ24*MACROMICROELEMENTOS!$D24*(1/MACROMICROELEMENTOS!$C24)*MACROMICROELEMENTOS!$E24))</f>
        <v/>
      </c>
      <c r="BL24" s="17" t="str">
        <f>IF(AND(MACROMICROELEMENTOS!$Y24="",MACROMICROELEMENTOS!$Z24="",MACROMICROELEMENTOS!$AA24="",MACROMICROELEMENTOS!$AB24=""),"",AVERAGE(MACROMICROELEMENTOS!$Y24,MACROMICROELEMENTOS!$Z24,MACROMICROELEMENTOS!$AA24,MACROMICROELEMENTOS!$AB24))</f>
        <v/>
      </c>
      <c r="BM24" s="23">
        <v>1</v>
      </c>
      <c r="BN24" s="31" t="str">
        <f>IF(OR(MACROMICROELEMENTOS!$A24="",MACROMICROELEMENTOS!$B24="",MACROMICROELEMENTOS!$C24="",MACROMICROELEMENTOS!$D24="",MACROMICROELEMENTOS!$E24="",MACROMICROELEMENTOS!$G24="",MACROMICROELEMENTOS!$BL24="",MACROMICROELEMENTOS!$BM24=""),"",((MACROMICROELEMENTOS!$G24-MACROMICROELEMENTOS!$BL24)*MACROMICROELEMENTOS!$BM24*MACROMICROELEMENTOS!$D24*(1/MACROMICROELEMENTOS!$C24)*MACROMICROELEMENTOS!$E24/1000))</f>
        <v/>
      </c>
      <c r="BO24" s="17" t="str">
        <f>IF(AND(MACROMICROELEMENTOS!$AC24="",MACROMICROELEMENTOS!$AD24="",MACROMICROELEMENTOS!$AE24="",MACROMICROELEMENTOS!$AF24=""),"",AVERAGE(MACROMICROELEMENTOS!$AC24,MACROMICROELEMENTOS!$AD24,MACROMICROELEMENTOS!$AE24,MACROMICROELEMENTOS!$AF24))</f>
        <v/>
      </c>
      <c r="BP24" s="23">
        <v>1</v>
      </c>
      <c r="BQ24" s="31" t="str">
        <f>IF(OR(MACROMICROELEMENTOS!$A24="",MACROMICROELEMENTOS!$B24="",MACROMICROELEMENTOS!$C24="",MACROMICROELEMENTOS!$D24="",MACROMICROELEMENTOS!$E24="",MACROMICROELEMENTOS!$H24="",MACROMICROELEMENTOS!$BO24="",MACROMICROELEMENTOS!$BP24=""),"",((MACROMICROELEMENTOS!$H24-MACROMICROELEMENTOS!$BO24)*MACROMICROELEMENTOS!$BP24*MACROMICROELEMENTOS!$D24*(1/MACROMICROELEMENTOS!$C24)*MACROMICROELEMENTOS!$E24))</f>
        <v/>
      </c>
      <c r="BR24" s="17" t="str">
        <f>IF(AND(MACROMICROELEMENTOS!$Q24="",MACROMICROELEMENTOS!$R24="",MACROMICROELEMENTOS!$S24="",MACROMICROELEMENTOS!$T24=""),"",AVERAGE(MACROMICROELEMENTOS!$Q24,MACROMICROELEMENTOS!$R24,MACROMICROELEMENTOS!$S24,MACROMICROELEMENTOS!$T24))</f>
        <v/>
      </c>
      <c r="BS24" s="23">
        <v>1</v>
      </c>
      <c r="BT24" s="31" t="str">
        <f>IF(OR(MACROMICROELEMENTOS!$A24="",MACROMICROELEMENTOS!$B24="",MACROMICROELEMENTOS!$C24="",MACROMICROELEMENTOS!$D24="",MACROMICROELEMENTOS!$E24="",MACROMICROELEMENTOS!$I24="",MACROMICROELEMENTOS!$BR24="",MACROMICROELEMENTOS!$BS24=""),"",((MACROMICROELEMENTOS!$I24-MACROMICROELEMENTOS!$BR24)*MACROMICROELEMENTOS!$BS24*MACROMICROELEMENTOS!$D24*(1/MACROMICROELEMENTOS!$C24)*MACROMICROELEMENTOS!$E24))</f>
        <v/>
      </c>
      <c r="BU24" s="17" t="str">
        <f>IF(AND(MACROMICROELEMENTOS!$AG24="",MACROMICROELEMENTOS!$AH24="",MACROMICROELEMENTOS!$AI24="",MACROMICROELEMENTOS!$AJ24=""),"",AVERAGE(MACROMICROELEMENTOS!$AG24,MACROMICROELEMENTOS!$AH24,MACROMICROELEMENTOS!$AI24,MACROMICROELEMENTOS!$AJ24))</f>
        <v/>
      </c>
      <c r="BV24" s="23">
        <v>1</v>
      </c>
      <c r="BW24" s="31" t="str">
        <f>IF(OR(MACROMICROELEMENTOS!$A24="",MACROMICROELEMENTOS!$B24="",MACROMICROELEMENTOS!$C24="",MACROMICROELEMENTOS!$D24="",MACROMICROELEMENTOS!$E24="",MACROMICROELEMENTOS!$J24="",MACROMICROELEMENTOS!$BU24="",MACROMICROELEMENTOS!$BV24=""),"",((MACROMICROELEMENTOS!$J24-MACROMICROELEMENTOS!$BU24)*MACROMICROELEMENTOS!$BV24*MACROMICROELEMENTOS!$D24*(1/MACROMICROELEMENTOS!$C24)*MACROMICROELEMENTOS!$E24))</f>
        <v/>
      </c>
      <c r="BX24" s="17" t="str">
        <f>IF(AND(MACROMICROELEMENTOS!$AK24="",MACROMICROELEMENTOS!$AL24="",MACROMICROELEMENTOS!$AM24="",MACROMICROELEMENTOS!$AN24=""),"",AVERAGE(MACROMICROELEMENTOS!$AK24,MACROMICROELEMENTOS!$AL24,MACROMICROELEMENTOS!$AM24,MACROMICROELEMENTOS!$AN24))</f>
        <v/>
      </c>
      <c r="BY24" s="23">
        <v>1</v>
      </c>
      <c r="BZ24" s="31" t="str">
        <f>IF(OR(MACROMICROELEMENTOS!$A24="",MACROMICROELEMENTOS!$B24="",MACROMICROELEMENTOS!$C24="",MACROMICROELEMENTOS!$D24="",MACROMICROELEMENTOS!$E24="",MACROMICROELEMENTOS!$K24="",MACROMICROELEMENTOS!$BX24="",MACROMICROELEMENTOS!$BY24=""),"",((MACROMICROELEMENTOS!$K24-MACROMICROELEMENTOS!$BX24)*MACROMICROELEMENTOS!$BY24*MACROMICROELEMENTOS!$D24*(1/MACROMICROELEMENTOS!$C24)*MACROMICROELEMENTOS!$E24))</f>
        <v/>
      </c>
      <c r="CA24" s="17" t="str">
        <f>IF(AND(MACROMICROELEMENTOS!$AO24="",MACROMICROELEMENTOS!$AP24="",MACROMICROELEMENTOS!$AQ24="",MACROMICROELEMENTOS!$AR24=""),"",AVERAGE(MACROMICROELEMENTOS!$AO24,MACROMICROELEMENTOS!$AP24,MACROMICROELEMENTOS!$AQ24,MACROMICROELEMENTOS!$AR24))</f>
        <v/>
      </c>
      <c r="CB24" s="23">
        <v>1</v>
      </c>
      <c r="CC24" s="31" t="str">
        <f>IF(OR(MACROMICROELEMENTOS!$A24="",MACROMICROELEMENTOS!$B24="",MACROMICROELEMENTOS!$C24="",MACROMICROELEMENTOS!$D24="",MACROMICROELEMENTOS!$E24="",MACROMICROELEMENTOS!$L24="",MACROMICROELEMENTOS!$CA24="",MACROMICROELEMENTOS!$CB24=""),"",((MACROMICROELEMENTOS!$L24-MACROMICROELEMENTOS!$CA24)*MACROMICROELEMENTOS!$CB24*MACROMICROELEMENTOS!$D24*(1/MACROMICROELEMENTOS!$C24)*MACROMICROELEMENTOS!$E24))</f>
        <v/>
      </c>
      <c r="CD24" s="17" t="str">
        <f>IF(AND(MACROMICROELEMENTOS!$AS24="",MACROMICROELEMENTOS!$AT24="",MACROMICROELEMENTOS!$AU24="",MACROMICROELEMENTOS!$AV24=""),"",AVERAGE(MACROMICROELEMENTOS!$AS24,MACROMICROELEMENTOS!$AT24,MACROMICROELEMENTOS!$AU24,MACROMICROELEMENTOS!$AV24))</f>
        <v/>
      </c>
      <c r="CE24" s="23">
        <v>1</v>
      </c>
      <c r="CF24" s="31" t="str">
        <f>IF(OR(MACROMICROELEMENTOS!$A24="",MACROMICROELEMENTOS!$B24="",MACROMICROELEMENTOS!$C24="",MACROMICROELEMENTOS!$D24="",MACROMICROELEMENTOS!$E24="",MACROMICROELEMENTOS!$M24="",MACROMICROELEMENTOS!$CD24="",MACROMICROELEMENTOS!$CE24=""),"",((MACROMICROELEMENTOS!$M24-MACROMICROELEMENTOS!$CD24)*MACROMICROELEMENTOS!$CE24*MACROMICROELEMENTOS!$D24*(1/MACROMICROELEMENTOS!$C24)*MACROMICROELEMENTOS!$E24))</f>
        <v/>
      </c>
      <c r="CG24" s="17" t="str">
        <f>IF(AND(MACROMICROELEMENTOS!$AW24="",MACROMICROELEMENTOS!$AX24="",MACROMICROELEMENTOS!$AY24="",MACROMICROELEMENTOS!$AZ24=""),"",AVERAGE(MACROMICROELEMENTOS!$AW24,MACROMICROELEMENTOS!$AX24,MACROMICROELEMENTOS!$AY24,MACROMICROELEMENTOS!$AZ24))</f>
        <v/>
      </c>
      <c r="CH24" s="23">
        <v>1</v>
      </c>
      <c r="CI24" s="31" t="str">
        <f>IF(OR(MACROMICROELEMENTOS!$A24="",MACROMICROELEMENTOS!$B24="",MACROMICROELEMENTOS!$C24="",MACROMICROELEMENTOS!$D24="",MACROMICROELEMENTOS!$E24="",MACROMICROELEMENTOS!$N24="",MACROMICROELEMENTOS!$CG24="",MACROMICROELEMENTOS!$CH24=""),"",((MACROMICROELEMENTOS!$N24-MACROMICROELEMENTOS!$CG24)*MACROMICROELEMENTOS!$CH24*MACROMICROELEMENTOS!$D24*(1/MACROMICROELEMENTOS!$C24)*MACROMICROELEMENTOS!$E24))</f>
        <v/>
      </c>
      <c r="CJ24" s="17" t="str">
        <f>IF(AND(MACROMICROELEMENTOS!$BA24="",MACROMICROELEMENTOS!$BB24="",MACROMICROELEMENTOS!$BC24="",MACROMICROELEMENTOS!$BD24=""),"",IF(O24&gt;2,0,AVERAGE(MACROMICROELEMENTOS!$BA24,MACROMICROELEMENTOS!$BB24,MACROMICROELEMENTOS!$BC24,MACROMICROELEMENTOS!$BD24)))</f>
        <v/>
      </c>
      <c r="CK24" s="23">
        <v>1</v>
      </c>
      <c r="CL24" s="31" t="str">
        <f>IF(OR(MACROMICROELEMENTOS!$A24="",MACROMICROELEMENTOS!$B24="",MACROMICROELEMENTOS!$C24="",MACROMICROELEMENTOS!$D24="",MACROMICROELEMENTOS!$E24="",MACROMICROELEMENTOS!$O24="",MACROMICROELEMENTOS!$CJ24="",MACROMICROELEMENTOS!$CK24=""),"",((MACROMICROELEMENTOS!$O24-MACROMICROELEMENTOS!$CJ24)*MACROMICROELEMENTOS!$CK24*MACROMICROELEMENTOS!$D24*(1/MACROMICROELEMENTOS!$C24)*MACROMICROELEMENTOS!$E24))</f>
        <v/>
      </c>
      <c r="CM24" s="17" t="str">
        <f>IF(AND(MACROMICROELEMENTOS!$BE24="",MACROMICROELEMENTOS!$BF24="",MACROMICROELEMENTOS!$BG24="",MACROMICROELEMENTOS!$BH24=""),"",AVERAGE(MACROMICROELEMENTOS!$BE24,MACROMICROELEMENTOS!$BF24,MACROMICROELEMENTOS!$BG24,MACROMICROELEMENTOS!$BH24))</f>
        <v/>
      </c>
      <c r="CN24" s="23">
        <v>1</v>
      </c>
      <c r="CO24" s="31" t="str">
        <f>IF(OR(MACROMICROELEMENTOS!$A24="",MACROMICROELEMENTOS!$B24="",MACROMICROELEMENTOS!$C24="",MACROMICROELEMENTOS!$D24="",MACROMICROELEMENTOS!$E24="",MACROMICROELEMENTOS!$P24="",MACROMICROELEMENTOS!$CM24="",MACROMICROELEMENTOS!$CN24=""),"",((MACROMICROELEMENTOS!$P24-MACROMICROELEMENTOS!$CM24)*MACROMICROELEMENTOS!$CN24*MACROMICROELEMENTOS!$D24*(1/MACROMICROELEMENTOS!$C24)*MACROMICROELEMENTOS!$E24))</f>
        <v/>
      </c>
    </row>
    <row r="25" spans="1:93" x14ac:dyDescent="0.3">
      <c r="A25" s="19" t="str">
        <f>IF(Pesada!A25="","",Pesada!A25)</f>
        <v/>
      </c>
      <c r="B25" s="16" t="str">
        <f>IF(Pesada!B25="","",Pesada!B25)</f>
        <v/>
      </c>
      <c r="C25" s="20" t="str">
        <f>IF(Pesada!C25="","",VALUE(Pesada!C25))</f>
        <v/>
      </c>
      <c r="D25" s="23">
        <v>100</v>
      </c>
      <c r="E25" s="30" t="str">
        <f>IF(METALESPESADOS!E25="","",METALESPESADOS!E25)</f>
        <v/>
      </c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17" t="str">
        <f>IF(AND(MACROMICROELEMENTOS!$U25="",MACROMICROELEMENTOS!$V25="",MACROMICROELEMENTOS!$W25="",MACROMICROELEMENTOS!$X25=""),"",AVERAGE(MACROMICROELEMENTOS!$U25,MACROMICROELEMENTOS!$V25,MACROMICROELEMENTOS!$W25,MACROMICROELEMENTOS!$X25))</f>
        <v/>
      </c>
      <c r="BJ25" s="23">
        <v>1</v>
      </c>
      <c r="BK25" s="31" t="str">
        <f>IF(OR(MACROMICROELEMENTOS!$A25="",MACROMICROELEMENTOS!$B25="",MACROMICROELEMENTOS!$C25="",MACROMICROELEMENTOS!$D25="",MACROMICROELEMENTOS!$E25="",MACROMICROELEMENTOS!$F25="",MACROMICROELEMENTOS!$BI25="",MACROMICROELEMENTOS!$BJ25=""),"",((MACROMICROELEMENTOS!$F25-MACROMICROELEMENTOS!$BI25)*MACROMICROELEMENTOS!$BJ25*MACROMICROELEMENTOS!$D25*(1/MACROMICROELEMENTOS!$C25)*MACROMICROELEMENTOS!$E25))</f>
        <v/>
      </c>
      <c r="BL25" s="17" t="str">
        <f>IF(AND(MACROMICROELEMENTOS!$Y25="",MACROMICROELEMENTOS!$Z25="",MACROMICROELEMENTOS!$AA25="",MACROMICROELEMENTOS!$AB25=""),"",AVERAGE(MACROMICROELEMENTOS!$Y25,MACROMICROELEMENTOS!$Z25,MACROMICROELEMENTOS!$AA25,MACROMICROELEMENTOS!$AB25))</f>
        <v/>
      </c>
      <c r="BM25" s="23">
        <v>1</v>
      </c>
      <c r="BN25" s="31" t="str">
        <f>IF(OR(MACROMICROELEMENTOS!$A25="",MACROMICROELEMENTOS!$B25="",MACROMICROELEMENTOS!$C25="",MACROMICROELEMENTOS!$D25="",MACROMICROELEMENTOS!$E25="",MACROMICROELEMENTOS!$G25="",MACROMICROELEMENTOS!$BL25="",MACROMICROELEMENTOS!$BM25=""),"",((MACROMICROELEMENTOS!$G25-MACROMICROELEMENTOS!$BL25)*MACROMICROELEMENTOS!$BM25*MACROMICROELEMENTOS!$D25*(1/MACROMICROELEMENTOS!$C25)*MACROMICROELEMENTOS!$E25/1000))</f>
        <v/>
      </c>
      <c r="BO25" s="17" t="str">
        <f>IF(AND(MACROMICROELEMENTOS!$AC25="",MACROMICROELEMENTOS!$AD25="",MACROMICROELEMENTOS!$AE25="",MACROMICROELEMENTOS!$AF25=""),"",AVERAGE(MACROMICROELEMENTOS!$AC25,MACROMICROELEMENTOS!$AD25,MACROMICROELEMENTOS!$AE25,MACROMICROELEMENTOS!$AF25))</f>
        <v/>
      </c>
      <c r="BP25" s="23">
        <v>1</v>
      </c>
      <c r="BQ25" s="31" t="str">
        <f>IF(OR(MACROMICROELEMENTOS!$A25="",MACROMICROELEMENTOS!$B25="",MACROMICROELEMENTOS!$C25="",MACROMICROELEMENTOS!$D25="",MACROMICROELEMENTOS!$E25="",MACROMICROELEMENTOS!$H25="",MACROMICROELEMENTOS!$BO25="",MACROMICROELEMENTOS!$BP25=""),"",((MACROMICROELEMENTOS!$H25-MACROMICROELEMENTOS!$BO25)*MACROMICROELEMENTOS!$BP25*MACROMICROELEMENTOS!$D25*(1/MACROMICROELEMENTOS!$C25)*MACROMICROELEMENTOS!$E25))</f>
        <v/>
      </c>
      <c r="BR25" s="17" t="str">
        <f>IF(AND(MACROMICROELEMENTOS!$Q25="",MACROMICROELEMENTOS!$R25="",MACROMICROELEMENTOS!$S25="",MACROMICROELEMENTOS!$T25=""),"",AVERAGE(MACROMICROELEMENTOS!$Q25,MACROMICROELEMENTOS!$R25,MACROMICROELEMENTOS!$S25,MACROMICROELEMENTOS!$T25))</f>
        <v/>
      </c>
      <c r="BS25" s="23">
        <v>1</v>
      </c>
      <c r="BT25" s="31" t="str">
        <f>IF(OR(MACROMICROELEMENTOS!$A25="",MACROMICROELEMENTOS!$B25="",MACROMICROELEMENTOS!$C25="",MACROMICROELEMENTOS!$D25="",MACROMICROELEMENTOS!$E25="",MACROMICROELEMENTOS!$I25="",MACROMICROELEMENTOS!$BR25="",MACROMICROELEMENTOS!$BS25=""),"",((MACROMICROELEMENTOS!$I25-MACROMICROELEMENTOS!$BR25)*MACROMICROELEMENTOS!$BS25*MACROMICROELEMENTOS!$D25*(1/MACROMICROELEMENTOS!$C25)*MACROMICROELEMENTOS!$E25))</f>
        <v/>
      </c>
      <c r="BU25" s="17" t="str">
        <f>IF(AND(MACROMICROELEMENTOS!$AG25="",MACROMICROELEMENTOS!$AH25="",MACROMICROELEMENTOS!$AI25="",MACROMICROELEMENTOS!$AJ25=""),"",AVERAGE(MACROMICROELEMENTOS!$AG25,MACROMICROELEMENTOS!$AH25,MACROMICROELEMENTOS!$AI25,MACROMICROELEMENTOS!$AJ25))</f>
        <v/>
      </c>
      <c r="BV25" s="23">
        <v>1</v>
      </c>
      <c r="BW25" s="31" t="str">
        <f>IF(OR(MACROMICROELEMENTOS!$A25="",MACROMICROELEMENTOS!$B25="",MACROMICROELEMENTOS!$C25="",MACROMICROELEMENTOS!$D25="",MACROMICROELEMENTOS!$E25="",MACROMICROELEMENTOS!$J25="",MACROMICROELEMENTOS!$BU25="",MACROMICROELEMENTOS!$BV25=""),"",((MACROMICROELEMENTOS!$J25-MACROMICROELEMENTOS!$BU25)*MACROMICROELEMENTOS!$BV25*MACROMICROELEMENTOS!$D25*(1/MACROMICROELEMENTOS!$C25)*MACROMICROELEMENTOS!$E25))</f>
        <v/>
      </c>
      <c r="BX25" s="17" t="str">
        <f>IF(AND(MACROMICROELEMENTOS!$AK25="",MACROMICROELEMENTOS!$AL25="",MACROMICROELEMENTOS!$AM25="",MACROMICROELEMENTOS!$AN25=""),"",AVERAGE(MACROMICROELEMENTOS!$AK25,MACROMICROELEMENTOS!$AL25,MACROMICROELEMENTOS!$AM25,MACROMICROELEMENTOS!$AN25))</f>
        <v/>
      </c>
      <c r="BY25" s="23">
        <v>1</v>
      </c>
      <c r="BZ25" s="31" t="str">
        <f>IF(OR(MACROMICROELEMENTOS!$A25="",MACROMICROELEMENTOS!$B25="",MACROMICROELEMENTOS!$C25="",MACROMICROELEMENTOS!$D25="",MACROMICROELEMENTOS!$E25="",MACROMICROELEMENTOS!$K25="",MACROMICROELEMENTOS!$BX25="",MACROMICROELEMENTOS!$BY25=""),"",((MACROMICROELEMENTOS!$K25-MACROMICROELEMENTOS!$BX25)*MACROMICROELEMENTOS!$BY25*MACROMICROELEMENTOS!$D25*(1/MACROMICROELEMENTOS!$C25)*MACROMICROELEMENTOS!$E25))</f>
        <v/>
      </c>
      <c r="CA25" s="17" t="str">
        <f>IF(AND(MACROMICROELEMENTOS!$AO25="",MACROMICROELEMENTOS!$AP25="",MACROMICROELEMENTOS!$AQ25="",MACROMICROELEMENTOS!$AR25=""),"",AVERAGE(MACROMICROELEMENTOS!$AO25,MACROMICROELEMENTOS!$AP25,MACROMICROELEMENTOS!$AQ25,MACROMICROELEMENTOS!$AR25))</f>
        <v/>
      </c>
      <c r="CB25" s="23">
        <v>1</v>
      </c>
      <c r="CC25" s="31" t="str">
        <f>IF(OR(MACROMICROELEMENTOS!$A25="",MACROMICROELEMENTOS!$B25="",MACROMICROELEMENTOS!$C25="",MACROMICROELEMENTOS!$D25="",MACROMICROELEMENTOS!$E25="",MACROMICROELEMENTOS!$L25="",MACROMICROELEMENTOS!$CA25="",MACROMICROELEMENTOS!$CB25=""),"",((MACROMICROELEMENTOS!$L25-MACROMICROELEMENTOS!$CA25)*MACROMICROELEMENTOS!$CB25*MACROMICROELEMENTOS!$D25*(1/MACROMICROELEMENTOS!$C25)*MACROMICROELEMENTOS!$E25))</f>
        <v/>
      </c>
      <c r="CD25" s="17" t="str">
        <f>IF(AND(MACROMICROELEMENTOS!$AS25="",MACROMICROELEMENTOS!$AT25="",MACROMICROELEMENTOS!$AU25="",MACROMICROELEMENTOS!$AV25=""),"",AVERAGE(MACROMICROELEMENTOS!$AS25,MACROMICROELEMENTOS!$AT25,MACROMICROELEMENTOS!$AU25,MACROMICROELEMENTOS!$AV25))</f>
        <v/>
      </c>
      <c r="CE25" s="23">
        <v>1</v>
      </c>
      <c r="CF25" s="31" t="str">
        <f>IF(OR(MACROMICROELEMENTOS!$A25="",MACROMICROELEMENTOS!$B25="",MACROMICROELEMENTOS!$C25="",MACROMICROELEMENTOS!$D25="",MACROMICROELEMENTOS!$E25="",MACROMICROELEMENTOS!$M25="",MACROMICROELEMENTOS!$CD25="",MACROMICROELEMENTOS!$CE25=""),"",((MACROMICROELEMENTOS!$M25-MACROMICROELEMENTOS!$CD25)*MACROMICROELEMENTOS!$CE25*MACROMICROELEMENTOS!$D25*(1/MACROMICROELEMENTOS!$C25)*MACROMICROELEMENTOS!$E25))</f>
        <v/>
      </c>
      <c r="CG25" s="17" t="str">
        <f>IF(AND(MACROMICROELEMENTOS!$AW25="",MACROMICROELEMENTOS!$AX25="",MACROMICROELEMENTOS!$AY25="",MACROMICROELEMENTOS!$AZ25=""),"",AVERAGE(MACROMICROELEMENTOS!$AW25,MACROMICROELEMENTOS!$AX25,MACROMICROELEMENTOS!$AY25,MACROMICROELEMENTOS!$AZ25))</f>
        <v/>
      </c>
      <c r="CH25" s="23">
        <v>1</v>
      </c>
      <c r="CI25" s="31" t="str">
        <f>IF(OR(MACROMICROELEMENTOS!$A25="",MACROMICROELEMENTOS!$B25="",MACROMICROELEMENTOS!$C25="",MACROMICROELEMENTOS!$D25="",MACROMICROELEMENTOS!$E25="",MACROMICROELEMENTOS!$N25="",MACROMICROELEMENTOS!$CG25="",MACROMICROELEMENTOS!$CH25=""),"",((MACROMICROELEMENTOS!$N25-MACROMICROELEMENTOS!$CG25)*MACROMICROELEMENTOS!$CH25*MACROMICROELEMENTOS!$D25*(1/MACROMICROELEMENTOS!$C25)*MACROMICROELEMENTOS!$E25))</f>
        <v/>
      </c>
      <c r="CJ25" s="17" t="str">
        <f>IF(AND(MACROMICROELEMENTOS!$BA25="",MACROMICROELEMENTOS!$BB25="",MACROMICROELEMENTOS!$BC25="",MACROMICROELEMENTOS!$BD25=""),"",IF(O25&gt;2,0,AVERAGE(MACROMICROELEMENTOS!$BA25,MACROMICROELEMENTOS!$BB25,MACROMICROELEMENTOS!$BC25,MACROMICROELEMENTOS!$BD25)))</f>
        <v/>
      </c>
      <c r="CK25" s="23">
        <v>1</v>
      </c>
      <c r="CL25" s="31" t="str">
        <f>IF(OR(MACROMICROELEMENTOS!$A25="",MACROMICROELEMENTOS!$B25="",MACROMICROELEMENTOS!$C25="",MACROMICROELEMENTOS!$D25="",MACROMICROELEMENTOS!$E25="",MACROMICROELEMENTOS!$O25="",MACROMICROELEMENTOS!$CJ25="",MACROMICROELEMENTOS!$CK25=""),"",((MACROMICROELEMENTOS!$O25-MACROMICROELEMENTOS!$CJ25)*MACROMICROELEMENTOS!$CK25*MACROMICROELEMENTOS!$D25*(1/MACROMICROELEMENTOS!$C25)*MACROMICROELEMENTOS!$E25))</f>
        <v/>
      </c>
      <c r="CM25" s="17" t="str">
        <f>IF(AND(MACROMICROELEMENTOS!$BE25="",MACROMICROELEMENTOS!$BF25="",MACROMICROELEMENTOS!$BG25="",MACROMICROELEMENTOS!$BH25=""),"",AVERAGE(MACROMICROELEMENTOS!$BE25,MACROMICROELEMENTOS!$BF25,MACROMICROELEMENTOS!$BG25,MACROMICROELEMENTOS!$BH25))</f>
        <v/>
      </c>
      <c r="CN25" s="23">
        <v>1</v>
      </c>
      <c r="CO25" s="31" t="str">
        <f>IF(OR(MACROMICROELEMENTOS!$A25="",MACROMICROELEMENTOS!$B25="",MACROMICROELEMENTOS!$C25="",MACROMICROELEMENTOS!$D25="",MACROMICROELEMENTOS!$E25="",MACROMICROELEMENTOS!$P25="",MACROMICROELEMENTOS!$CM25="",MACROMICROELEMENTOS!$CN25=""),"",((MACROMICROELEMENTOS!$P25-MACROMICROELEMENTOS!$CM25)*MACROMICROELEMENTOS!$CN25*MACROMICROELEMENTOS!$D25*(1/MACROMICROELEMENTOS!$C25)*MACROMICROELEMENTOS!$E25))</f>
        <v/>
      </c>
    </row>
    <row r="26" spans="1:93" x14ac:dyDescent="0.3">
      <c r="A26" s="19" t="str">
        <f>IF(Pesada!A26="","",Pesada!A26)</f>
        <v/>
      </c>
      <c r="B26" s="16" t="str">
        <f>IF(Pesada!B26="","",Pesada!B26)</f>
        <v/>
      </c>
      <c r="C26" s="20" t="str">
        <f>IF(Pesada!C26="","",VALUE(Pesada!C26))</f>
        <v/>
      </c>
      <c r="D26" s="23">
        <v>100</v>
      </c>
      <c r="E26" s="30" t="str">
        <f>IF(METALESPESADOS!E26="","",METALESPESADOS!E26)</f>
        <v/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17" t="str">
        <f>IF(AND(MACROMICROELEMENTOS!$U26="",MACROMICROELEMENTOS!$V26="",MACROMICROELEMENTOS!$W26="",MACROMICROELEMENTOS!$X26=""),"",AVERAGE(MACROMICROELEMENTOS!$U26,MACROMICROELEMENTOS!$V26,MACROMICROELEMENTOS!$W26,MACROMICROELEMENTOS!$X26))</f>
        <v/>
      </c>
      <c r="BJ26" s="23">
        <v>1</v>
      </c>
      <c r="BK26" s="31" t="str">
        <f>IF(OR(MACROMICROELEMENTOS!$A26="",MACROMICROELEMENTOS!$B26="",MACROMICROELEMENTOS!$C26="",MACROMICROELEMENTOS!$D26="",MACROMICROELEMENTOS!$E26="",MACROMICROELEMENTOS!$F26="",MACROMICROELEMENTOS!$BI26="",MACROMICROELEMENTOS!$BJ26=""),"",((MACROMICROELEMENTOS!$F26-MACROMICROELEMENTOS!$BI26)*MACROMICROELEMENTOS!$BJ26*MACROMICROELEMENTOS!$D26*(1/MACROMICROELEMENTOS!$C26)*MACROMICROELEMENTOS!$E26))</f>
        <v/>
      </c>
      <c r="BL26" s="17" t="str">
        <f>IF(AND(MACROMICROELEMENTOS!$Y26="",MACROMICROELEMENTOS!$Z26="",MACROMICROELEMENTOS!$AA26="",MACROMICROELEMENTOS!$AB26=""),"",AVERAGE(MACROMICROELEMENTOS!$Y26,MACROMICROELEMENTOS!$Z26,MACROMICROELEMENTOS!$AA26,MACROMICROELEMENTOS!$AB26))</f>
        <v/>
      </c>
      <c r="BM26" s="23">
        <v>1</v>
      </c>
      <c r="BN26" s="31" t="str">
        <f>IF(OR(MACROMICROELEMENTOS!$A26="",MACROMICROELEMENTOS!$B26="",MACROMICROELEMENTOS!$C26="",MACROMICROELEMENTOS!$D26="",MACROMICROELEMENTOS!$E26="",MACROMICROELEMENTOS!$G26="",MACROMICROELEMENTOS!$BL26="",MACROMICROELEMENTOS!$BM26=""),"",((MACROMICROELEMENTOS!$G26-MACROMICROELEMENTOS!$BL26)*MACROMICROELEMENTOS!$BM26*MACROMICROELEMENTOS!$D26*(1/MACROMICROELEMENTOS!$C26)*MACROMICROELEMENTOS!$E26/1000))</f>
        <v/>
      </c>
      <c r="BO26" s="17" t="str">
        <f>IF(AND(MACROMICROELEMENTOS!$AC26="",MACROMICROELEMENTOS!$AD26="",MACROMICROELEMENTOS!$AE26="",MACROMICROELEMENTOS!$AF26=""),"",AVERAGE(MACROMICROELEMENTOS!$AC26,MACROMICROELEMENTOS!$AD26,MACROMICROELEMENTOS!$AE26,MACROMICROELEMENTOS!$AF26))</f>
        <v/>
      </c>
      <c r="BP26" s="23">
        <v>1</v>
      </c>
      <c r="BQ26" s="31" t="str">
        <f>IF(OR(MACROMICROELEMENTOS!$A26="",MACROMICROELEMENTOS!$B26="",MACROMICROELEMENTOS!$C26="",MACROMICROELEMENTOS!$D26="",MACROMICROELEMENTOS!$E26="",MACROMICROELEMENTOS!$H26="",MACROMICROELEMENTOS!$BO26="",MACROMICROELEMENTOS!$BP26=""),"",((MACROMICROELEMENTOS!$H26-MACROMICROELEMENTOS!$BO26)*MACROMICROELEMENTOS!$BP26*MACROMICROELEMENTOS!$D26*(1/MACROMICROELEMENTOS!$C26)*MACROMICROELEMENTOS!$E26))</f>
        <v/>
      </c>
      <c r="BR26" s="17" t="str">
        <f>IF(AND(MACROMICROELEMENTOS!$Q26="",MACROMICROELEMENTOS!$R26="",MACROMICROELEMENTOS!$S26="",MACROMICROELEMENTOS!$T26=""),"",AVERAGE(MACROMICROELEMENTOS!$Q26,MACROMICROELEMENTOS!$R26,MACROMICROELEMENTOS!$S26,MACROMICROELEMENTOS!$T26))</f>
        <v/>
      </c>
      <c r="BS26" s="23">
        <v>1</v>
      </c>
      <c r="BT26" s="31" t="str">
        <f>IF(OR(MACROMICROELEMENTOS!$A26="",MACROMICROELEMENTOS!$B26="",MACROMICROELEMENTOS!$C26="",MACROMICROELEMENTOS!$D26="",MACROMICROELEMENTOS!$E26="",MACROMICROELEMENTOS!$I26="",MACROMICROELEMENTOS!$BR26="",MACROMICROELEMENTOS!$BS26=""),"",((MACROMICROELEMENTOS!$I26-MACROMICROELEMENTOS!$BR26)*MACROMICROELEMENTOS!$BS26*MACROMICROELEMENTOS!$D26*(1/MACROMICROELEMENTOS!$C26)*MACROMICROELEMENTOS!$E26))</f>
        <v/>
      </c>
      <c r="BU26" s="17" t="str">
        <f>IF(AND(MACROMICROELEMENTOS!$AG26="",MACROMICROELEMENTOS!$AH26="",MACROMICROELEMENTOS!$AI26="",MACROMICROELEMENTOS!$AJ26=""),"",AVERAGE(MACROMICROELEMENTOS!$AG26,MACROMICROELEMENTOS!$AH26,MACROMICROELEMENTOS!$AI26,MACROMICROELEMENTOS!$AJ26))</f>
        <v/>
      </c>
      <c r="BV26" s="23">
        <v>1</v>
      </c>
      <c r="BW26" s="31" t="str">
        <f>IF(OR(MACROMICROELEMENTOS!$A26="",MACROMICROELEMENTOS!$B26="",MACROMICROELEMENTOS!$C26="",MACROMICROELEMENTOS!$D26="",MACROMICROELEMENTOS!$E26="",MACROMICROELEMENTOS!$J26="",MACROMICROELEMENTOS!$BU26="",MACROMICROELEMENTOS!$BV26=""),"",((MACROMICROELEMENTOS!$J26-MACROMICROELEMENTOS!$BU26)*MACROMICROELEMENTOS!$BV26*MACROMICROELEMENTOS!$D26*(1/MACROMICROELEMENTOS!$C26)*MACROMICROELEMENTOS!$E26))</f>
        <v/>
      </c>
      <c r="BX26" s="17" t="str">
        <f>IF(AND(MACROMICROELEMENTOS!$AK26="",MACROMICROELEMENTOS!$AL26="",MACROMICROELEMENTOS!$AM26="",MACROMICROELEMENTOS!$AN26=""),"",AVERAGE(MACROMICROELEMENTOS!$AK26,MACROMICROELEMENTOS!$AL26,MACROMICROELEMENTOS!$AM26,MACROMICROELEMENTOS!$AN26))</f>
        <v/>
      </c>
      <c r="BY26" s="23">
        <v>1</v>
      </c>
      <c r="BZ26" s="31" t="str">
        <f>IF(OR(MACROMICROELEMENTOS!$A26="",MACROMICROELEMENTOS!$B26="",MACROMICROELEMENTOS!$C26="",MACROMICROELEMENTOS!$D26="",MACROMICROELEMENTOS!$E26="",MACROMICROELEMENTOS!$K26="",MACROMICROELEMENTOS!$BX26="",MACROMICROELEMENTOS!$BY26=""),"",((MACROMICROELEMENTOS!$K26-MACROMICROELEMENTOS!$BX26)*MACROMICROELEMENTOS!$BY26*MACROMICROELEMENTOS!$D26*(1/MACROMICROELEMENTOS!$C26)*MACROMICROELEMENTOS!$E26))</f>
        <v/>
      </c>
      <c r="CA26" s="17" t="str">
        <f>IF(AND(MACROMICROELEMENTOS!$AO26="",MACROMICROELEMENTOS!$AP26="",MACROMICROELEMENTOS!$AQ26="",MACROMICROELEMENTOS!$AR26=""),"",AVERAGE(MACROMICROELEMENTOS!$AO26,MACROMICROELEMENTOS!$AP26,MACROMICROELEMENTOS!$AQ26,MACROMICROELEMENTOS!$AR26))</f>
        <v/>
      </c>
      <c r="CB26" s="23">
        <v>1</v>
      </c>
      <c r="CC26" s="31" t="str">
        <f>IF(OR(MACROMICROELEMENTOS!$A26="",MACROMICROELEMENTOS!$B26="",MACROMICROELEMENTOS!$C26="",MACROMICROELEMENTOS!$D26="",MACROMICROELEMENTOS!$E26="",MACROMICROELEMENTOS!$L26="",MACROMICROELEMENTOS!$CA26="",MACROMICROELEMENTOS!$CB26=""),"",((MACROMICROELEMENTOS!$L26-MACROMICROELEMENTOS!$CA26)*MACROMICROELEMENTOS!$CB26*MACROMICROELEMENTOS!$D26*(1/MACROMICROELEMENTOS!$C26)*MACROMICROELEMENTOS!$E26))</f>
        <v/>
      </c>
      <c r="CD26" s="17" t="str">
        <f>IF(AND(MACROMICROELEMENTOS!$AS26="",MACROMICROELEMENTOS!$AT26="",MACROMICROELEMENTOS!$AU26="",MACROMICROELEMENTOS!$AV26=""),"",AVERAGE(MACROMICROELEMENTOS!$AS26,MACROMICROELEMENTOS!$AT26,MACROMICROELEMENTOS!$AU26,MACROMICROELEMENTOS!$AV26))</f>
        <v/>
      </c>
      <c r="CE26" s="23">
        <v>1</v>
      </c>
      <c r="CF26" s="31" t="str">
        <f>IF(OR(MACROMICROELEMENTOS!$A26="",MACROMICROELEMENTOS!$B26="",MACROMICROELEMENTOS!$C26="",MACROMICROELEMENTOS!$D26="",MACROMICROELEMENTOS!$E26="",MACROMICROELEMENTOS!$M26="",MACROMICROELEMENTOS!$CD26="",MACROMICROELEMENTOS!$CE26=""),"",((MACROMICROELEMENTOS!$M26-MACROMICROELEMENTOS!$CD26)*MACROMICROELEMENTOS!$CE26*MACROMICROELEMENTOS!$D26*(1/MACROMICROELEMENTOS!$C26)*MACROMICROELEMENTOS!$E26))</f>
        <v/>
      </c>
      <c r="CG26" s="17" t="str">
        <f>IF(AND(MACROMICROELEMENTOS!$AW26="",MACROMICROELEMENTOS!$AX26="",MACROMICROELEMENTOS!$AY26="",MACROMICROELEMENTOS!$AZ26=""),"",AVERAGE(MACROMICROELEMENTOS!$AW26,MACROMICROELEMENTOS!$AX26,MACROMICROELEMENTOS!$AY26,MACROMICROELEMENTOS!$AZ26))</f>
        <v/>
      </c>
      <c r="CH26" s="23">
        <v>1</v>
      </c>
      <c r="CI26" s="31" t="str">
        <f>IF(OR(MACROMICROELEMENTOS!$A26="",MACROMICROELEMENTOS!$B26="",MACROMICROELEMENTOS!$C26="",MACROMICROELEMENTOS!$D26="",MACROMICROELEMENTOS!$E26="",MACROMICROELEMENTOS!$N26="",MACROMICROELEMENTOS!$CG26="",MACROMICROELEMENTOS!$CH26=""),"",((MACROMICROELEMENTOS!$N26-MACROMICROELEMENTOS!$CG26)*MACROMICROELEMENTOS!$CH26*MACROMICROELEMENTOS!$D26*(1/MACROMICROELEMENTOS!$C26)*MACROMICROELEMENTOS!$E26))</f>
        <v/>
      </c>
      <c r="CJ26" s="17" t="str">
        <f>IF(AND(MACROMICROELEMENTOS!$BA26="",MACROMICROELEMENTOS!$BB26="",MACROMICROELEMENTOS!$BC26="",MACROMICROELEMENTOS!$BD26=""),"",IF(O26&gt;2,0,AVERAGE(MACROMICROELEMENTOS!$BA26,MACROMICROELEMENTOS!$BB26,MACROMICROELEMENTOS!$BC26,MACROMICROELEMENTOS!$BD26)))</f>
        <v/>
      </c>
      <c r="CK26" s="23">
        <v>1</v>
      </c>
      <c r="CL26" s="31" t="str">
        <f>IF(OR(MACROMICROELEMENTOS!$A26="",MACROMICROELEMENTOS!$B26="",MACROMICROELEMENTOS!$C26="",MACROMICROELEMENTOS!$D26="",MACROMICROELEMENTOS!$E26="",MACROMICROELEMENTOS!$O26="",MACROMICROELEMENTOS!$CJ26="",MACROMICROELEMENTOS!$CK26=""),"",((MACROMICROELEMENTOS!$O26-MACROMICROELEMENTOS!$CJ26)*MACROMICROELEMENTOS!$CK26*MACROMICROELEMENTOS!$D26*(1/MACROMICROELEMENTOS!$C26)*MACROMICROELEMENTOS!$E26))</f>
        <v/>
      </c>
      <c r="CM26" s="17" t="str">
        <f>IF(AND(MACROMICROELEMENTOS!$BE26="",MACROMICROELEMENTOS!$BF26="",MACROMICROELEMENTOS!$BG26="",MACROMICROELEMENTOS!$BH26=""),"",AVERAGE(MACROMICROELEMENTOS!$BE26,MACROMICROELEMENTOS!$BF26,MACROMICROELEMENTOS!$BG26,MACROMICROELEMENTOS!$BH26))</f>
        <v/>
      </c>
      <c r="CN26" s="23">
        <v>1</v>
      </c>
      <c r="CO26" s="31" t="str">
        <f>IF(OR(MACROMICROELEMENTOS!$A26="",MACROMICROELEMENTOS!$B26="",MACROMICROELEMENTOS!$C26="",MACROMICROELEMENTOS!$D26="",MACROMICROELEMENTOS!$E26="",MACROMICROELEMENTOS!$P26="",MACROMICROELEMENTOS!$CM26="",MACROMICROELEMENTOS!$CN26=""),"",((MACROMICROELEMENTOS!$P26-MACROMICROELEMENTOS!$CM26)*MACROMICROELEMENTOS!$CN26*MACROMICROELEMENTOS!$D26*(1/MACROMICROELEMENTOS!$C26)*MACROMICROELEMENTOS!$E26))</f>
        <v/>
      </c>
    </row>
    <row r="27" spans="1:93" x14ac:dyDescent="0.3">
      <c r="A27" s="19" t="str">
        <f>IF(Pesada!A27="","",Pesada!A27)</f>
        <v/>
      </c>
      <c r="B27" s="16" t="str">
        <f>IF(Pesada!B27="","",Pesada!B27)</f>
        <v/>
      </c>
      <c r="C27" s="20" t="str">
        <f>IF(Pesada!C27="","",VALUE(Pesada!C27))</f>
        <v/>
      </c>
      <c r="D27" s="23">
        <v>100</v>
      </c>
      <c r="E27" s="30" t="str">
        <f>IF(METALESPESADOS!E27="","",METALESPESADOS!E27)</f>
        <v/>
      </c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17" t="str">
        <f>IF(AND(MACROMICROELEMENTOS!$U27="",MACROMICROELEMENTOS!$V27="",MACROMICROELEMENTOS!$W27="",MACROMICROELEMENTOS!$X27=""),"",AVERAGE(MACROMICROELEMENTOS!$U27,MACROMICROELEMENTOS!$V27,MACROMICROELEMENTOS!$W27,MACROMICROELEMENTOS!$X27))</f>
        <v/>
      </c>
      <c r="BJ27" s="23">
        <v>1</v>
      </c>
      <c r="BK27" s="31" t="str">
        <f>IF(OR(MACROMICROELEMENTOS!$A27="",MACROMICROELEMENTOS!$B27="",MACROMICROELEMENTOS!$C27="",MACROMICROELEMENTOS!$D27="",MACROMICROELEMENTOS!$E27="",MACROMICROELEMENTOS!$F27="",MACROMICROELEMENTOS!$BI27="",MACROMICROELEMENTOS!$BJ27=""),"",((MACROMICROELEMENTOS!$F27-MACROMICROELEMENTOS!$BI27)*MACROMICROELEMENTOS!$BJ27*MACROMICROELEMENTOS!$D27*(1/MACROMICROELEMENTOS!$C27)*MACROMICROELEMENTOS!$E27))</f>
        <v/>
      </c>
      <c r="BL27" s="17" t="str">
        <f>IF(AND(MACROMICROELEMENTOS!$Y27="",MACROMICROELEMENTOS!$Z27="",MACROMICROELEMENTOS!$AA27="",MACROMICROELEMENTOS!$AB27=""),"",AVERAGE(MACROMICROELEMENTOS!$Y27,MACROMICROELEMENTOS!$Z27,MACROMICROELEMENTOS!$AA27,MACROMICROELEMENTOS!$AB27))</f>
        <v/>
      </c>
      <c r="BM27" s="23">
        <v>1</v>
      </c>
      <c r="BN27" s="31" t="str">
        <f>IF(OR(MACROMICROELEMENTOS!$A27="",MACROMICROELEMENTOS!$B27="",MACROMICROELEMENTOS!$C27="",MACROMICROELEMENTOS!$D27="",MACROMICROELEMENTOS!$E27="",MACROMICROELEMENTOS!$G27="",MACROMICROELEMENTOS!$BL27="",MACROMICROELEMENTOS!$BM27=""),"",((MACROMICROELEMENTOS!$G27-MACROMICROELEMENTOS!$BL27)*MACROMICROELEMENTOS!$BM27*MACROMICROELEMENTOS!$D27*(1/MACROMICROELEMENTOS!$C27)*MACROMICROELEMENTOS!$E27/1000))</f>
        <v/>
      </c>
      <c r="BO27" s="17" t="str">
        <f>IF(AND(MACROMICROELEMENTOS!$AC27="",MACROMICROELEMENTOS!$AD27="",MACROMICROELEMENTOS!$AE27="",MACROMICROELEMENTOS!$AF27=""),"",AVERAGE(MACROMICROELEMENTOS!$AC27,MACROMICROELEMENTOS!$AD27,MACROMICROELEMENTOS!$AE27,MACROMICROELEMENTOS!$AF27))</f>
        <v/>
      </c>
      <c r="BP27" s="23">
        <v>1</v>
      </c>
      <c r="BQ27" s="31" t="str">
        <f>IF(OR(MACROMICROELEMENTOS!$A27="",MACROMICROELEMENTOS!$B27="",MACROMICROELEMENTOS!$C27="",MACROMICROELEMENTOS!$D27="",MACROMICROELEMENTOS!$E27="",MACROMICROELEMENTOS!$H27="",MACROMICROELEMENTOS!$BO27="",MACROMICROELEMENTOS!$BP27=""),"",((MACROMICROELEMENTOS!$H27-MACROMICROELEMENTOS!$BO27)*MACROMICROELEMENTOS!$BP27*MACROMICROELEMENTOS!$D27*(1/MACROMICROELEMENTOS!$C27)*MACROMICROELEMENTOS!$E27))</f>
        <v/>
      </c>
      <c r="BR27" s="17" t="str">
        <f>IF(AND(MACROMICROELEMENTOS!$Q27="",MACROMICROELEMENTOS!$R27="",MACROMICROELEMENTOS!$S27="",MACROMICROELEMENTOS!$T27=""),"",AVERAGE(MACROMICROELEMENTOS!$Q27,MACROMICROELEMENTOS!$R27,MACROMICROELEMENTOS!$S27,MACROMICROELEMENTOS!$T27))</f>
        <v/>
      </c>
      <c r="BS27" s="23">
        <v>1</v>
      </c>
      <c r="BT27" s="31" t="str">
        <f>IF(OR(MACROMICROELEMENTOS!$A27="",MACROMICROELEMENTOS!$B27="",MACROMICROELEMENTOS!$C27="",MACROMICROELEMENTOS!$D27="",MACROMICROELEMENTOS!$E27="",MACROMICROELEMENTOS!$I27="",MACROMICROELEMENTOS!$BR27="",MACROMICROELEMENTOS!$BS27=""),"",((MACROMICROELEMENTOS!$I27-MACROMICROELEMENTOS!$BR27)*MACROMICROELEMENTOS!$BS27*MACROMICROELEMENTOS!$D27*(1/MACROMICROELEMENTOS!$C27)*MACROMICROELEMENTOS!$E27))</f>
        <v/>
      </c>
      <c r="BU27" s="17" t="str">
        <f>IF(AND(MACROMICROELEMENTOS!$AG27="",MACROMICROELEMENTOS!$AH27="",MACROMICROELEMENTOS!$AI27="",MACROMICROELEMENTOS!$AJ27=""),"",AVERAGE(MACROMICROELEMENTOS!$AG27,MACROMICROELEMENTOS!$AH27,MACROMICROELEMENTOS!$AI27,MACROMICROELEMENTOS!$AJ27))</f>
        <v/>
      </c>
      <c r="BV27" s="23">
        <v>1</v>
      </c>
      <c r="BW27" s="31" t="str">
        <f>IF(OR(MACROMICROELEMENTOS!$A27="",MACROMICROELEMENTOS!$B27="",MACROMICROELEMENTOS!$C27="",MACROMICROELEMENTOS!$D27="",MACROMICROELEMENTOS!$E27="",MACROMICROELEMENTOS!$J27="",MACROMICROELEMENTOS!$BU27="",MACROMICROELEMENTOS!$BV27=""),"",((MACROMICROELEMENTOS!$J27-MACROMICROELEMENTOS!$BU27)*MACROMICROELEMENTOS!$BV27*MACROMICROELEMENTOS!$D27*(1/MACROMICROELEMENTOS!$C27)*MACROMICROELEMENTOS!$E27))</f>
        <v/>
      </c>
      <c r="BX27" s="17" t="str">
        <f>IF(AND(MACROMICROELEMENTOS!$AK27="",MACROMICROELEMENTOS!$AL27="",MACROMICROELEMENTOS!$AM27="",MACROMICROELEMENTOS!$AN27=""),"",AVERAGE(MACROMICROELEMENTOS!$AK27,MACROMICROELEMENTOS!$AL27,MACROMICROELEMENTOS!$AM27,MACROMICROELEMENTOS!$AN27))</f>
        <v/>
      </c>
      <c r="BY27" s="23">
        <v>1</v>
      </c>
      <c r="BZ27" s="31" t="str">
        <f>IF(OR(MACROMICROELEMENTOS!$A27="",MACROMICROELEMENTOS!$B27="",MACROMICROELEMENTOS!$C27="",MACROMICROELEMENTOS!$D27="",MACROMICROELEMENTOS!$E27="",MACROMICROELEMENTOS!$K27="",MACROMICROELEMENTOS!$BX27="",MACROMICROELEMENTOS!$BY27=""),"",((MACROMICROELEMENTOS!$K27-MACROMICROELEMENTOS!$BX27)*MACROMICROELEMENTOS!$BY27*MACROMICROELEMENTOS!$D27*(1/MACROMICROELEMENTOS!$C27)*MACROMICROELEMENTOS!$E27))</f>
        <v/>
      </c>
      <c r="CA27" s="17" t="str">
        <f>IF(AND(MACROMICROELEMENTOS!$AO27="",MACROMICROELEMENTOS!$AP27="",MACROMICROELEMENTOS!$AQ27="",MACROMICROELEMENTOS!$AR27=""),"",AVERAGE(MACROMICROELEMENTOS!$AO27,MACROMICROELEMENTOS!$AP27,MACROMICROELEMENTOS!$AQ27,MACROMICROELEMENTOS!$AR27))</f>
        <v/>
      </c>
      <c r="CB27" s="23">
        <v>1</v>
      </c>
      <c r="CC27" s="31" t="str">
        <f>IF(OR(MACROMICROELEMENTOS!$A27="",MACROMICROELEMENTOS!$B27="",MACROMICROELEMENTOS!$C27="",MACROMICROELEMENTOS!$D27="",MACROMICROELEMENTOS!$E27="",MACROMICROELEMENTOS!$L27="",MACROMICROELEMENTOS!$CA27="",MACROMICROELEMENTOS!$CB27=""),"",((MACROMICROELEMENTOS!$L27-MACROMICROELEMENTOS!$CA27)*MACROMICROELEMENTOS!$CB27*MACROMICROELEMENTOS!$D27*(1/MACROMICROELEMENTOS!$C27)*MACROMICROELEMENTOS!$E27))</f>
        <v/>
      </c>
      <c r="CD27" s="17" t="str">
        <f>IF(AND(MACROMICROELEMENTOS!$AS27="",MACROMICROELEMENTOS!$AT27="",MACROMICROELEMENTOS!$AU27="",MACROMICROELEMENTOS!$AV27=""),"",AVERAGE(MACROMICROELEMENTOS!$AS27,MACROMICROELEMENTOS!$AT27,MACROMICROELEMENTOS!$AU27,MACROMICROELEMENTOS!$AV27))</f>
        <v/>
      </c>
      <c r="CE27" s="23">
        <v>1</v>
      </c>
      <c r="CF27" s="31" t="str">
        <f>IF(OR(MACROMICROELEMENTOS!$A27="",MACROMICROELEMENTOS!$B27="",MACROMICROELEMENTOS!$C27="",MACROMICROELEMENTOS!$D27="",MACROMICROELEMENTOS!$E27="",MACROMICROELEMENTOS!$M27="",MACROMICROELEMENTOS!$CD27="",MACROMICROELEMENTOS!$CE27=""),"",((MACROMICROELEMENTOS!$M27-MACROMICROELEMENTOS!$CD27)*MACROMICROELEMENTOS!$CE27*MACROMICROELEMENTOS!$D27*(1/MACROMICROELEMENTOS!$C27)*MACROMICROELEMENTOS!$E27))</f>
        <v/>
      </c>
      <c r="CG27" s="17" t="str">
        <f>IF(AND(MACROMICROELEMENTOS!$AW27="",MACROMICROELEMENTOS!$AX27="",MACROMICROELEMENTOS!$AY27="",MACROMICROELEMENTOS!$AZ27=""),"",AVERAGE(MACROMICROELEMENTOS!$AW27,MACROMICROELEMENTOS!$AX27,MACROMICROELEMENTOS!$AY27,MACROMICROELEMENTOS!$AZ27))</f>
        <v/>
      </c>
      <c r="CH27" s="23">
        <v>1</v>
      </c>
      <c r="CI27" s="31" t="str">
        <f>IF(OR(MACROMICROELEMENTOS!$A27="",MACROMICROELEMENTOS!$B27="",MACROMICROELEMENTOS!$C27="",MACROMICROELEMENTOS!$D27="",MACROMICROELEMENTOS!$E27="",MACROMICROELEMENTOS!$N27="",MACROMICROELEMENTOS!$CG27="",MACROMICROELEMENTOS!$CH27=""),"",((MACROMICROELEMENTOS!$N27-MACROMICROELEMENTOS!$CG27)*MACROMICROELEMENTOS!$CH27*MACROMICROELEMENTOS!$D27*(1/MACROMICROELEMENTOS!$C27)*MACROMICROELEMENTOS!$E27))</f>
        <v/>
      </c>
      <c r="CJ27" s="17" t="str">
        <f>IF(AND(MACROMICROELEMENTOS!$BA27="",MACROMICROELEMENTOS!$BB27="",MACROMICROELEMENTOS!$BC27="",MACROMICROELEMENTOS!$BD27=""),"",IF(O27&gt;2,0,AVERAGE(MACROMICROELEMENTOS!$BA27,MACROMICROELEMENTOS!$BB27,MACROMICROELEMENTOS!$BC27,MACROMICROELEMENTOS!$BD27)))</f>
        <v/>
      </c>
      <c r="CK27" s="23">
        <v>1</v>
      </c>
      <c r="CL27" s="31" t="str">
        <f>IF(OR(MACROMICROELEMENTOS!$A27="",MACROMICROELEMENTOS!$B27="",MACROMICROELEMENTOS!$C27="",MACROMICROELEMENTOS!$D27="",MACROMICROELEMENTOS!$E27="",MACROMICROELEMENTOS!$O27="",MACROMICROELEMENTOS!$CJ27="",MACROMICROELEMENTOS!$CK27=""),"",((MACROMICROELEMENTOS!$O27-MACROMICROELEMENTOS!$CJ27)*MACROMICROELEMENTOS!$CK27*MACROMICROELEMENTOS!$D27*(1/MACROMICROELEMENTOS!$C27)*MACROMICROELEMENTOS!$E27))</f>
        <v/>
      </c>
      <c r="CM27" s="17" t="str">
        <f>IF(AND(MACROMICROELEMENTOS!$BE27="",MACROMICROELEMENTOS!$BF27="",MACROMICROELEMENTOS!$BG27="",MACROMICROELEMENTOS!$BH27=""),"",AVERAGE(MACROMICROELEMENTOS!$BE27,MACROMICROELEMENTOS!$BF27,MACROMICROELEMENTOS!$BG27,MACROMICROELEMENTOS!$BH27))</f>
        <v/>
      </c>
      <c r="CN27" s="23">
        <v>1</v>
      </c>
      <c r="CO27" s="31" t="str">
        <f>IF(OR(MACROMICROELEMENTOS!$A27="",MACROMICROELEMENTOS!$B27="",MACROMICROELEMENTOS!$C27="",MACROMICROELEMENTOS!$D27="",MACROMICROELEMENTOS!$E27="",MACROMICROELEMENTOS!$P27="",MACROMICROELEMENTOS!$CM27="",MACROMICROELEMENTOS!$CN27=""),"",((MACROMICROELEMENTOS!$P27-MACROMICROELEMENTOS!$CM27)*MACROMICROELEMENTOS!$CN27*MACROMICROELEMENTOS!$D27*(1/MACROMICROELEMENTOS!$C27)*MACROMICROELEMENTOS!$E27))</f>
        <v/>
      </c>
    </row>
    <row r="28" spans="1:93" x14ac:dyDescent="0.3">
      <c r="A28" s="19" t="str">
        <f>IF(Pesada!A28="","",Pesada!A28)</f>
        <v/>
      </c>
      <c r="B28" s="16" t="str">
        <f>IF(Pesada!B28="","",Pesada!B28)</f>
        <v/>
      </c>
      <c r="C28" s="20" t="str">
        <f>IF(Pesada!C28="","",VALUE(Pesada!C28))</f>
        <v/>
      </c>
      <c r="D28" s="23">
        <v>100</v>
      </c>
      <c r="E28" s="30" t="str">
        <f>IF(METALESPESADOS!E28="","",METALESPESADOS!E28)</f>
        <v/>
      </c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17" t="str">
        <f>IF(AND(MACROMICROELEMENTOS!$U28="",MACROMICROELEMENTOS!$V28="",MACROMICROELEMENTOS!$W28="",MACROMICROELEMENTOS!$X28=""),"",AVERAGE(MACROMICROELEMENTOS!$U28,MACROMICROELEMENTOS!$V28,MACROMICROELEMENTOS!$W28,MACROMICROELEMENTOS!$X28))</f>
        <v/>
      </c>
      <c r="BJ28" s="23">
        <v>1</v>
      </c>
      <c r="BK28" s="31" t="str">
        <f>IF(OR(MACROMICROELEMENTOS!$A28="",MACROMICROELEMENTOS!$B28="",MACROMICROELEMENTOS!$C28="",MACROMICROELEMENTOS!$D28="",MACROMICROELEMENTOS!$E28="",MACROMICROELEMENTOS!$F28="",MACROMICROELEMENTOS!$BI28="",MACROMICROELEMENTOS!$BJ28=""),"",((MACROMICROELEMENTOS!$F28-MACROMICROELEMENTOS!$BI28)*MACROMICROELEMENTOS!$BJ28*MACROMICROELEMENTOS!$D28*(1/MACROMICROELEMENTOS!$C28)*MACROMICROELEMENTOS!$E28))</f>
        <v/>
      </c>
      <c r="BL28" s="17" t="str">
        <f>IF(AND(MACROMICROELEMENTOS!$Y28="",MACROMICROELEMENTOS!$Z28="",MACROMICROELEMENTOS!$AA28="",MACROMICROELEMENTOS!$AB28=""),"",AVERAGE(MACROMICROELEMENTOS!$Y28,MACROMICROELEMENTOS!$Z28,MACROMICROELEMENTOS!$AA28,MACROMICROELEMENTOS!$AB28))</f>
        <v/>
      </c>
      <c r="BM28" s="23">
        <v>1</v>
      </c>
      <c r="BN28" s="31" t="str">
        <f>IF(OR(MACROMICROELEMENTOS!$A28="",MACROMICROELEMENTOS!$B28="",MACROMICROELEMENTOS!$C28="",MACROMICROELEMENTOS!$D28="",MACROMICROELEMENTOS!$E28="",MACROMICROELEMENTOS!$G28="",MACROMICROELEMENTOS!$BL28="",MACROMICROELEMENTOS!$BM28=""),"",((MACROMICROELEMENTOS!$G28-MACROMICROELEMENTOS!$BL28)*MACROMICROELEMENTOS!$BM28*MACROMICROELEMENTOS!$D28*(1/MACROMICROELEMENTOS!$C28)*MACROMICROELEMENTOS!$E28/1000))</f>
        <v/>
      </c>
      <c r="BO28" s="17" t="str">
        <f>IF(AND(MACROMICROELEMENTOS!$AC28="",MACROMICROELEMENTOS!$AD28="",MACROMICROELEMENTOS!$AE28="",MACROMICROELEMENTOS!$AF28=""),"",AVERAGE(MACROMICROELEMENTOS!$AC28,MACROMICROELEMENTOS!$AD28,MACROMICROELEMENTOS!$AE28,MACROMICROELEMENTOS!$AF28))</f>
        <v/>
      </c>
      <c r="BP28" s="23">
        <v>1</v>
      </c>
      <c r="BQ28" s="31" t="str">
        <f>IF(OR(MACROMICROELEMENTOS!$A28="",MACROMICROELEMENTOS!$B28="",MACROMICROELEMENTOS!$C28="",MACROMICROELEMENTOS!$D28="",MACROMICROELEMENTOS!$E28="",MACROMICROELEMENTOS!$H28="",MACROMICROELEMENTOS!$BO28="",MACROMICROELEMENTOS!$BP28=""),"",((MACROMICROELEMENTOS!$H28-MACROMICROELEMENTOS!$BO28)*MACROMICROELEMENTOS!$BP28*MACROMICROELEMENTOS!$D28*(1/MACROMICROELEMENTOS!$C28)*MACROMICROELEMENTOS!$E28))</f>
        <v/>
      </c>
      <c r="BR28" s="17" t="str">
        <f>IF(AND(MACROMICROELEMENTOS!$Q28="",MACROMICROELEMENTOS!$R28="",MACROMICROELEMENTOS!$S28="",MACROMICROELEMENTOS!$T28=""),"",AVERAGE(MACROMICROELEMENTOS!$Q28,MACROMICROELEMENTOS!$R28,MACROMICROELEMENTOS!$S28,MACROMICROELEMENTOS!$T28))</f>
        <v/>
      </c>
      <c r="BS28" s="23">
        <v>1</v>
      </c>
      <c r="BT28" s="31" t="str">
        <f>IF(OR(MACROMICROELEMENTOS!$A28="",MACROMICROELEMENTOS!$B28="",MACROMICROELEMENTOS!$C28="",MACROMICROELEMENTOS!$D28="",MACROMICROELEMENTOS!$E28="",MACROMICROELEMENTOS!$I28="",MACROMICROELEMENTOS!$BR28="",MACROMICROELEMENTOS!$BS28=""),"",((MACROMICROELEMENTOS!$I28-MACROMICROELEMENTOS!$BR28)*MACROMICROELEMENTOS!$BS28*MACROMICROELEMENTOS!$D28*(1/MACROMICROELEMENTOS!$C28)*MACROMICROELEMENTOS!$E28))</f>
        <v/>
      </c>
      <c r="BU28" s="17" t="str">
        <f>IF(AND(MACROMICROELEMENTOS!$AG28="",MACROMICROELEMENTOS!$AH28="",MACROMICROELEMENTOS!$AI28="",MACROMICROELEMENTOS!$AJ28=""),"",AVERAGE(MACROMICROELEMENTOS!$AG28,MACROMICROELEMENTOS!$AH28,MACROMICROELEMENTOS!$AI28,MACROMICROELEMENTOS!$AJ28))</f>
        <v/>
      </c>
      <c r="BV28" s="23">
        <v>1</v>
      </c>
      <c r="BW28" s="31" t="str">
        <f>IF(OR(MACROMICROELEMENTOS!$A28="",MACROMICROELEMENTOS!$B28="",MACROMICROELEMENTOS!$C28="",MACROMICROELEMENTOS!$D28="",MACROMICROELEMENTOS!$E28="",MACROMICROELEMENTOS!$J28="",MACROMICROELEMENTOS!$BU28="",MACROMICROELEMENTOS!$BV28=""),"",((MACROMICROELEMENTOS!$J28-MACROMICROELEMENTOS!$BU28)*MACROMICROELEMENTOS!$BV28*MACROMICROELEMENTOS!$D28*(1/MACROMICROELEMENTOS!$C28)*MACROMICROELEMENTOS!$E28))</f>
        <v/>
      </c>
      <c r="BX28" s="17" t="str">
        <f>IF(AND(MACROMICROELEMENTOS!$AK28="",MACROMICROELEMENTOS!$AL28="",MACROMICROELEMENTOS!$AM28="",MACROMICROELEMENTOS!$AN28=""),"",AVERAGE(MACROMICROELEMENTOS!$AK28,MACROMICROELEMENTOS!$AL28,MACROMICROELEMENTOS!$AM28,MACROMICROELEMENTOS!$AN28))</f>
        <v/>
      </c>
      <c r="BY28" s="23">
        <v>1</v>
      </c>
      <c r="BZ28" s="31" t="str">
        <f>IF(OR(MACROMICROELEMENTOS!$A28="",MACROMICROELEMENTOS!$B28="",MACROMICROELEMENTOS!$C28="",MACROMICROELEMENTOS!$D28="",MACROMICROELEMENTOS!$E28="",MACROMICROELEMENTOS!$K28="",MACROMICROELEMENTOS!$BX28="",MACROMICROELEMENTOS!$BY28=""),"",((MACROMICROELEMENTOS!$K28-MACROMICROELEMENTOS!$BX28)*MACROMICROELEMENTOS!$BY28*MACROMICROELEMENTOS!$D28*(1/MACROMICROELEMENTOS!$C28)*MACROMICROELEMENTOS!$E28))</f>
        <v/>
      </c>
      <c r="CA28" s="17" t="str">
        <f>IF(AND(MACROMICROELEMENTOS!$AO28="",MACROMICROELEMENTOS!$AP28="",MACROMICROELEMENTOS!$AQ28="",MACROMICROELEMENTOS!$AR28=""),"",AVERAGE(MACROMICROELEMENTOS!$AO28,MACROMICROELEMENTOS!$AP28,MACROMICROELEMENTOS!$AQ28,MACROMICROELEMENTOS!$AR28))</f>
        <v/>
      </c>
      <c r="CB28" s="23">
        <v>1</v>
      </c>
      <c r="CC28" s="31" t="str">
        <f>IF(OR(MACROMICROELEMENTOS!$A28="",MACROMICROELEMENTOS!$B28="",MACROMICROELEMENTOS!$C28="",MACROMICROELEMENTOS!$D28="",MACROMICROELEMENTOS!$E28="",MACROMICROELEMENTOS!$L28="",MACROMICROELEMENTOS!$CA28="",MACROMICROELEMENTOS!$CB28=""),"",((MACROMICROELEMENTOS!$L28-MACROMICROELEMENTOS!$CA28)*MACROMICROELEMENTOS!$CB28*MACROMICROELEMENTOS!$D28*(1/MACROMICROELEMENTOS!$C28)*MACROMICROELEMENTOS!$E28))</f>
        <v/>
      </c>
      <c r="CD28" s="17" t="str">
        <f>IF(AND(MACROMICROELEMENTOS!$AS28="",MACROMICROELEMENTOS!$AT28="",MACROMICROELEMENTOS!$AU28="",MACROMICROELEMENTOS!$AV28=""),"",AVERAGE(MACROMICROELEMENTOS!$AS28,MACROMICROELEMENTOS!$AT28,MACROMICROELEMENTOS!$AU28,MACROMICROELEMENTOS!$AV28))</f>
        <v/>
      </c>
      <c r="CE28" s="23">
        <v>1</v>
      </c>
      <c r="CF28" s="31" t="str">
        <f>IF(OR(MACROMICROELEMENTOS!$A28="",MACROMICROELEMENTOS!$B28="",MACROMICROELEMENTOS!$C28="",MACROMICROELEMENTOS!$D28="",MACROMICROELEMENTOS!$E28="",MACROMICROELEMENTOS!$M28="",MACROMICROELEMENTOS!$CD28="",MACROMICROELEMENTOS!$CE28=""),"",((MACROMICROELEMENTOS!$M28-MACROMICROELEMENTOS!$CD28)*MACROMICROELEMENTOS!$CE28*MACROMICROELEMENTOS!$D28*(1/MACROMICROELEMENTOS!$C28)*MACROMICROELEMENTOS!$E28))</f>
        <v/>
      </c>
      <c r="CG28" s="17" t="str">
        <f>IF(AND(MACROMICROELEMENTOS!$AW28="",MACROMICROELEMENTOS!$AX28="",MACROMICROELEMENTOS!$AY28="",MACROMICROELEMENTOS!$AZ28=""),"",AVERAGE(MACROMICROELEMENTOS!$AW28,MACROMICROELEMENTOS!$AX28,MACROMICROELEMENTOS!$AY28,MACROMICROELEMENTOS!$AZ28))</f>
        <v/>
      </c>
      <c r="CH28" s="23">
        <v>1</v>
      </c>
      <c r="CI28" s="31" t="str">
        <f>IF(OR(MACROMICROELEMENTOS!$A28="",MACROMICROELEMENTOS!$B28="",MACROMICROELEMENTOS!$C28="",MACROMICROELEMENTOS!$D28="",MACROMICROELEMENTOS!$E28="",MACROMICROELEMENTOS!$N28="",MACROMICROELEMENTOS!$CG28="",MACROMICROELEMENTOS!$CH28=""),"",((MACROMICROELEMENTOS!$N28-MACROMICROELEMENTOS!$CG28)*MACROMICROELEMENTOS!$CH28*MACROMICROELEMENTOS!$D28*(1/MACROMICROELEMENTOS!$C28)*MACROMICROELEMENTOS!$E28))</f>
        <v/>
      </c>
      <c r="CJ28" s="17" t="str">
        <f>IF(AND(MACROMICROELEMENTOS!$BA28="",MACROMICROELEMENTOS!$BB28="",MACROMICROELEMENTOS!$BC28="",MACROMICROELEMENTOS!$BD28=""),"",IF(O28&gt;2,0,AVERAGE(MACROMICROELEMENTOS!$BA28,MACROMICROELEMENTOS!$BB28,MACROMICROELEMENTOS!$BC28,MACROMICROELEMENTOS!$BD28)))</f>
        <v/>
      </c>
      <c r="CK28" s="23">
        <v>1</v>
      </c>
      <c r="CL28" s="31" t="str">
        <f>IF(OR(MACROMICROELEMENTOS!$A28="",MACROMICROELEMENTOS!$B28="",MACROMICROELEMENTOS!$C28="",MACROMICROELEMENTOS!$D28="",MACROMICROELEMENTOS!$E28="",MACROMICROELEMENTOS!$O28="",MACROMICROELEMENTOS!$CJ28="",MACROMICROELEMENTOS!$CK28=""),"",((MACROMICROELEMENTOS!$O28-MACROMICROELEMENTOS!$CJ28)*MACROMICROELEMENTOS!$CK28*MACROMICROELEMENTOS!$D28*(1/MACROMICROELEMENTOS!$C28)*MACROMICROELEMENTOS!$E28))</f>
        <v/>
      </c>
      <c r="CM28" s="17" t="str">
        <f>IF(AND(MACROMICROELEMENTOS!$BE28="",MACROMICROELEMENTOS!$BF28="",MACROMICROELEMENTOS!$BG28="",MACROMICROELEMENTOS!$BH28=""),"",AVERAGE(MACROMICROELEMENTOS!$BE28,MACROMICROELEMENTOS!$BF28,MACROMICROELEMENTOS!$BG28,MACROMICROELEMENTOS!$BH28))</f>
        <v/>
      </c>
      <c r="CN28" s="23">
        <v>1</v>
      </c>
      <c r="CO28" s="31" t="str">
        <f>IF(OR(MACROMICROELEMENTOS!$A28="",MACROMICROELEMENTOS!$B28="",MACROMICROELEMENTOS!$C28="",MACROMICROELEMENTOS!$D28="",MACROMICROELEMENTOS!$E28="",MACROMICROELEMENTOS!$P28="",MACROMICROELEMENTOS!$CM28="",MACROMICROELEMENTOS!$CN28=""),"",((MACROMICROELEMENTOS!$P28-MACROMICROELEMENTOS!$CM28)*MACROMICROELEMENTOS!$CN28*MACROMICROELEMENTOS!$D28*(1/MACROMICROELEMENTOS!$C28)*MACROMICROELEMENTOS!$E28))</f>
        <v/>
      </c>
    </row>
    <row r="29" spans="1:93" x14ac:dyDescent="0.3">
      <c r="A29" s="19" t="str">
        <f>IF(Pesada!A29="","",Pesada!A29)</f>
        <v/>
      </c>
      <c r="B29" s="16" t="str">
        <f>IF(Pesada!B29="","",Pesada!B29)</f>
        <v/>
      </c>
      <c r="C29" s="20" t="str">
        <f>IF(Pesada!C29="","",VALUE(Pesada!C29))</f>
        <v/>
      </c>
      <c r="D29" s="23">
        <v>100</v>
      </c>
      <c r="E29" s="30" t="str">
        <f>IF(METALESPESADOS!E29="","",METALESPESADOS!E29)</f>
        <v/>
      </c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17" t="str">
        <f>IF(AND(MACROMICROELEMENTOS!$U29="",MACROMICROELEMENTOS!$V29="",MACROMICROELEMENTOS!$W29="",MACROMICROELEMENTOS!$X29=""),"",AVERAGE(MACROMICROELEMENTOS!$U29,MACROMICROELEMENTOS!$V29,MACROMICROELEMENTOS!$W29,MACROMICROELEMENTOS!$X29))</f>
        <v/>
      </c>
      <c r="BJ29" s="23">
        <v>1</v>
      </c>
      <c r="BK29" s="31" t="str">
        <f>IF(OR(MACROMICROELEMENTOS!$A29="",MACROMICROELEMENTOS!$B29="",MACROMICROELEMENTOS!$C29="",MACROMICROELEMENTOS!$D29="",MACROMICROELEMENTOS!$E29="",MACROMICROELEMENTOS!$F29="",MACROMICROELEMENTOS!$BI29="",MACROMICROELEMENTOS!$BJ29=""),"",((MACROMICROELEMENTOS!$F29-MACROMICROELEMENTOS!$BI29)*MACROMICROELEMENTOS!$BJ29*MACROMICROELEMENTOS!$D29*(1/MACROMICROELEMENTOS!$C29)*MACROMICROELEMENTOS!$E29))</f>
        <v/>
      </c>
      <c r="BL29" s="17" t="str">
        <f>IF(AND(MACROMICROELEMENTOS!$Y29="",MACROMICROELEMENTOS!$Z29="",MACROMICROELEMENTOS!$AA29="",MACROMICROELEMENTOS!$AB29=""),"",AVERAGE(MACROMICROELEMENTOS!$Y29,MACROMICROELEMENTOS!$Z29,MACROMICROELEMENTOS!$AA29,MACROMICROELEMENTOS!$AB29))</f>
        <v/>
      </c>
      <c r="BM29" s="23">
        <v>1</v>
      </c>
      <c r="BN29" s="31" t="str">
        <f>IF(OR(MACROMICROELEMENTOS!$A29="",MACROMICROELEMENTOS!$B29="",MACROMICROELEMENTOS!$C29="",MACROMICROELEMENTOS!$D29="",MACROMICROELEMENTOS!$E29="",MACROMICROELEMENTOS!$G29="",MACROMICROELEMENTOS!$BL29="",MACROMICROELEMENTOS!$BM29=""),"",((MACROMICROELEMENTOS!$G29-MACROMICROELEMENTOS!$BL29)*MACROMICROELEMENTOS!$BM29*MACROMICROELEMENTOS!$D29*(1/MACROMICROELEMENTOS!$C29)*MACROMICROELEMENTOS!$E29/1000))</f>
        <v/>
      </c>
      <c r="BO29" s="17" t="str">
        <f>IF(AND(MACROMICROELEMENTOS!$AC29="",MACROMICROELEMENTOS!$AD29="",MACROMICROELEMENTOS!$AE29="",MACROMICROELEMENTOS!$AF29=""),"",AVERAGE(MACROMICROELEMENTOS!$AC29,MACROMICROELEMENTOS!$AD29,MACROMICROELEMENTOS!$AE29,MACROMICROELEMENTOS!$AF29))</f>
        <v/>
      </c>
      <c r="BP29" s="23">
        <v>1</v>
      </c>
      <c r="BQ29" s="31" t="str">
        <f>IF(OR(MACROMICROELEMENTOS!$A29="",MACROMICROELEMENTOS!$B29="",MACROMICROELEMENTOS!$C29="",MACROMICROELEMENTOS!$D29="",MACROMICROELEMENTOS!$E29="",MACROMICROELEMENTOS!$H29="",MACROMICROELEMENTOS!$BO29="",MACROMICROELEMENTOS!$BP29=""),"",((MACROMICROELEMENTOS!$H29-MACROMICROELEMENTOS!$BO29)*MACROMICROELEMENTOS!$BP29*MACROMICROELEMENTOS!$D29*(1/MACROMICROELEMENTOS!$C29)*MACROMICROELEMENTOS!$E29))</f>
        <v/>
      </c>
      <c r="BR29" s="17" t="str">
        <f>IF(AND(MACROMICROELEMENTOS!$Q29="",MACROMICROELEMENTOS!$R29="",MACROMICROELEMENTOS!$S29="",MACROMICROELEMENTOS!$T29=""),"",AVERAGE(MACROMICROELEMENTOS!$Q29,MACROMICROELEMENTOS!$R29,MACROMICROELEMENTOS!$S29,MACROMICROELEMENTOS!$T29))</f>
        <v/>
      </c>
      <c r="BS29" s="23">
        <v>1</v>
      </c>
      <c r="BT29" s="31" t="str">
        <f>IF(OR(MACROMICROELEMENTOS!$A29="",MACROMICROELEMENTOS!$B29="",MACROMICROELEMENTOS!$C29="",MACROMICROELEMENTOS!$D29="",MACROMICROELEMENTOS!$E29="",MACROMICROELEMENTOS!$I29="",MACROMICROELEMENTOS!$BR29="",MACROMICROELEMENTOS!$BS29=""),"",((MACROMICROELEMENTOS!$I29-MACROMICROELEMENTOS!$BR29)*MACROMICROELEMENTOS!$BS29*MACROMICROELEMENTOS!$D29*(1/MACROMICROELEMENTOS!$C29)*MACROMICROELEMENTOS!$E29))</f>
        <v/>
      </c>
      <c r="BU29" s="17" t="str">
        <f>IF(AND(MACROMICROELEMENTOS!$AG29="",MACROMICROELEMENTOS!$AH29="",MACROMICROELEMENTOS!$AI29="",MACROMICROELEMENTOS!$AJ29=""),"",AVERAGE(MACROMICROELEMENTOS!$AG29,MACROMICROELEMENTOS!$AH29,MACROMICROELEMENTOS!$AI29,MACROMICROELEMENTOS!$AJ29))</f>
        <v/>
      </c>
      <c r="BV29" s="23">
        <v>1</v>
      </c>
      <c r="BW29" s="31" t="str">
        <f>IF(OR(MACROMICROELEMENTOS!$A29="",MACROMICROELEMENTOS!$B29="",MACROMICROELEMENTOS!$C29="",MACROMICROELEMENTOS!$D29="",MACROMICROELEMENTOS!$E29="",MACROMICROELEMENTOS!$J29="",MACROMICROELEMENTOS!$BU29="",MACROMICROELEMENTOS!$BV29=""),"",((MACROMICROELEMENTOS!$J29-MACROMICROELEMENTOS!$BU29)*MACROMICROELEMENTOS!$BV29*MACROMICROELEMENTOS!$D29*(1/MACROMICROELEMENTOS!$C29)*MACROMICROELEMENTOS!$E29))</f>
        <v/>
      </c>
      <c r="BX29" s="17" t="str">
        <f>IF(AND(MACROMICROELEMENTOS!$AK29="",MACROMICROELEMENTOS!$AL29="",MACROMICROELEMENTOS!$AM29="",MACROMICROELEMENTOS!$AN29=""),"",AVERAGE(MACROMICROELEMENTOS!$AK29,MACROMICROELEMENTOS!$AL29,MACROMICROELEMENTOS!$AM29,MACROMICROELEMENTOS!$AN29))</f>
        <v/>
      </c>
      <c r="BY29" s="23">
        <v>1</v>
      </c>
      <c r="BZ29" s="31" t="str">
        <f>IF(OR(MACROMICROELEMENTOS!$A29="",MACROMICROELEMENTOS!$B29="",MACROMICROELEMENTOS!$C29="",MACROMICROELEMENTOS!$D29="",MACROMICROELEMENTOS!$E29="",MACROMICROELEMENTOS!$K29="",MACROMICROELEMENTOS!$BX29="",MACROMICROELEMENTOS!$BY29=""),"",((MACROMICROELEMENTOS!$K29-MACROMICROELEMENTOS!$BX29)*MACROMICROELEMENTOS!$BY29*MACROMICROELEMENTOS!$D29*(1/MACROMICROELEMENTOS!$C29)*MACROMICROELEMENTOS!$E29))</f>
        <v/>
      </c>
      <c r="CA29" s="17" t="str">
        <f>IF(AND(MACROMICROELEMENTOS!$AO29="",MACROMICROELEMENTOS!$AP29="",MACROMICROELEMENTOS!$AQ29="",MACROMICROELEMENTOS!$AR29=""),"",AVERAGE(MACROMICROELEMENTOS!$AO29,MACROMICROELEMENTOS!$AP29,MACROMICROELEMENTOS!$AQ29,MACROMICROELEMENTOS!$AR29))</f>
        <v/>
      </c>
      <c r="CB29" s="23">
        <v>1</v>
      </c>
      <c r="CC29" s="31" t="str">
        <f>IF(OR(MACROMICROELEMENTOS!$A29="",MACROMICROELEMENTOS!$B29="",MACROMICROELEMENTOS!$C29="",MACROMICROELEMENTOS!$D29="",MACROMICROELEMENTOS!$E29="",MACROMICROELEMENTOS!$L29="",MACROMICROELEMENTOS!$CA29="",MACROMICROELEMENTOS!$CB29=""),"",((MACROMICROELEMENTOS!$L29-MACROMICROELEMENTOS!$CA29)*MACROMICROELEMENTOS!$CB29*MACROMICROELEMENTOS!$D29*(1/MACROMICROELEMENTOS!$C29)*MACROMICROELEMENTOS!$E29))</f>
        <v/>
      </c>
      <c r="CD29" s="17" t="str">
        <f>IF(AND(MACROMICROELEMENTOS!$AS29="",MACROMICROELEMENTOS!$AT29="",MACROMICROELEMENTOS!$AU29="",MACROMICROELEMENTOS!$AV29=""),"",AVERAGE(MACROMICROELEMENTOS!$AS29,MACROMICROELEMENTOS!$AT29,MACROMICROELEMENTOS!$AU29,MACROMICROELEMENTOS!$AV29))</f>
        <v/>
      </c>
      <c r="CE29" s="23">
        <v>1</v>
      </c>
      <c r="CF29" s="31" t="str">
        <f>IF(OR(MACROMICROELEMENTOS!$A29="",MACROMICROELEMENTOS!$B29="",MACROMICROELEMENTOS!$C29="",MACROMICROELEMENTOS!$D29="",MACROMICROELEMENTOS!$E29="",MACROMICROELEMENTOS!$M29="",MACROMICROELEMENTOS!$CD29="",MACROMICROELEMENTOS!$CE29=""),"",((MACROMICROELEMENTOS!$M29-MACROMICROELEMENTOS!$CD29)*MACROMICROELEMENTOS!$CE29*MACROMICROELEMENTOS!$D29*(1/MACROMICROELEMENTOS!$C29)*MACROMICROELEMENTOS!$E29))</f>
        <v/>
      </c>
      <c r="CG29" s="17" t="str">
        <f>IF(AND(MACROMICROELEMENTOS!$AW29="",MACROMICROELEMENTOS!$AX29="",MACROMICROELEMENTOS!$AY29="",MACROMICROELEMENTOS!$AZ29=""),"",AVERAGE(MACROMICROELEMENTOS!$AW29,MACROMICROELEMENTOS!$AX29,MACROMICROELEMENTOS!$AY29,MACROMICROELEMENTOS!$AZ29))</f>
        <v/>
      </c>
      <c r="CH29" s="23">
        <v>1</v>
      </c>
      <c r="CI29" s="31" t="str">
        <f>IF(OR(MACROMICROELEMENTOS!$A29="",MACROMICROELEMENTOS!$B29="",MACROMICROELEMENTOS!$C29="",MACROMICROELEMENTOS!$D29="",MACROMICROELEMENTOS!$E29="",MACROMICROELEMENTOS!$N29="",MACROMICROELEMENTOS!$CG29="",MACROMICROELEMENTOS!$CH29=""),"",((MACROMICROELEMENTOS!$N29-MACROMICROELEMENTOS!$CG29)*MACROMICROELEMENTOS!$CH29*MACROMICROELEMENTOS!$D29*(1/MACROMICROELEMENTOS!$C29)*MACROMICROELEMENTOS!$E29))</f>
        <v/>
      </c>
      <c r="CJ29" s="17" t="str">
        <f>IF(AND(MACROMICROELEMENTOS!$BA29="",MACROMICROELEMENTOS!$BB29="",MACROMICROELEMENTOS!$BC29="",MACROMICROELEMENTOS!$BD29=""),"",IF(O29&gt;2,0,AVERAGE(MACROMICROELEMENTOS!$BA29,MACROMICROELEMENTOS!$BB29,MACROMICROELEMENTOS!$BC29,MACROMICROELEMENTOS!$BD29)))</f>
        <v/>
      </c>
      <c r="CK29" s="23">
        <v>1</v>
      </c>
      <c r="CL29" s="31" t="str">
        <f>IF(OR(MACROMICROELEMENTOS!$A29="",MACROMICROELEMENTOS!$B29="",MACROMICROELEMENTOS!$C29="",MACROMICROELEMENTOS!$D29="",MACROMICROELEMENTOS!$E29="",MACROMICROELEMENTOS!$O29="",MACROMICROELEMENTOS!$CJ29="",MACROMICROELEMENTOS!$CK29=""),"",((MACROMICROELEMENTOS!$O29-MACROMICROELEMENTOS!$CJ29)*MACROMICROELEMENTOS!$CK29*MACROMICROELEMENTOS!$D29*(1/MACROMICROELEMENTOS!$C29)*MACROMICROELEMENTOS!$E29))</f>
        <v/>
      </c>
      <c r="CM29" s="17" t="str">
        <f>IF(AND(MACROMICROELEMENTOS!$BE29="",MACROMICROELEMENTOS!$BF29="",MACROMICROELEMENTOS!$BG29="",MACROMICROELEMENTOS!$BH29=""),"",AVERAGE(MACROMICROELEMENTOS!$BE29,MACROMICROELEMENTOS!$BF29,MACROMICROELEMENTOS!$BG29,MACROMICROELEMENTOS!$BH29))</f>
        <v/>
      </c>
      <c r="CN29" s="23">
        <v>1</v>
      </c>
      <c r="CO29" s="31" t="str">
        <f>IF(OR(MACROMICROELEMENTOS!$A29="",MACROMICROELEMENTOS!$B29="",MACROMICROELEMENTOS!$C29="",MACROMICROELEMENTOS!$D29="",MACROMICROELEMENTOS!$E29="",MACROMICROELEMENTOS!$P29="",MACROMICROELEMENTOS!$CM29="",MACROMICROELEMENTOS!$CN29=""),"",((MACROMICROELEMENTOS!$P29-MACROMICROELEMENTOS!$CM29)*MACROMICROELEMENTOS!$CN29*MACROMICROELEMENTOS!$D29*(1/MACROMICROELEMENTOS!$C29)*MACROMICROELEMENTOS!$E29))</f>
        <v/>
      </c>
    </row>
    <row r="30" spans="1:93" x14ac:dyDescent="0.3">
      <c r="A30" s="19" t="str">
        <f>IF(Pesada!A30="","",Pesada!A30)</f>
        <v/>
      </c>
      <c r="B30" s="16" t="str">
        <f>IF(Pesada!B30="","",Pesada!B30)</f>
        <v/>
      </c>
      <c r="C30" s="20" t="str">
        <f>IF(Pesada!C30="","",VALUE(Pesada!C30))</f>
        <v/>
      </c>
      <c r="D30" s="23">
        <v>100</v>
      </c>
      <c r="E30" s="30" t="str">
        <f>IF(METALESPESADOS!E30="","",METALESPESADOS!E30)</f>
        <v/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17" t="str">
        <f>IF(AND(MACROMICROELEMENTOS!$U30="",MACROMICROELEMENTOS!$V30="",MACROMICROELEMENTOS!$W30="",MACROMICROELEMENTOS!$X30=""),"",AVERAGE(MACROMICROELEMENTOS!$U30,MACROMICROELEMENTOS!$V30,MACROMICROELEMENTOS!$W30,MACROMICROELEMENTOS!$X30))</f>
        <v/>
      </c>
      <c r="BJ30" s="23">
        <v>1</v>
      </c>
      <c r="BK30" s="31" t="str">
        <f>IF(OR(MACROMICROELEMENTOS!$A30="",MACROMICROELEMENTOS!$B30="",MACROMICROELEMENTOS!$C30="",MACROMICROELEMENTOS!$D30="",MACROMICROELEMENTOS!$E30="",MACROMICROELEMENTOS!$F30="",MACROMICROELEMENTOS!$BI30="",MACROMICROELEMENTOS!$BJ30=""),"",((MACROMICROELEMENTOS!$F30-MACROMICROELEMENTOS!$BI30)*MACROMICROELEMENTOS!$BJ30*MACROMICROELEMENTOS!$D30*(1/MACROMICROELEMENTOS!$C30)*MACROMICROELEMENTOS!$E30))</f>
        <v/>
      </c>
      <c r="BL30" s="17" t="str">
        <f>IF(AND(MACROMICROELEMENTOS!$Y30="",MACROMICROELEMENTOS!$Z30="",MACROMICROELEMENTOS!$AA30="",MACROMICROELEMENTOS!$AB30=""),"",AVERAGE(MACROMICROELEMENTOS!$Y30,MACROMICROELEMENTOS!$Z30,MACROMICROELEMENTOS!$AA30,MACROMICROELEMENTOS!$AB30))</f>
        <v/>
      </c>
      <c r="BM30" s="23">
        <v>1</v>
      </c>
      <c r="BN30" s="31" t="str">
        <f>IF(OR(MACROMICROELEMENTOS!$A30="",MACROMICROELEMENTOS!$B30="",MACROMICROELEMENTOS!$C30="",MACROMICROELEMENTOS!$D30="",MACROMICROELEMENTOS!$E30="",MACROMICROELEMENTOS!$G30="",MACROMICROELEMENTOS!$BL30="",MACROMICROELEMENTOS!$BM30=""),"",((MACROMICROELEMENTOS!$G30-MACROMICROELEMENTOS!$BL30)*MACROMICROELEMENTOS!$BM30*MACROMICROELEMENTOS!$D30*(1/MACROMICROELEMENTOS!$C30)*MACROMICROELEMENTOS!$E30/1000))</f>
        <v/>
      </c>
      <c r="BO30" s="17" t="str">
        <f>IF(AND(MACROMICROELEMENTOS!$AC30="",MACROMICROELEMENTOS!$AD30="",MACROMICROELEMENTOS!$AE30="",MACROMICROELEMENTOS!$AF30=""),"",AVERAGE(MACROMICROELEMENTOS!$AC30,MACROMICROELEMENTOS!$AD30,MACROMICROELEMENTOS!$AE30,MACROMICROELEMENTOS!$AF30))</f>
        <v/>
      </c>
      <c r="BP30" s="23">
        <v>1</v>
      </c>
      <c r="BQ30" s="31" t="str">
        <f>IF(OR(MACROMICROELEMENTOS!$A30="",MACROMICROELEMENTOS!$B30="",MACROMICROELEMENTOS!$C30="",MACROMICROELEMENTOS!$D30="",MACROMICROELEMENTOS!$E30="",MACROMICROELEMENTOS!$H30="",MACROMICROELEMENTOS!$BO30="",MACROMICROELEMENTOS!$BP30=""),"",((MACROMICROELEMENTOS!$H30-MACROMICROELEMENTOS!$BO30)*MACROMICROELEMENTOS!$BP30*MACROMICROELEMENTOS!$D30*(1/MACROMICROELEMENTOS!$C30)*MACROMICROELEMENTOS!$E30))</f>
        <v/>
      </c>
      <c r="BR30" s="17" t="str">
        <f>IF(AND(MACROMICROELEMENTOS!$Q30="",MACROMICROELEMENTOS!$R30="",MACROMICROELEMENTOS!$S30="",MACROMICROELEMENTOS!$T30=""),"",AVERAGE(MACROMICROELEMENTOS!$Q30,MACROMICROELEMENTOS!$R30,MACROMICROELEMENTOS!$S30,MACROMICROELEMENTOS!$T30))</f>
        <v/>
      </c>
      <c r="BS30" s="23">
        <v>1</v>
      </c>
      <c r="BT30" s="31" t="str">
        <f>IF(OR(MACROMICROELEMENTOS!$A30="",MACROMICROELEMENTOS!$B30="",MACROMICROELEMENTOS!$C30="",MACROMICROELEMENTOS!$D30="",MACROMICROELEMENTOS!$E30="",MACROMICROELEMENTOS!$I30="",MACROMICROELEMENTOS!$BR30="",MACROMICROELEMENTOS!$BS30=""),"",((MACROMICROELEMENTOS!$I30-MACROMICROELEMENTOS!$BR30)*MACROMICROELEMENTOS!$BS30*MACROMICROELEMENTOS!$D30*(1/MACROMICROELEMENTOS!$C30)*MACROMICROELEMENTOS!$E30))</f>
        <v/>
      </c>
      <c r="BU30" s="17" t="str">
        <f>IF(AND(MACROMICROELEMENTOS!$AG30="",MACROMICROELEMENTOS!$AH30="",MACROMICROELEMENTOS!$AI30="",MACROMICROELEMENTOS!$AJ30=""),"",AVERAGE(MACROMICROELEMENTOS!$AG30,MACROMICROELEMENTOS!$AH30,MACROMICROELEMENTOS!$AI30,MACROMICROELEMENTOS!$AJ30))</f>
        <v/>
      </c>
      <c r="BV30" s="23">
        <v>1</v>
      </c>
      <c r="BW30" s="31" t="str">
        <f>IF(OR(MACROMICROELEMENTOS!$A30="",MACROMICROELEMENTOS!$B30="",MACROMICROELEMENTOS!$C30="",MACROMICROELEMENTOS!$D30="",MACROMICROELEMENTOS!$E30="",MACROMICROELEMENTOS!$J30="",MACROMICROELEMENTOS!$BU30="",MACROMICROELEMENTOS!$BV30=""),"",((MACROMICROELEMENTOS!$J30-MACROMICROELEMENTOS!$BU30)*MACROMICROELEMENTOS!$BV30*MACROMICROELEMENTOS!$D30*(1/MACROMICROELEMENTOS!$C30)*MACROMICROELEMENTOS!$E30))</f>
        <v/>
      </c>
      <c r="BX30" s="17" t="str">
        <f>IF(AND(MACROMICROELEMENTOS!$AK30="",MACROMICROELEMENTOS!$AL30="",MACROMICROELEMENTOS!$AM30="",MACROMICROELEMENTOS!$AN30=""),"",AVERAGE(MACROMICROELEMENTOS!$AK30,MACROMICROELEMENTOS!$AL30,MACROMICROELEMENTOS!$AM30,MACROMICROELEMENTOS!$AN30))</f>
        <v/>
      </c>
      <c r="BY30" s="23">
        <v>1</v>
      </c>
      <c r="BZ30" s="31" t="str">
        <f>IF(OR(MACROMICROELEMENTOS!$A30="",MACROMICROELEMENTOS!$B30="",MACROMICROELEMENTOS!$C30="",MACROMICROELEMENTOS!$D30="",MACROMICROELEMENTOS!$E30="",MACROMICROELEMENTOS!$K30="",MACROMICROELEMENTOS!$BX30="",MACROMICROELEMENTOS!$BY30=""),"",((MACROMICROELEMENTOS!$K30-MACROMICROELEMENTOS!$BX30)*MACROMICROELEMENTOS!$BY30*MACROMICROELEMENTOS!$D30*(1/MACROMICROELEMENTOS!$C30)*MACROMICROELEMENTOS!$E30))</f>
        <v/>
      </c>
      <c r="CA30" s="17" t="str">
        <f>IF(AND(MACROMICROELEMENTOS!$AO30="",MACROMICROELEMENTOS!$AP30="",MACROMICROELEMENTOS!$AQ30="",MACROMICROELEMENTOS!$AR30=""),"",AVERAGE(MACROMICROELEMENTOS!$AO30,MACROMICROELEMENTOS!$AP30,MACROMICROELEMENTOS!$AQ30,MACROMICROELEMENTOS!$AR30))</f>
        <v/>
      </c>
      <c r="CB30" s="23">
        <v>1</v>
      </c>
      <c r="CC30" s="31" t="str">
        <f>IF(OR(MACROMICROELEMENTOS!$A30="",MACROMICROELEMENTOS!$B30="",MACROMICROELEMENTOS!$C30="",MACROMICROELEMENTOS!$D30="",MACROMICROELEMENTOS!$E30="",MACROMICROELEMENTOS!$L30="",MACROMICROELEMENTOS!$CA30="",MACROMICROELEMENTOS!$CB30=""),"",((MACROMICROELEMENTOS!$L30-MACROMICROELEMENTOS!$CA30)*MACROMICROELEMENTOS!$CB30*MACROMICROELEMENTOS!$D30*(1/MACROMICROELEMENTOS!$C30)*MACROMICROELEMENTOS!$E30))</f>
        <v/>
      </c>
      <c r="CD30" s="17" t="str">
        <f>IF(AND(MACROMICROELEMENTOS!$AS30="",MACROMICROELEMENTOS!$AT30="",MACROMICROELEMENTOS!$AU30="",MACROMICROELEMENTOS!$AV30=""),"",AVERAGE(MACROMICROELEMENTOS!$AS30,MACROMICROELEMENTOS!$AT30,MACROMICROELEMENTOS!$AU30,MACROMICROELEMENTOS!$AV30))</f>
        <v/>
      </c>
      <c r="CE30" s="23">
        <v>1</v>
      </c>
      <c r="CF30" s="31" t="str">
        <f>IF(OR(MACROMICROELEMENTOS!$A30="",MACROMICROELEMENTOS!$B30="",MACROMICROELEMENTOS!$C30="",MACROMICROELEMENTOS!$D30="",MACROMICROELEMENTOS!$E30="",MACROMICROELEMENTOS!$M30="",MACROMICROELEMENTOS!$CD30="",MACROMICROELEMENTOS!$CE30=""),"",((MACROMICROELEMENTOS!$M30-MACROMICROELEMENTOS!$CD30)*MACROMICROELEMENTOS!$CE30*MACROMICROELEMENTOS!$D30*(1/MACROMICROELEMENTOS!$C30)*MACROMICROELEMENTOS!$E30))</f>
        <v/>
      </c>
      <c r="CG30" s="17" t="str">
        <f>IF(AND(MACROMICROELEMENTOS!$AW30="",MACROMICROELEMENTOS!$AX30="",MACROMICROELEMENTOS!$AY30="",MACROMICROELEMENTOS!$AZ30=""),"",AVERAGE(MACROMICROELEMENTOS!$AW30,MACROMICROELEMENTOS!$AX30,MACROMICROELEMENTOS!$AY30,MACROMICROELEMENTOS!$AZ30))</f>
        <v/>
      </c>
      <c r="CH30" s="23">
        <v>1</v>
      </c>
      <c r="CI30" s="31" t="str">
        <f>IF(OR(MACROMICROELEMENTOS!$A30="",MACROMICROELEMENTOS!$B30="",MACROMICROELEMENTOS!$C30="",MACROMICROELEMENTOS!$D30="",MACROMICROELEMENTOS!$E30="",MACROMICROELEMENTOS!$N30="",MACROMICROELEMENTOS!$CG30="",MACROMICROELEMENTOS!$CH30=""),"",((MACROMICROELEMENTOS!$N30-MACROMICROELEMENTOS!$CG30)*MACROMICROELEMENTOS!$CH30*MACROMICROELEMENTOS!$D30*(1/MACROMICROELEMENTOS!$C30)*MACROMICROELEMENTOS!$E30))</f>
        <v/>
      </c>
      <c r="CJ30" s="17" t="str">
        <f>IF(AND(MACROMICROELEMENTOS!$BA30="",MACROMICROELEMENTOS!$BB30="",MACROMICROELEMENTOS!$BC30="",MACROMICROELEMENTOS!$BD30=""),"",IF(O30&gt;2,0,AVERAGE(MACROMICROELEMENTOS!$BA30,MACROMICROELEMENTOS!$BB30,MACROMICROELEMENTOS!$BC30,MACROMICROELEMENTOS!$BD30)))</f>
        <v/>
      </c>
      <c r="CK30" s="23">
        <v>1</v>
      </c>
      <c r="CL30" s="31" t="str">
        <f>IF(OR(MACROMICROELEMENTOS!$A30="",MACROMICROELEMENTOS!$B30="",MACROMICROELEMENTOS!$C30="",MACROMICROELEMENTOS!$D30="",MACROMICROELEMENTOS!$E30="",MACROMICROELEMENTOS!$O30="",MACROMICROELEMENTOS!$CJ30="",MACROMICROELEMENTOS!$CK30=""),"",((MACROMICROELEMENTOS!$O30-MACROMICROELEMENTOS!$CJ30)*MACROMICROELEMENTOS!$CK30*MACROMICROELEMENTOS!$D30*(1/MACROMICROELEMENTOS!$C30)*MACROMICROELEMENTOS!$E30))</f>
        <v/>
      </c>
      <c r="CM30" s="17" t="str">
        <f>IF(AND(MACROMICROELEMENTOS!$BE30="",MACROMICROELEMENTOS!$BF30="",MACROMICROELEMENTOS!$BG30="",MACROMICROELEMENTOS!$BH30=""),"",AVERAGE(MACROMICROELEMENTOS!$BE30,MACROMICROELEMENTOS!$BF30,MACROMICROELEMENTOS!$BG30,MACROMICROELEMENTOS!$BH30))</f>
        <v/>
      </c>
      <c r="CN30" s="23">
        <v>1</v>
      </c>
      <c r="CO30" s="31" t="str">
        <f>IF(OR(MACROMICROELEMENTOS!$A30="",MACROMICROELEMENTOS!$B30="",MACROMICROELEMENTOS!$C30="",MACROMICROELEMENTOS!$D30="",MACROMICROELEMENTOS!$E30="",MACROMICROELEMENTOS!$P30="",MACROMICROELEMENTOS!$CM30="",MACROMICROELEMENTOS!$CN30=""),"",((MACROMICROELEMENTOS!$P30-MACROMICROELEMENTOS!$CM30)*MACROMICROELEMENTOS!$CN30*MACROMICROELEMENTOS!$D30*(1/MACROMICROELEMENTOS!$C30)*MACROMICROELEMENTOS!$E30))</f>
        <v/>
      </c>
    </row>
    <row r="31" spans="1:93" x14ac:dyDescent="0.3">
      <c r="A31" s="19" t="str">
        <f>IF(Pesada!A31="","",Pesada!A31)</f>
        <v/>
      </c>
      <c r="B31" s="16" t="str">
        <f>IF(Pesada!B31="","",Pesada!B31)</f>
        <v/>
      </c>
      <c r="C31" s="20" t="str">
        <f>IF(Pesada!C31="","",VALUE(Pesada!C31))</f>
        <v/>
      </c>
      <c r="D31" s="23">
        <v>100</v>
      </c>
      <c r="E31" s="30" t="str">
        <f>IF(METALESPESADOS!E31="","",METALESPESADOS!E31)</f>
        <v/>
      </c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24"/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17" t="str">
        <f>IF(AND(MACROMICROELEMENTOS!$U31="",MACROMICROELEMENTOS!$V31="",MACROMICROELEMENTOS!$W31="",MACROMICROELEMENTOS!$X31=""),"",AVERAGE(MACROMICROELEMENTOS!$U31,MACROMICROELEMENTOS!$V31,MACROMICROELEMENTOS!$W31,MACROMICROELEMENTOS!$X31))</f>
        <v/>
      </c>
      <c r="BJ31" s="23">
        <v>1</v>
      </c>
      <c r="BK31" s="31" t="str">
        <f>IF(OR(MACROMICROELEMENTOS!$A31="",MACROMICROELEMENTOS!$B31="",MACROMICROELEMENTOS!$C31="",MACROMICROELEMENTOS!$D31="",MACROMICROELEMENTOS!$E31="",MACROMICROELEMENTOS!$F31="",MACROMICROELEMENTOS!$BI31="",MACROMICROELEMENTOS!$BJ31=""),"",((MACROMICROELEMENTOS!$F31-MACROMICROELEMENTOS!$BI31)*MACROMICROELEMENTOS!$BJ31*MACROMICROELEMENTOS!$D31*(1/MACROMICROELEMENTOS!$C31)*MACROMICROELEMENTOS!$E31))</f>
        <v/>
      </c>
      <c r="BL31" s="17" t="str">
        <f>IF(AND(MACROMICROELEMENTOS!$Y31="",MACROMICROELEMENTOS!$Z31="",MACROMICROELEMENTOS!$AA31="",MACROMICROELEMENTOS!$AB31=""),"",AVERAGE(MACROMICROELEMENTOS!$Y31,MACROMICROELEMENTOS!$Z31,MACROMICROELEMENTOS!$AA31,MACROMICROELEMENTOS!$AB31))</f>
        <v/>
      </c>
      <c r="BM31" s="23">
        <v>1</v>
      </c>
      <c r="BN31" s="31" t="str">
        <f>IF(OR(MACROMICROELEMENTOS!$A31="",MACROMICROELEMENTOS!$B31="",MACROMICROELEMENTOS!$C31="",MACROMICROELEMENTOS!$D31="",MACROMICROELEMENTOS!$E31="",MACROMICROELEMENTOS!$G31="",MACROMICROELEMENTOS!$BL31="",MACROMICROELEMENTOS!$BM31=""),"",((MACROMICROELEMENTOS!$G31-MACROMICROELEMENTOS!$BL31)*MACROMICROELEMENTOS!$BM31*MACROMICROELEMENTOS!$D31*(1/MACROMICROELEMENTOS!$C31)*MACROMICROELEMENTOS!$E31/1000))</f>
        <v/>
      </c>
      <c r="BO31" s="17" t="str">
        <f>IF(AND(MACROMICROELEMENTOS!$AC31="",MACROMICROELEMENTOS!$AD31="",MACROMICROELEMENTOS!$AE31="",MACROMICROELEMENTOS!$AF31=""),"",AVERAGE(MACROMICROELEMENTOS!$AC31,MACROMICROELEMENTOS!$AD31,MACROMICROELEMENTOS!$AE31,MACROMICROELEMENTOS!$AF31))</f>
        <v/>
      </c>
      <c r="BP31" s="23">
        <v>1</v>
      </c>
      <c r="BQ31" s="31" t="str">
        <f>IF(OR(MACROMICROELEMENTOS!$A31="",MACROMICROELEMENTOS!$B31="",MACROMICROELEMENTOS!$C31="",MACROMICROELEMENTOS!$D31="",MACROMICROELEMENTOS!$E31="",MACROMICROELEMENTOS!$H31="",MACROMICROELEMENTOS!$BO31="",MACROMICROELEMENTOS!$BP31=""),"",((MACROMICROELEMENTOS!$H31-MACROMICROELEMENTOS!$BO31)*MACROMICROELEMENTOS!$BP31*MACROMICROELEMENTOS!$D31*(1/MACROMICROELEMENTOS!$C31)*MACROMICROELEMENTOS!$E31))</f>
        <v/>
      </c>
      <c r="BR31" s="17" t="str">
        <f>IF(AND(MACROMICROELEMENTOS!$Q31="",MACROMICROELEMENTOS!$R31="",MACROMICROELEMENTOS!$S31="",MACROMICROELEMENTOS!$T31=""),"",AVERAGE(MACROMICROELEMENTOS!$Q31,MACROMICROELEMENTOS!$R31,MACROMICROELEMENTOS!$S31,MACROMICROELEMENTOS!$T31))</f>
        <v/>
      </c>
      <c r="BS31" s="23">
        <v>1</v>
      </c>
      <c r="BT31" s="31" t="str">
        <f>IF(OR(MACROMICROELEMENTOS!$A31="",MACROMICROELEMENTOS!$B31="",MACROMICROELEMENTOS!$C31="",MACROMICROELEMENTOS!$D31="",MACROMICROELEMENTOS!$E31="",MACROMICROELEMENTOS!$I31="",MACROMICROELEMENTOS!$BR31="",MACROMICROELEMENTOS!$BS31=""),"",((MACROMICROELEMENTOS!$I31-MACROMICROELEMENTOS!$BR31)*MACROMICROELEMENTOS!$BS31*MACROMICROELEMENTOS!$D31*(1/MACROMICROELEMENTOS!$C31)*MACROMICROELEMENTOS!$E31))</f>
        <v/>
      </c>
      <c r="BU31" s="17" t="str">
        <f>IF(AND(MACROMICROELEMENTOS!$AG31="",MACROMICROELEMENTOS!$AH31="",MACROMICROELEMENTOS!$AI31="",MACROMICROELEMENTOS!$AJ31=""),"",AVERAGE(MACROMICROELEMENTOS!$AG31,MACROMICROELEMENTOS!$AH31,MACROMICROELEMENTOS!$AI31,MACROMICROELEMENTOS!$AJ31))</f>
        <v/>
      </c>
      <c r="BV31" s="23">
        <v>1</v>
      </c>
      <c r="BW31" s="31" t="str">
        <f>IF(OR(MACROMICROELEMENTOS!$A31="",MACROMICROELEMENTOS!$B31="",MACROMICROELEMENTOS!$C31="",MACROMICROELEMENTOS!$D31="",MACROMICROELEMENTOS!$E31="",MACROMICROELEMENTOS!$J31="",MACROMICROELEMENTOS!$BU31="",MACROMICROELEMENTOS!$BV31=""),"",((MACROMICROELEMENTOS!$J31-MACROMICROELEMENTOS!$BU31)*MACROMICROELEMENTOS!$BV31*MACROMICROELEMENTOS!$D31*(1/MACROMICROELEMENTOS!$C31)*MACROMICROELEMENTOS!$E31))</f>
        <v/>
      </c>
      <c r="BX31" s="17" t="str">
        <f>IF(AND(MACROMICROELEMENTOS!$AK31="",MACROMICROELEMENTOS!$AL31="",MACROMICROELEMENTOS!$AM31="",MACROMICROELEMENTOS!$AN31=""),"",AVERAGE(MACROMICROELEMENTOS!$AK31,MACROMICROELEMENTOS!$AL31,MACROMICROELEMENTOS!$AM31,MACROMICROELEMENTOS!$AN31))</f>
        <v/>
      </c>
      <c r="BY31" s="23">
        <v>1</v>
      </c>
      <c r="BZ31" s="31" t="str">
        <f>IF(OR(MACROMICROELEMENTOS!$A31="",MACROMICROELEMENTOS!$B31="",MACROMICROELEMENTOS!$C31="",MACROMICROELEMENTOS!$D31="",MACROMICROELEMENTOS!$E31="",MACROMICROELEMENTOS!$K31="",MACROMICROELEMENTOS!$BX31="",MACROMICROELEMENTOS!$BY31=""),"",((MACROMICROELEMENTOS!$K31-MACROMICROELEMENTOS!$BX31)*MACROMICROELEMENTOS!$BY31*MACROMICROELEMENTOS!$D31*(1/MACROMICROELEMENTOS!$C31)*MACROMICROELEMENTOS!$E31))</f>
        <v/>
      </c>
      <c r="CA31" s="17" t="str">
        <f>IF(AND(MACROMICROELEMENTOS!$AO31="",MACROMICROELEMENTOS!$AP31="",MACROMICROELEMENTOS!$AQ31="",MACROMICROELEMENTOS!$AR31=""),"",AVERAGE(MACROMICROELEMENTOS!$AO31,MACROMICROELEMENTOS!$AP31,MACROMICROELEMENTOS!$AQ31,MACROMICROELEMENTOS!$AR31))</f>
        <v/>
      </c>
      <c r="CB31" s="23">
        <v>1</v>
      </c>
      <c r="CC31" s="31" t="str">
        <f>IF(OR(MACROMICROELEMENTOS!$A31="",MACROMICROELEMENTOS!$B31="",MACROMICROELEMENTOS!$C31="",MACROMICROELEMENTOS!$D31="",MACROMICROELEMENTOS!$E31="",MACROMICROELEMENTOS!$L31="",MACROMICROELEMENTOS!$CA31="",MACROMICROELEMENTOS!$CB31=""),"",((MACROMICROELEMENTOS!$L31-MACROMICROELEMENTOS!$CA31)*MACROMICROELEMENTOS!$CB31*MACROMICROELEMENTOS!$D31*(1/MACROMICROELEMENTOS!$C31)*MACROMICROELEMENTOS!$E31))</f>
        <v/>
      </c>
      <c r="CD31" s="17" t="str">
        <f>IF(AND(MACROMICROELEMENTOS!$AS31="",MACROMICROELEMENTOS!$AT31="",MACROMICROELEMENTOS!$AU31="",MACROMICROELEMENTOS!$AV31=""),"",AVERAGE(MACROMICROELEMENTOS!$AS31,MACROMICROELEMENTOS!$AT31,MACROMICROELEMENTOS!$AU31,MACROMICROELEMENTOS!$AV31))</f>
        <v/>
      </c>
      <c r="CE31" s="23">
        <v>1</v>
      </c>
      <c r="CF31" s="31" t="str">
        <f>IF(OR(MACROMICROELEMENTOS!$A31="",MACROMICROELEMENTOS!$B31="",MACROMICROELEMENTOS!$C31="",MACROMICROELEMENTOS!$D31="",MACROMICROELEMENTOS!$E31="",MACROMICROELEMENTOS!$M31="",MACROMICROELEMENTOS!$CD31="",MACROMICROELEMENTOS!$CE31=""),"",((MACROMICROELEMENTOS!$M31-MACROMICROELEMENTOS!$CD31)*MACROMICROELEMENTOS!$CE31*MACROMICROELEMENTOS!$D31*(1/MACROMICROELEMENTOS!$C31)*MACROMICROELEMENTOS!$E31))</f>
        <v/>
      </c>
      <c r="CG31" s="17" t="str">
        <f>IF(AND(MACROMICROELEMENTOS!$AW31="",MACROMICROELEMENTOS!$AX31="",MACROMICROELEMENTOS!$AY31="",MACROMICROELEMENTOS!$AZ31=""),"",AVERAGE(MACROMICROELEMENTOS!$AW31,MACROMICROELEMENTOS!$AX31,MACROMICROELEMENTOS!$AY31,MACROMICROELEMENTOS!$AZ31))</f>
        <v/>
      </c>
      <c r="CH31" s="23">
        <v>1</v>
      </c>
      <c r="CI31" s="31" t="str">
        <f>IF(OR(MACROMICROELEMENTOS!$A31="",MACROMICROELEMENTOS!$B31="",MACROMICROELEMENTOS!$C31="",MACROMICROELEMENTOS!$D31="",MACROMICROELEMENTOS!$E31="",MACROMICROELEMENTOS!$N31="",MACROMICROELEMENTOS!$CG31="",MACROMICROELEMENTOS!$CH31=""),"",((MACROMICROELEMENTOS!$N31-MACROMICROELEMENTOS!$CG31)*MACROMICROELEMENTOS!$CH31*MACROMICROELEMENTOS!$D31*(1/MACROMICROELEMENTOS!$C31)*MACROMICROELEMENTOS!$E31))</f>
        <v/>
      </c>
      <c r="CJ31" s="17" t="str">
        <f>IF(AND(MACROMICROELEMENTOS!$BA31="",MACROMICROELEMENTOS!$BB31="",MACROMICROELEMENTOS!$BC31="",MACROMICROELEMENTOS!$BD31=""),"",IF(O31&gt;2,0,AVERAGE(MACROMICROELEMENTOS!$BA31,MACROMICROELEMENTOS!$BB31,MACROMICROELEMENTOS!$BC31,MACROMICROELEMENTOS!$BD31)))</f>
        <v/>
      </c>
      <c r="CK31" s="23">
        <v>1</v>
      </c>
      <c r="CL31" s="31" t="str">
        <f>IF(OR(MACROMICROELEMENTOS!$A31="",MACROMICROELEMENTOS!$B31="",MACROMICROELEMENTOS!$C31="",MACROMICROELEMENTOS!$D31="",MACROMICROELEMENTOS!$E31="",MACROMICROELEMENTOS!$O31="",MACROMICROELEMENTOS!$CJ31="",MACROMICROELEMENTOS!$CK31=""),"",((MACROMICROELEMENTOS!$O31-MACROMICROELEMENTOS!$CJ31)*MACROMICROELEMENTOS!$CK31*MACROMICROELEMENTOS!$D31*(1/MACROMICROELEMENTOS!$C31)*MACROMICROELEMENTOS!$E31))</f>
        <v/>
      </c>
      <c r="CM31" s="17" t="str">
        <f>IF(AND(MACROMICROELEMENTOS!$BE31="",MACROMICROELEMENTOS!$BF31="",MACROMICROELEMENTOS!$BG31="",MACROMICROELEMENTOS!$BH31=""),"",AVERAGE(MACROMICROELEMENTOS!$BE31,MACROMICROELEMENTOS!$BF31,MACROMICROELEMENTOS!$BG31,MACROMICROELEMENTOS!$BH31))</f>
        <v/>
      </c>
      <c r="CN31" s="23">
        <v>1</v>
      </c>
      <c r="CO31" s="31" t="str">
        <f>IF(OR(MACROMICROELEMENTOS!$A31="",MACROMICROELEMENTOS!$B31="",MACROMICROELEMENTOS!$C31="",MACROMICROELEMENTOS!$D31="",MACROMICROELEMENTOS!$E31="",MACROMICROELEMENTOS!$P31="",MACROMICROELEMENTOS!$CM31="",MACROMICROELEMENTOS!$CN31=""),"",((MACROMICROELEMENTOS!$P31-MACROMICROELEMENTOS!$CM31)*MACROMICROELEMENTOS!$CN31*MACROMICROELEMENTOS!$D31*(1/MACROMICROELEMENTOS!$C31)*MACROMICROELEMENTOS!$E31))</f>
        <v/>
      </c>
    </row>
    <row r="32" spans="1:93" x14ac:dyDescent="0.3">
      <c r="A32" s="19" t="str">
        <f>IF(Pesada!A32="","",Pesada!A32)</f>
        <v/>
      </c>
      <c r="B32" s="16" t="str">
        <f>IF(Pesada!B32="","",Pesada!B32)</f>
        <v/>
      </c>
      <c r="C32" s="20" t="str">
        <f>IF(Pesada!C32="","",VALUE(Pesada!C32))</f>
        <v/>
      </c>
      <c r="D32" s="23">
        <v>100</v>
      </c>
      <c r="E32" s="30" t="str">
        <f>IF(METALESPESADOS!E32="","",METALESPESADOS!E32)</f>
        <v/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17" t="str">
        <f>IF(AND(MACROMICROELEMENTOS!$U32="",MACROMICROELEMENTOS!$V32="",MACROMICROELEMENTOS!$W32="",MACROMICROELEMENTOS!$X32=""),"",AVERAGE(MACROMICROELEMENTOS!$U32,MACROMICROELEMENTOS!$V32,MACROMICROELEMENTOS!$W32,MACROMICROELEMENTOS!$X32))</f>
        <v/>
      </c>
      <c r="BJ32" s="23">
        <v>1</v>
      </c>
      <c r="BK32" s="31" t="str">
        <f>IF(OR(MACROMICROELEMENTOS!$A32="",MACROMICROELEMENTOS!$B32="",MACROMICROELEMENTOS!$C32="",MACROMICROELEMENTOS!$D32="",MACROMICROELEMENTOS!$E32="",MACROMICROELEMENTOS!$F32="",MACROMICROELEMENTOS!$BI32="",MACROMICROELEMENTOS!$BJ32=""),"",((MACROMICROELEMENTOS!$F32-MACROMICROELEMENTOS!$BI32)*MACROMICROELEMENTOS!$BJ32*MACROMICROELEMENTOS!$D32*(1/MACROMICROELEMENTOS!$C32)*MACROMICROELEMENTOS!$E32))</f>
        <v/>
      </c>
      <c r="BL32" s="17" t="str">
        <f>IF(AND(MACROMICROELEMENTOS!$Y32="",MACROMICROELEMENTOS!$Z32="",MACROMICROELEMENTOS!$AA32="",MACROMICROELEMENTOS!$AB32=""),"",AVERAGE(MACROMICROELEMENTOS!$Y32,MACROMICROELEMENTOS!$Z32,MACROMICROELEMENTOS!$AA32,MACROMICROELEMENTOS!$AB32))</f>
        <v/>
      </c>
      <c r="BM32" s="23">
        <v>1</v>
      </c>
      <c r="BN32" s="31" t="str">
        <f>IF(OR(MACROMICROELEMENTOS!$A32="",MACROMICROELEMENTOS!$B32="",MACROMICROELEMENTOS!$C32="",MACROMICROELEMENTOS!$D32="",MACROMICROELEMENTOS!$E32="",MACROMICROELEMENTOS!$G32="",MACROMICROELEMENTOS!$BL32="",MACROMICROELEMENTOS!$BM32=""),"",((MACROMICROELEMENTOS!$G32-MACROMICROELEMENTOS!$BL32)*MACROMICROELEMENTOS!$BM32*MACROMICROELEMENTOS!$D32*(1/MACROMICROELEMENTOS!$C32)*MACROMICROELEMENTOS!$E32/1000))</f>
        <v/>
      </c>
      <c r="BO32" s="17" t="str">
        <f>IF(AND(MACROMICROELEMENTOS!$AC32="",MACROMICROELEMENTOS!$AD32="",MACROMICROELEMENTOS!$AE32="",MACROMICROELEMENTOS!$AF32=""),"",AVERAGE(MACROMICROELEMENTOS!$AC32,MACROMICROELEMENTOS!$AD32,MACROMICROELEMENTOS!$AE32,MACROMICROELEMENTOS!$AF32))</f>
        <v/>
      </c>
      <c r="BP32" s="23">
        <v>1</v>
      </c>
      <c r="BQ32" s="31" t="str">
        <f>IF(OR(MACROMICROELEMENTOS!$A32="",MACROMICROELEMENTOS!$B32="",MACROMICROELEMENTOS!$C32="",MACROMICROELEMENTOS!$D32="",MACROMICROELEMENTOS!$E32="",MACROMICROELEMENTOS!$H32="",MACROMICROELEMENTOS!$BO32="",MACROMICROELEMENTOS!$BP32=""),"",((MACROMICROELEMENTOS!$H32-MACROMICROELEMENTOS!$BO32)*MACROMICROELEMENTOS!$BP32*MACROMICROELEMENTOS!$D32*(1/MACROMICROELEMENTOS!$C32)*MACROMICROELEMENTOS!$E32))</f>
        <v/>
      </c>
      <c r="BR32" s="17" t="str">
        <f>IF(AND(MACROMICROELEMENTOS!$Q32="",MACROMICROELEMENTOS!$R32="",MACROMICROELEMENTOS!$S32="",MACROMICROELEMENTOS!$T32=""),"",AVERAGE(MACROMICROELEMENTOS!$Q32,MACROMICROELEMENTOS!$R32,MACROMICROELEMENTOS!$S32,MACROMICROELEMENTOS!$T32))</f>
        <v/>
      </c>
      <c r="BS32" s="23">
        <v>1</v>
      </c>
      <c r="BT32" s="31" t="str">
        <f>IF(OR(MACROMICROELEMENTOS!$A32="",MACROMICROELEMENTOS!$B32="",MACROMICROELEMENTOS!$C32="",MACROMICROELEMENTOS!$D32="",MACROMICROELEMENTOS!$E32="",MACROMICROELEMENTOS!$I32="",MACROMICROELEMENTOS!$BR32="",MACROMICROELEMENTOS!$BS32=""),"",((MACROMICROELEMENTOS!$I32-MACROMICROELEMENTOS!$BR32)*MACROMICROELEMENTOS!$BS32*MACROMICROELEMENTOS!$D32*(1/MACROMICROELEMENTOS!$C32)*MACROMICROELEMENTOS!$E32))</f>
        <v/>
      </c>
      <c r="BU32" s="17" t="str">
        <f>IF(AND(MACROMICROELEMENTOS!$AG32="",MACROMICROELEMENTOS!$AH32="",MACROMICROELEMENTOS!$AI32="",MACROMICROELEMENTOS!$AJ32=""),"",AVERAGE(MACROMICROELEMENTOS!$AG32,MACROMICROELEMENTOS!$AH32,MACROMICROELEMENTOS!$AI32,MACROMICROELEMENTOS!$AJ32))</f>
        <v/>
      </c>
      <c r="BV32" s="23">
        <v>1</v>
      </c>
      <c r="BW32" s="31" t="str">
        <f>IF(OR(MACROMICROELEMENTOS!$A32="",MACROMICROELEMENTOS!$B32="",MACROMICROELEMENTOS!$C32="",MACROMICROELEMENTOS!$D32="",MACROMICROELEMENTOS!$E32="",MACROMICROELEMENTOS!$J32="",MACROMICROELEMENTOS!$BU32="",MACROMICROELEMENTOS!$BV32=""),"",((MACROMICROELEMENTOS!$J32-MACROMICROELEMENTOS!$BU32)*MACROMICROELEMENTOS!$BV32*MACROMICROELEMENTOS!$D32*(1/MACROMICROELEMENTOS!$C32)*MACROMICROELEMENTOS!$E32))</f>
        <v/>
      </c>
      <c r="BX32" s="17" t="str">
        <f>IF(AND(MACROMICROELEMENTOS!$AK32="",MACROMICROELEMENTOS!$AL32="",MACROMICROELEMENTOS!$AM32="",MACROMICROELEMENTOS!$AN32=""),"",AVERAGE(MACROMICROELEMENTOS!$AK32,MACROMICROELEMENTOS!$AL32,MACROMICROELEMENTOS!$AM32,MACROMICROELEMENTOS!$AN32))</f>
        <v/>
      </c>
      <c r="BY32" s="23">
        <v>1</v>
      </c>
      <c r="BZ32" s="31" t="str">
        <f>IF(OR(MACROMICROELEMENTOS!$A32="",MACROMICROELEMENTOS!$B32="",MACROMICROELEMENTOS!$C32="",MACROMICROELEMENTOS!$D32="",MACROMICROELEMENTOS!$E32="",MACROMICROELEMENTOS!$K32="",MACROMICROELEMENTOS!$BX32="",MACROMICROELEMENTOS!$BY32=""),"",((MACROMICROELEMENTOS!$K32-MACROMICROELEMENTOS!$BX32)*MACROMICROELEMENTOS!$BY32*MACROMICROELEMENTOS!$D32*(1/MACROMICROELEMENTOS!$C32)*MACROMICROELEMENTOS!$E32))</f>
        <v/>
      </c>
      <c r="CA32" s="17" t="str">
        <f>IF(AND(MACROMICROELEMENTOS!$AO32="",MACROMICROELEMENTOS!$AP32="",MACROMICROELEMENTOS!$AQ32="",MACROMICROELEMENTOS!$AR32=""),"",AVERAGE(MACROMICROELEMENTOS!$AO32,MACROMICROELEMENTOS!$AP32,MACROMICROELEMENTOS!$AQ32,MACROMICROELEMENTOS!$AR32))</f>
        <v/>
      </c>
      <c r="CB32" s="23">
        <v>1</v>
      </c>
      <c r="CC32" s="31" t="str">
        <f>IF(OR(MACROMICROELEMENTOS!$A32="",MACROMICROELEMENTOS!$B32="",MACROMICROELEMENTOS!$C32="",MACROMICROELEMENTOS!$D32="",MACROMICROELEMENTOS!$E32="",MACROMICROELEMENTOS!$L32="",MACROMICROELEMENTOS!$CA32="",MACROMICROELEMENTOS!$CB32=""),"",((MACROMICROELEMENTOS!$L32-MACROMICROELEMENTOS!$CA32)*MACROMICROELEMENTOS!$CB32*MACROMICROELEMENTOS!$D32*(1/MACROMICROELEMENTOS!$C32)*MACROMICROELEMENTOS!$E32))</f>
        <v/>
      </c>
      <c r="CD32" s="17" t="str">
        <f>IF(AND(MACROMICROELEMENTOS!$AS32="",MACROMICROELEMENTOS!$AT32="",MACROMICROELEMENTOS!$AU32="",MACROMICROELEMENTOS!$AV32=""),"",AVERAGE(MACROMICROELEMENTOS!$AS32,MACROMICROELEMENTOS!$AT32,MACROMICROELEMENTOS!$AU32,MACROMICROELEMENTOS!$AV32))</f>
        <v/>
      </c>
      <c r="CE32" s="23">
        <v>1</v>
      </c>
      <c r="CF32" s="31" t="str">
        <f>IF(OR(MACROMICROELEMENTOS!$A32="",MACROMICROELEMENTOS!$B32="",MACROMICROELEMENTOS!$C32="",MACROMICROELEMENTOS!$D32="",MACROMICROELEMENTOS!$E32="",MACROMICROELEMENTOS!$M32="",MACROMICROELEMENTOS!$CD32="",MACROMICROELEMENTOS!$CE32=""),"",((MACROMICROELEMENTOS!$M32-MACROMICROELEMENTOS!$CD32)*MACROMICROELEMENTOS!$CE32*MACROMICROELEMENTOS!$D32*(1/MACROMICROELEMENTOS!$C32)*MACROMICROELEMENTOS!$E32))</f>
        <v/>
      </c>
      <c r="CG32" s="17" t="str">
        <f>IF(AND(MACROMICROELEMENTOS!$AW32="",MACROMICROELEMENTOS!$AX32="",MACROMICROELEMENTOS!$AY32="",MACROMICROELEMENTOS!$AZ32=""),"",AVERAGE(MACROMICROELEMENTOS!$AW32,MACROMICROELEMENTOS!$AX32,MACROMICROELEMENTOS!$AY32,MACROMICROELEMENTOS!$AZ32))</f>
        <v/>
      </c>
      <c r="CH32" s="23">
        <v>1</v>
      </c>
      <c r="CI32" s="31" t="str">
        <f>IF(OR(MACROMICROELEMENTOS!$A32="",MACROMICROELEMENTOS!$B32="",MACROMICROELEMENTOS!$C32="",MACROMICROELEMENTOS!$D32="",MACROMICROELEMENTOS!$E32="",MACROMICROELEMENTOS!$N32="",MACROMICROELEMENTOS!$CG32="",MACROMICROELEMENTOS!$CH32=""),"",((MACROMICROELEMENTOS!$N32-MACROMICROELEMENTOS!$CG32)*MACROMICROELEMENTOS!$CH32*MACROMICROELEMENTOS!$D32*(1/MACROMICROELEMENTOS!$C32)*MACROMICROELEMENTOS!$E32))</f>
        <v/>
      </c>
      <c r="CJ32" s="17" t="str">
        <f>IF(AND(MACROMICROELEMENTOS!$BA32="",MACROMICROELEMENTOS!$BB32="",MACROMICROELEMENTOS!$BC32="",MACROMICROELEMENTOS!$BD32=""),"",IF(O32&gt;2,0,AVERAGE(MACROMICROELEMENTOS!$BA32,MACROMICROELEMENTOS!$BB32,MACROMICROELEMENTOS!$BC32,MACROMICROELEMENTOS!$BD32)))</f>
        <v/>
      </c>
      <c r="CK32" s="23">
        <v>1</v>
      </c>
      <c r="CL32" s="31" t="str">
        <f>IF(OR(MACROMICROELEMENTOS!$A32="",MACROMICROELEMENTOS!$B32="",MACROMICROELEMENTOS!$C32="",MACROMICROELEMENTOS!$D32="",MACROMICROELEMENTOS!$E32="",MACROMICROELEMENTOS!$O32="",MACROMICROELEMENTOS!$CJ32="",MACROMICROELEMENTOS!$CK32=""),"",((MACROMICROELEMENTOS!$O32-MACROMICROELEMENTOS!$CJ32)*MACROMICROELEMENTOS!$CK32*MACROMICROELEMENTOS!$D32*(1/MACROMICROELEMENTOS!$C32)*MACROMICROELEMENTOS!$E32))</f>
        <v/>
      </c>
      <c r="CM32" s="17" t="str">
        <f>IF(AND(MACROMICROELEMENTOS!$BE32="",MACROMICROELEMENTOS!$BF32="",MACROMICROELEMENTOS!$BG32="",MACROMICROELEMENTOS!$BH32=""),"",AVERAGE(MACROMICROELEMENTOS!$BE32,MACROMICROELEMENTOS!$BF32,MACROMICROELEMENTOS!$BG32,MACROMICROELEMENTOS!$BH32))</f>
        <v/>
      </c>
      <c r="CN32" s="23">
        <v>1</v>
      </c>
      <c r="CO32" s="31" t="str">
        <f>IF(OR(MACROMICROELEMENTOS!$A32="",MACROMICROELEMENTOS!$B32="",MACROMICROELEMENTOS!$C32="",MACROMICROELEMENTOS!$D32="",MACROMICROELEMENTOS!$E32="",MACROMICROELEMENTOS!$P32="",MACROMICROELEMENTOS!$CM32="",MACROMICROELEMENTOS!$CN32=""),"",((MACROMICROELEMENTOS!$P32-MACROMICROELEMENTOS!$CM32)*MACROMICROELEMENTOS!$CN32*MACROMICROELEMENTOS!$D32*(1/MACROMICROELEMENTOS!$C32)*MACROMICROELEMENTOS!$E32))</f>
        <v/>
      </c>
    </row>
    <row r="33" spans="1:93" x14ac:dyDescent="0.3">
      <c r="A33" s="19" t="str">
        <f>IF(Pesada!A33="","",Pesada!A33)</f>
        <v/>
      </c>
      <c r="B33" s="16" t="str">
        <f>IF(Pesada!B33="","",Pesada!B33)</f>
        <v/>
      </c>
      <c r="C33" s="20" t="str">
        <f>IF(Pesada!C33="","",VALUE(Pesada!C33))</f>
        <v/>
      </c>
      <c r="D33" s="23">
        <v>100</v>
      </c>
      <c r="E33" s="30" t="str">
        <f>IF(METALESPESADOS!E33="","",METALESPESADOS!E33)</f>
        <v/>
      </c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17" t="str">
        <f>IF(AND(MACROMICROELEMENTOS!$U33="",MACROMICROELEMENTOS!$V33="",MACROMICROELEMENTOS!$W33="",MACROMICROELEMENTOS!$X33=""),"",AVERAGE(MACROMICROELEMENTOS!$U33,MACROMICROELEMENTOS!$V33,MACROMICROELEMENTOS!$W33,MACROMICROELEMENTOS!$X33))</f>
        <v/>
      </c>
      <c r="BJ33" s="23">
        <v>1</v>
      </c>
      <c r="BK33" s="31" t="str">
        <f>IF(OR(MACROMICROELEMENTOS!$A33="",MACROMICROELEMENTOS!$B33="",MACROMICROELEMENTOS!$C33="",MACROMICROELEMENTOS!$D33="",MACROMICROELEMENTOS!$E33="",MACROMICROELEMENTOS!$F33="",MACROMICROELEMENTOS!$BI33="",MACROMICROELEMENTOS!$BJ33=""),"",((MACROMICROELEMENTOS!$F33-MACROMICROELEMENTOS!$BI33)*MACROMICROELEMENTOS!$BJ33*MACROMICROELEMENTOS!$D33*(1/MACROMICROELEMENTOS!$C33)*MACROMICROELEMENTOS!$E33))</f>
        <v/>
      </c>
      <c r="BL33" s="17" t="str">
        <f>IF(AND(MACROMICROELEMENTOS!$Y33="",MACROMICROELEMENTOS!$Z33="",MACROMICROELEMENTOS!$AA33="",MACROMICROELEMENTOS!$AB33=""),"",AVERAGE(MACROMICROELEMENTOS!$Y33,MACROMICROELEMENTOS!$Z33,MACROMICROELEMENTOS!$AA33,MACROMICROELEMENTOS!$AB33))</f>
        <v/>
      </c>
      <c r="BM33" s="23">
        <v>1</v>
      </c>
      <c r="BN33" s="31" t="str">
        <f>IF(OR(MACROMICROELEMENTOS!$A33="",MACROMICROELEMENTOS!$B33="",MACROMICROELEMENTOS!$C33="",MACROMICROELEMENTOS!$D33="",MACROMICROELEMENTOS!$E33="",MACROMICROELEMENTOS!$G33="",MACROMICROELEMENTOS!$BL33="",MACROMICROELEMENTOS!$BM33=""),"",((MACROMICROELEMENTOS!$G33-MACROMICROELEMENTOS!$BL33)*MACROMICROELEMENTOS!$BM33*MACROMICROELEMENTOS!$D33*(1/MACROMICROELEMENTOS!$C33)*MACROMICROELEMENTOS!$E33/1000))</f>
        <v/>
      </c>
      <c r="BO33" s="17" t="str">
        <f>IF(AND(MACROMICROELEMENTOS!$AC33="",MACROMICROELEMENTOS!$AD33="",MACROMICROELEMENTOS!$AE33="",MACROMICROELEMENTOS!$AF33=""),"",AVERAGE(MACROMICROELEMENTOS!$AC33,MACROMICROELEMENTOS!$AD33,MACROMICROELEMENTOS!$AE33,MACROMICROELEMENTOS!$AF33))</f>
        <v/>
      </c>
      <c r="BP33" s="23">
        <v>1</v>
      </c>
      <c r="BQ33" s="31" t="str">
        <f>IF(OR(MACROMICROELEMENTOS!$A33="",MACROMICROELEMENTOS!$B33="",MACROMICROELEMENTOS!$C33="",MACROMICROELEMENTOS!$D33="",MACROMICROELEMENTOS!$E33="",MACROMICROELEMENTOS!$H33="",MACROMICROELEMENTOS!$BO33="",MACROMICROELEMENTOS!$BP33=""),"",((MACROMICROELEMENTOS!$H33-MACROMICROELEMENTOS!$BO33)*MACROMICROELEMENTOS!$BP33*MACROMICROELEMENTOS!$D33*(1/MACROMICROELEMENTOS!$C33)*MACROMICROELEMENTOS!$E33))</f>
        <v/>
      </c>
      <c r="BR33" s="17" t="str">
        <f>IF(AND(MACROMICROELEMENTOS!$Q33="",MACROMICROELEMENTOS!$R33="",MACROMICROELEMENTOS!$S33="",MACROMICROELEMENTOS!$T33=""),"",AVERAGE(MACROMICROELEMENTOS!$Q33,MACROMICROELEMENTOS!$R33,MACROMICROELEMENTOS!$S33,MACROMICROELEMENTOS!$T33))</f>
        <v/>
      </c>
      <c r="BS33" s="23">
        <v>1</v>
      </c>
      <c r="BT33" s="31" t="str">
        <f>IF(OR(MACROMICROELEMENTOS!$A33="",MACROMICROELEMENTOS!$B33="",MACROMICROELEMENTOS!$C33="",MACROMICROELEMENTOS!$D33="",MACROMICROELEMENTOS!$E33="",MACROMICROELEMENTOS!$I33="",MACROMICROELEMENTOS!$BR33="",MACROMICROELEMENTOS!$BS33=""),"",((MACROMICROELEMENTOS!$I33-MACROMICROELEMENTOS!$BR33)*MACROMICROELEMENTOS!$BS33*MACROMICROELEMENTOS!$D33*(1/MACROMICROELEMENTOS!$C33)*MACROMICROELEMENTOS!$E33))</f>
        <v/>
      </c>
      <c r="BU33" s="17" t="str">
        <f>IF(AND(MACROMICROELEMENTOS!$AG33="",MACROMICROELEMENTOS!$AH33="",MACROMICROELEMENTOS!$AI33="",MACROMICROELEMENTOS!$AJ33=""),"",AVERAGE(MACROMICROELEMENTOS!$AG33,MACROMICROELEMENTOS!$AH33,MACROMICROELEMENTOS!$AI33,MACROMICROELEMENTOS!$AJ33))</f>
        <v/>
      </c>
      <c r="BV33" s="23">
        <v>1</v>
      </c>
      <c r="BW33" s="31" t="str">
        <f>IF(OR(MACROMICROELEMENTOS!$A33="",MACROMICROELEMENTOS!$B33="",MACROMICROELEMENTOS!$C33="",MACROMICROELEMENTOS!$D33="",MACROMICROELEMENTOS!$E33="",MACROMICROELEMENTOS!$J33="",MACROMICROELEMENTOS!$BU33="",MACROMICROELEMENTOS!$BV33=""),"",((MACROMICROELEMENTOS!$J33-MACROMICROELEMENTOS!$BU33)*MACROMICROELEMENTOS!$BV33*MACROMICROELEMENTOS!$D33*(1/MACROMICROELEMENTOS!$C33)*MACROMICROELEMENTOS!$E33))</f>
        <v/>
      </c>
      <c r="BX33" s="17" t="str">
        <f>IF(AND(MACROMICROELEMENTOS!$AK33="",MACROMICROELEMENTOS!$AL33="",MACROMICROELEMENTOS!$AM33="",MACROMICROELEMENTOS!$AN33=""),"",AVERAGE(MACROMICROELEMENTOS!$AK33,MACROMICROELEMENTOS!$AL33,MACROMICROELEMENTOS!$AM33,MACROMICROELEMENTOS!$AN33))</f>
        <v/>
      </c>
      <c r="BY33" s="23">
        <v>1</v>
      </c>
      <c r="BZ33" s="31" t="str">
        <f>IF(OR(MACROMICROELEMENTOS!$A33="",MACROMICROELEMENTOS!$B33="",MACROMICROELEMENTOS!$C33="",MACROMICROELEMENTOS!$D33="",MACROMICROELEMENTOS!$E33="",MACROMICROELEMENTOS!$K33="",MACROMICROELEMENTOS!$BX33="",MACROMICROELEMENTOS!$BY33=""),"",((MACROMICROELEMENTOS!$K33-MACROMICROELEMENTOS!$BX33)*MACROMICROELEMENTOS!$BY33*MACROMICROELEMENTOS!$D33*(1/MACROMICROELEMENTOS!$C33)*MACROMICROELEMENTOS!$E33))</f>
        <v/>
      </c>
      <c r="CA33" s="17" t="str">
        <f>IF(AND(MACROMICROELEMENTOS!$AO33="",MACROMICROELEMENTOS!$AP33="",MACROMICROELEMENTOS!$AQ33="",MACROMICROELEMENTOS!$AR33=""),"",AVERAGE(MACROMICROELEMENTOS!$AO33,MACROMICROELEMENTOS!$AP33,MACROMICROELEMENTOS!$AQ33,MACROMICROELEMENTOS!$AR33))</f>
        <v/>
      </c>
      <c r="CB33" s="23">
        <v>1</v>
      </c>
      <c r="CC33" s="31" t="str">
        <f>IF(OR(MACROMICROELEMENTOS!$A33="",MACROMICROELEMENTOS!$B33="",MACROMICROELEMENTOS!$C33="",MACROMICROELEMENTOS!$D33="",MACROMICROELEMENTOS!$E33="",MACROMICROELEMENTOS!$L33="",MACROMICROELEMENTOS!$CA33="",MACROMICROELEMENTOS!$CB33=""),"",((MACROMICROELEMENTOS!$L33-MACROMICROELEMENTOS!$CA33)*MACROMICROELEMENTOS!$CB33*MACROMICROELEMENTOS!$D33*(1/MACROMICROELEMENTOS!$C33)*MACROMICROELEMENTOS!$E33))</f>
        <v/>
      </c>
      <c r="CD33" s="17" t="str">
        <f>IF(AND(MACROMICROELEMENTOS!$AS33="",MACROMICROELEMENTOS!$AT33="",MACROMICROELEMENTOS!$AU33="",MACROMICROELEMENTOS!$AV33=""),"",AVERAGE(MACROMICROELEMENTOS!$AS33,MACROMICROELEMENTOS!$AT33,MACROMICROELEMENTOS!$AU33,MACROMICROELEMENTOS!$AV33))</f>
        <v/>
      </c>
      <c r="CE33" s="23">
        <v>1</v>
      </c>
      <c r="CF33" s="31" t="str">
        <f>IF(OR(MACROMICROELEMENTOS!$A33="",MACROMICROELEMENTOS!$B33="",MACROMICROELEMENTOS!$C33="",MACROMICROELEMENTOS!$D33="",MACROMICROELEMENTOS!$E33="",MACROMICROELEMENTOS!$M33="",MACROMICROELEMENTOS!$CD33="",MACROMICROELEMENTOS!$CE33=""),"",((MACROMICROELEMENTOS!$M33-MACROMICROELEMENTOS!$CD33)*MACROMICROELEMENTOS!$CE33*MACROMICROELEMENTOS!$D33*(1/MACROMICROELEMENTOS!$C33)*MACROMICROELEMENTOS!$E33))</f>
        <v/>
      </c>
      <c r="CG33" s="17" t="str">
        <f>IF(AND(MACROMICROELEMENTOS!$AW33="",MACROMICROELEMENTOS!$AX33="",MACROMICROELEMENTOS!$AY33="",MACROMICROELEMENTOS!$AZ33=""),"",AVERAGE(MACROMICROELEMENTOS!$AW33,MACROMICROELEMENTOS!$AX33,MACROMICROELEMENTOS!$AY33,MACROMICROELEMENTOS!$AZ33))</f>
        <v/>
      </c>
      <c r="CH33" s="23">
        <v>1</v>
      </c>
      <c r="CI33" s="31" t="str">
        <f>IF(OR(MACROMICROELEMENTOS!$A33="",MACROMICROELEMENTOS!$B33="",MACROMICROELEMENTOS!$C33="",MACROMICROELEMENTOS!$D33="",MACROMICROELEMENTOS!$E33="",MACROMICROELEMENTOS!$N33="",MACROMICROELEMENTOS!$CG33="",MACROMICROELEMENTOS!$CH33=""),"",((MACROMICROELEMENTOS!$N33-MACROMICROELEMENTOS!$CG33)*MACROMICROELEMENTOS!$CH33*MACROMICROELEMENTOS!$D33*(1/MACROMICROELEMENTOS!$C33)*MACROMICROELEMENTOS!$E33))</f>
        <v/>
      </c>
      <c r="CJ33" s="17" t="str">
        <f>IF(AND(MACROMICROELEMENTOS!$BA33="",MACROMICROELEMENTOS!$BB33="",MACROMICROELEMENTOS!$BC33="",MACROMICROELEMENTOS!$BD33=""),"",IF(O33&gt;2,0,AVERAGE(MACROMICROELEMENTOS!$BA33,MACROMICROELEMENTOS!$BB33,MACROMICROELEMENTOS!$BC33,MACROMICROELEMENTOS!$BD33)))</f>
        <v/>
      </c>
      <c r="CK33" s="23">
        <v>1</v>
      </c>
      <c r="CL33" s="31" t="str">
        <f>IF(OR(MACROMICROELEMENTOS!$A33="",MACROMICROELEMENTOS!$B33="",MACROMICROELEMENTOS!$C33="",MACROMICROELEMENTOS!$D33="",MACROMICROELEMENTOS!$E33="",MACROMICROELEMENTOS!$O33="",MACROMICROELEMENTOS!$CJ33="",MACROMICROELEMENTOS!$CK33=""),"",((MACROMICROELEMENTOS!$O33-MACROMICROELEMENTOS!$CJ33)*MACROMICROELEMENTOS!$CK33*MACROMICROELEMENTOS!$D33*(1/MACROMICROELEMENTOS!$C33)*MACROMICROELEMENTOS!$E33))</f>
        <v/>
      </c>
      <c r="CM33" s="17" t="str">
        <f>IF(AND(MACROMICROELEMENTOS!$BE33="",MACROMICROELEMENTOS!$BF33="",MACROMICROELEMENTOS!$BG33="",MACROMICROELEMENTOS!$BH33=""),"",AVERAGE(MACROMICROELEMENTOS!$BE33,MACROMICROELEMENTOS!$BF33,MACROMICROELEMENTOS!$BG33,MACROMICROELEMENTOS!$BH33))</f>
        <v/>
      </c>
      <c r="CN33" s="23">
        <v>1</v>
      </c>
      <c r="CO33" s="31" t="str">
        <f>IF(OR(MACROMICROELEMENTOS!$A33="",MACROMICROELEMENTOS!$B33="",MACROMICROELEMENTOS!$C33="",MACROMICROELEMENTOS!$D33="",MACROMICROELEMENTOS!$E33="",MACROMICROELEMENTOS!$P33="",MACROMICROELEMENTOS!$CM33="",MACROMICROELEMENTOS!$CN33=""),"",((MACROMICROELEMENTOS!$P33-MACROMICROELEMENTOS!$CM33)*MACROMICROELEMENTOS!$CN33*MACROMICROELEMENTOS!$D33*(1/MACROMICROELEMENTOS!$C33)*MACROMICROELEMENTOS!$E33))</f>
        <v/>
      </c>
    </row>
    <row r="34" spans="1:93" x14ac:dyDescent="0.3">
      <c r="A34" s="19" t="str">
        <f>IF(Pesada!A34="","",Pesada!A34)</f>
        <v/>
      </c>
      <c r="B34" s="16" t="str">
        <f>IF(Pesada!B34="","",Pesada!B34)</f>
        <v/>
      </c>
      <c r="C34" s="20" t="str">
        <f>IF(Pesada!C34="","",VALUE(Pesada!C34))</f>
        <v/>
      </c>
      <c r="D34" s="23">
        <v>100</v>
      </c>
      <c r="E34" s="30" t="str">
        <f>IF(METALESPESADOS!E34="","",METALESPESADOS!E34)</f>
        <v/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17" t="str">
        <f>IF(AND(MACROMICROELEMENTOS!$U34="",MACROMICROELEMENTOS!$V34="",MACROMICROELEMENTOS!$W34="",MACROMICROELEMENTOS!$X34=""),"",AVERAGE(MACROMICROELEMENTOS!$U34,MACROMICROELEMENTOS!$V34,MACROMICROELEMENTOS!$W34,MACROMICROELEMENTOS!$X34))</f>
        <v/>
      </c>
      <c r="BJ34" s="23">
        <v>1</v>
      </c>
      <c r="BK34" s="31" t="str">
        <f>IF(OR(MACROMICROELEMENTOS!$A34="",MACROMICROELEMENTOS!$B34="",MACROMICROELEMENTOS!$C34="",MACROMICROELEMENTOS!$D34="",MACROMICROELEMENTOS!$E34="",MACROMICROELEMENTOS!$F34="",MACROMICROELEMENTOS!$BI34="",MACROMICROELEMENTOS!$BJ34=""),"",((MACROMICROELEMENTOS!$F34-MACROMICROELEMENTOS!$BI34)*MACROMICROELEMENTOS!$BJ34*MACROMICROELEMENTOS!$D34*(1/MACROMICROELEMENTOS!$C34)*MACROMICROELEMENTOS!$E34))</f>
        <v/>
      </c>
      <c r="BL34" s="17" t="str">
        <f>IF(AND(MACROMICROELEMENTOS!$Y34="",MACROMICROELEMENTOS!$Z34="",MACROMICROELEMENTOS!$AA34="",MACROMICROELEMENTOS!$AB34=""),"",AVERAGE(MACROMICROELEMENTOS!$Y34,MACROMICROELEMENTOS!$Z34,MACROMICROELEMENTOS!$AA34,MACROMICROELEMENTOS!$AB34))</f>
        <v/>
      </c>
      <c r="BM34" s="23">
        <v>1</v>
      </c>
      <c r="BN34" s="31" t="str">
        <f>IF(OR(MACROMICROELEMENTOS!$A34="",MACROMICROELEMENTOS!$B34="",MACROMICROELEMENTOS!$C34="",MACROMICROELEMENTOS!$D34="",MACROMICROELEMENTOS!$E34="",MACROMICROELEMENTOS!$G34="",MACROMICROELEMENTOS!$BL34="",MACROMICROELEMENTOS!$BM34=""),"",((MACROMICROELEMENTOS!$G34-MACROMICROELEMENTOS!$BL34)*MACROMICROELEMENTOS!$BM34*MACROMICROELEMENTOS!$D34*(1/MACROMICROELEMENTOS!$C34)*MACROMICROELEMENTOS!$E34/1000))</f>
        <v/>
      </c>
      <c r="BO34" s="17" t="str">
        <f>IF(AND(MACROMICROELEMENTOS!$AC34="",MACROMICROELEMENTOS!$AD34="",MACROMICROELEMENTOS!$AE34="",MACROMICROELEMENTOS!$AF34=""),"",AVERAGE(MACROMICROELEMENTOS!$AC34,MACROMICROELEMENTOS!$AD34,MACROMICROELEMENTOS!$AE34,MACROMICROELEMENTOS!$AF34))</f>
        <v/>
      </c>
      <c r="BP34" s="23">
        <v>1</v>
      </c>
      <c r="BQ34" s="31" t="str">
        <f>IF(OR(MACROMICROELEMENTOS!$A34="",MACROMICROELEMENTOS!$B34="",MACROMICROELEMENTOS!$C34="",MACROMICROELEMENTOS!$D34="",MACROMICROELEMENTOS!$E34="",MACROMICROELEMENTOS!$H34="",MACROMICROELEMENTOS!$BO34="",MACROMICROELEMENTOS!$BP34=""),"",((MACROMICROELEMENTOS!$H34-MACROMICROELEMENTOS!$BO34)*MACROMICROELEMENTOS!$BP34*MACROMICROELEMENTOS!$D34*(1/MACROMICROELEMENTOS!$C34)*MACROMICROELEMENTOS!$E34))</f>
        <v/>
      </c>
      <c r="BR34" s="17" t="str">
        <f>IF(AND(MACROMICROELEMENTOS!$Q34="",MACROMICROELEMENTOS!$R34="",MACROMICROELEMENTOS!$S34="",MACROMICROELEMENTOS!$T34=""),"",AVERAGE(MACROMICROELEMENTOS!$Q34,MACROMICROELEMENTOS!$R34,MACROMICROELEMENTOS!$S34,MACROMICROELEMENTOS!$T34))</f>
        <v/>
      </c>
      <c r="BS34" s="23">
        <v>1</v>
      </c>
      <c r="BT34" s="31" t="str">
        <f>IF(OR(MACROMICROELEMENTOS!$A34="",MACROMICROELEMENTOS!$B34="",MACROMICROELEMENTOS!$C34="",MACROMICROELEMENTOS!$D34="",MACROMICROELEMENTOS!$E34="",MACROMICROELEMENTOS!$I34="",MACROMICROELEMENTOS!$BR34="",MACROMICROELEMENTOS!$BS34=""),"",((MACROMICROELEMENTOS!$I34-MACROMICROELEMENTOS!$BR34)*MACROMICROELEMENTOS!$BS34*MACROMICROELEMENTOS!$D34*(1/MACROMICROELEMENTOS!$C34)*MACROMICROELEMENTOS!$E34))</f>
        <v/>
      </c>
      <c r="BU34" s="17" t="str">
        <f>IF(AND(MACROMICROELEMENTOS!$AG34="",MACROMICROELEMENTOS!$AH34="",MACROMICROELEMENTOS!$AI34="",MACROMICROELEMENTOS!$AJ34=""),"",AVERAGE(MACROMICROELEMENTOS!$AG34,MACROMICROELEMENTOS!$AH34,MACROMICROELEMENTOS!$AI34,MACROMICROELEMENTOS!$AJ34))</f>
        <v/>
      </c>
      <c r="BV34" s="23">
        <v>1</v>
      </c>
      <c r="BW34" s="31" t="str">
        <f>IF(OR(MACROMICROELEMENTOS!$A34="",MACROMICROELEMENTOS!$B34="",MACROMICROELEMENTOS!$C34="",MACROMICROELEMENTOS!$D34="",MACROMICROELEMENTOS!$E34="",MACROMICROELEMENTOS!$J34="",MACROMICROELEMENTOS!$BU34="",MACROMICROELEMENTOS!$BV34=""),"",((MACROMICROELEMENTOS!$J34-MACROMICROELEMENTOS!$BU34)*MACROMICROELEMENTOS!$BV34*MACROMICROELEMENTOS!$D34*(1/MACROMICROELEMENTOS!$C34)*MACROMICROELEMENTOS!$E34))</f>
        <v/>
      </c>
      <c r="BX34" s="17" t="str">
        <f>IF(AND(MACROMICROELEMENTOS!$AK34="",MACROMICROELEMENTOS!$AL34="",MACROMICROELEMENTOS!$AM34="",MACROMICROELEMENTOS!$AN34=""),"",AVERAGE(MACROMICROELEMENTOS!$AK34,MACROMICROELEMENTOS!$AL34,MACROMICROELEMENTOS!$AM34,MACROMICROELEMENTOS!$AN34))</f>
        <v/>
      </c>
      <c r="BY34" s="23">
        <v>1</v>
      </c>
      <c r="BZ34" s="31" t="str">
        <f>IF(OR(MACROMICROELEMENTOS!$A34="",MACROMICROELEMENTOS!$B34="",MACROMICROELEMENTOS!$C34="",MACROMICROELEMENTOS!$D34="",MACROMICROELEMENTOS!$E34="",MACROMICROELEMENTOS!$K34="",MACROMICROELEMENTOS!$BX34="",MACROMICROELEMENTOS!$BY34=""),"",((MACROMICROELEMENTOS!$K34-MACROMICROELEMENTOS!$BX34)*MACROMICROELEMENTOS!$BY34*MACROMICROELEMENTOS!$D34*(1/MACROMICROELEMENTOS!$C34)*MACROMICROELEMENTOS!$E34))</f>
        <v/>
      </c>
      <c r="CA34" s="17" t="str">
        <f>IF(AND(MACROMICROELEMENTOS!$AO34="",MACROMICROELEMENTOS!$AP34="",MACROMICROELEMENTOS!$AQ34="",MACROMICROELEMENTOS!$AR34=""),"",AVERAGE(MACROMICROELEMENTOS!$AO34,MACROMICROELEMENTOS!$AP34,MACROMICROELEMENTOS!$AQ34,MACROMICROELEMENTOS!$AR34))</f>
        <v/>
      </c>
      <c r="CB34" s="23">
        <v>1</v>
      </c>
      <c r="CC34" s="31" t="str">
        <f>IF(OR(MACROMICROELEMENTOS!$A34="",MACROMICROELEMENTOS!$B34="",MACROMICROELEMENTOS!$C34="",MACROMICROELEMENTOS!$D34="",MACROMICROELEMENTOS!$E34="",MACROMICROELEMENTOS!$L34="",MACROMICROELEMENTOS!$CA34="",MACROMICROELEMENTOS!$CB34=""),"",((MACROMICROELEMENTOS!$L34-MACROMICROELEMENTOS!$CA34)*MACROMICROELEMENTOS!$CB34*MACROMICROELEMENTOS!$D34*(1/MACROMICROELEMENTOS!$C34)*MACROMICROELEMENTOS!$E34))</f>
        <v/>
      </c>
      <c r="CD34" s="17" t="str">
        <f>IF(AND(MACROMICROELEMENTOS!$AS34="",MACROMICROELEMENTOS!$AT34="",MACROMICROELEMENTOS!$AU34="",MACROMICROELEMENTOS!$AV34=""),"",AVERAGE(MACROMICROELEMENTOS!$AS34,MACROMICROELEMENTOS!$AT34,MACROMICROELEMENTOS!$AU34,MACROMICROELEMENTOS!$AV34))</f>
        <v/>
      </c>
      <c r="CE34" s="23">
        <v>1</v>
      </c>
      <c r="CF34" s="31" t="str">
        <f>IF(OR(MACROMICROELEMENTOS!$A34="",MACROMICROELEMENTOS!$B34="",MACROMICROELEMENTOS!$C34="",MACROMICROELEMENTOS!$D34="",MACROMICROELEMENTOS!$E34="",MACROMICROELEMENTOS!$M34="",MACROMICROELEMENTOS!$CD34="",MACROMICROELEMENTOS!$CE34=""),"",((MACROMICROELEMENTOS!$M34-MACROMICROELEMENTOS!$CD34)*MACROMICROELEMENTOS!$CE34*MACROMICROELEMENTOS!$D34*(1/MACROMICROELEMENTOS!$C34)*MACROMICROELEMENTOS!$E34))</f>
        <v/>
      </c>
      <c r="CG34" s="17" t="str">
        <f>IF(AND(MACROMICROELEMENTOS!$AW34="",MACROMICROELEMENTOS!$AX34="",MACROMICROELEMENTOS!$AY34="",MACROMICROELEMENTOS!$AZ34=""),"",AVERAGE(MACROMICROELEMENTOS!$AW34,MACROMICROELEMENTOS!$AX34,MACROMICROELEMENTOS!$AY34,MACROMICROELEMENTOS!$AZ34))</f>
        <v/>
      </c>
      <c r="CH34" s="23">
        <v>1</v>
      </c>
      <c r="CI34" s="31" t="str">
        <f>IF(OR(MACROMICROELEMENTOS!$A34="",MACROMICROELEMENTOS!$B34="",MACROMICROELEMENTOS!$C34="",MACROMICROELEMENTOS!$D34="",MACROMICROELEMENTOS!$E34="",MACROMICROELEMENTOS!$N34="",MACROMICROELEMENTOS!$CG34="",MACROMICROELEMENTOS!$CH34=""),"",((MACROMICROELEMENTOS!$N34-MACROMICROELEMENTOS!$CG34)*MACROMICROELEMENTOS!$CH34*MACROMICROELEMENTOS!$D34*(1/MACROMICROELEMENTOS!$C34)*MACROMICROELEMENTOS!$E34))</f>
        <v/>
      </c>
      <c r="CJ34" s="17" t="str">
        <f>IF(AND(MACROMICROELEMENTOS!$BA34="",MACROMICROELEMENTOS!$BB34="",MACROMICROELEMENTOS!$BC34="",MACROMICROELEMENTOS!$BD34=""),"",IF(O34&gt;2,0,AVERAGE(MACROMICROELEMENTOS!$BA34,MACROMICROELEMENTOS!$BB34,MACROMICROELEMENTOS!$BC34,MACROMICROELEMENTOS!$BD34)))</f>
        <v/>
      </c>
      <c r="CK34" s="23">
        <v>1</v>
      </c>
      <c r="CL34" s="31" t="str">
        <f>IF(OR(MACROMICROELEMENTOS!$A34="",MACROMICROELEMENTOS!$B34="",MACROMICROELEMENTOS!$C34="",MACROMICROELEMENTOS!$D34="",MACROMICROELEMENTOS!$E34="",MACROMICROELEMENTOS!$O34="",MACROMICROELEMENTOS!$CJ34="",MACROMICROELEMENTOS!$CK34=""),"",((MACROMICROELEMENTOS!$O34-MACROMICROELEMENTOS!$CJ34)*MACROMICROELEMENTOS!$CK34*MACROMICROELEMENTOS!$D34*(1/MACROMICROELEMENTOS!$C34)*MACROMICROELEMENTOS!$E34))</f>
        <v/>
      </c>
      <c r="CM34" s="17" t="str">
        <f>IF(AND(MACROMICROELEMENTOS!$BE34="",MACROMICROELEMENTOS!$BF34="",MACROMICROELEMENTOS!$BG34="",MACROMICROELEMENTOS!$BH34=""),"",AVERAGE(MACROMICROELEMENTOS!$BE34,MACROMICROELEMENTOS!$BF34,MACROMICROELEMENTOS!$BG34,MACROMICROELEMENTOS!$BH34))</f>
        <v/>
      </c>
      <c r="CN34" s="23">
        <v>1</v>
      </c>
      <c r="CO34" s="31" t="str">
        <f>IF(OR(MACROMICROELEMENTOS!$A34="",MACROMICROELEMENTOS!$B34="",MACROMICROELEMENTOS!$C34="",MACROMICROELEMENTOS!$D34="",MACROMICROELEMENTOS!$E34="",MACROMICROELEMENTOS!$P34="",MACROMICROELEMENTOS!$CM34="",MACROMICROELEMENTOS!$CN34=""),"",((MACROMICROELEMENTOS!$P34-MACROMICROELEMENTOS!$CM34)*MACROMICROELEMENTOS!$CN34*MACROMICROELEMENTOS!$D34*(1/MACROMICROELEMENTOS!$C34)*MACROMICROELEMENTOS!$E34))</f>
        <v/>
      </c>
    </row>
    <row r="35" spans="1:93" x14ac:dyDescent="0.3">
      <c r="A35" s="19" t="str">
        <f>IF(Pesada!A35="","",Pesada!A35)</f>
        <v/>
      </c>
      <c r="B35" s="16" t="str">
        <f>IF(Pesada!B35="","",Pesada!B35)</f>
        <v/>
      </c>
      <c r="C35" s="20" t="str">
        <f>IF(Pesada!C35="","",VALUE(Pesada!C35))</f>
        <v/>
      </c>
      <c r="D35" s="23">
        <v>100</v>
      </c>
      <c r="E35" s="30" t="str">
        <f>IF(METALESPESADOS!E35="","",METALESPESADOS!E35)</f>
        <v/>
      </c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17" t="str">
        <f>IF(AND(MACROMICROELEMENTOS!$U35="",MACROMICROELEMENTOS!$V35="",MACROMICROELEMENTOS!$W35="",MACROMICROELEMENTOS!$X35=""),"",AVERAGE(MACROMICROELEMENTOS!$U35,MACROMICROELEMENTOS!$V35,MACROMICROELEMENTOS!$W35,MACROMICROELEMENTOS!$X35))</f>
        <v/>
      </c>
      <c r="BJ35" s="23">
        <v>1</v>
      </c>
      <c r="BK35" s="31" t="str">
        <f>IF(OR(MACROMICROELEMENTOS!$A35="",MACROMICROELEMENTOS!$B35="",MACROMICROELEMENTOS!$C35="",MACROMICROELEMENTOS!$D35="",MACROMICROELEMENTOS!$E35="",MACROMICROELEMENTOS!$F35="",MACROMICROELEMENTOS!$BI35="",MACROMICROELEMENTOS!$BJ35=""),"",((MACROMICROELEMENTOS!$F35-MACROMICROELEMENTOS!$BI35)*MACROMICROELEMENTOS!$BJ35*MACROMICROELEMENTOS!$D35*(1/MACROMICROELEMENTOS!$C35)*MACROMICROELEMENTOS!$E35))</f>
        <v/>
      </c>
      <c r="BL35" s="17" t="str">
        <f>IF(AND(MACROMICROELEMENTOS!$Y35="",MACROMICROELEMENTOS!$Z35="",MACROMICROELEMENTOS!$AA35="",MACROMICROELEMENTOS!$AB35=""),"",AVERAGE(MACROMICROELEMENTOS!$Y35,MACROMICROELEMENTOS!$Z35,MACROMICROELEMENTOS!$AA35,MACROMICROELEMENTOS!$AB35))</f>
        <v/>
      </c>
      <c r="BM35" s="23">
        <v>1</v>
      </c>
      <c r="BN35" s="31" t="str">
        <f>IF(OR(MACROMICROELEMENTOS!$A35="",MACROMICROELEMENTOS!$B35="",MACROMICROELEMENTOS!$C35="",MACROMICROELEMENTOS!$D35="",MACROMICROELEMENTOS!$E35="",MACROMICROELEMENTOS!$G35="",MACROMICROELEMENTOS!$BL35="",MACROMICROELEMENTOS!$BM35=""),"",((MACROMICROELEMENTOS!$G35-MACROMICROELEMENTOS!$BL35)*MACROMICROELEMENTOS!$BM35*MACROMICROELEMENTOS!$D35*(1/MACROMICROELEMENTOS!$C35)*MACROMICROELEMENTOS!$E35/1000))</f>
        <v/>
      </c>
      <c r="BO35" s="17" t="str">
        <f>IF(AND(MACROMICROELEMENTOS!$AC35="",MACROMICROELEMENTOS!$AD35="",MACROMICROELEMENTOS!$AE35="",MACROMICROELEMENTOS!$AF35=""),"",AVERAGE(MACROMICROELEMENTOS!$AC35,MACROMICROELEMENTOS!$AD35,MACROMICROELEMENTOS!$AE35,MACROMICROELEMENTOS!$AF35))</f>
        <v/>
      </c>
      <c r="BP35" s="23">
        <v>1</v>
      </c>
      <c r="BQ35" s="31" t="str">
        <f>IF(OR(MACROMICROELEMENTOS!$A35="",MACROMICROELEMENTOS!$B35="",MACROMICROELEMENTOS!$C35="",MACROMICROELEMENTOS!$D35="",MACROMICROELEMENTOS!$E35="",MACROMICROELEMENTOS!$H35="",MACROMICROELEMENTOS!$BO35="",MACROMICROELEMENTOS!$BP35=""),"",((MACROMICROELEMENTOS!$H35-MACROMICROELEMENTOS!$BO35)*MACROMICROELEMENTOS!$BP35*MACROMICROELEMENTOS!$D35*(1/MACROMICROELEMENTOS!$C35)*MACROMICROELEMENTOS!$E35))</f>
        <v/>
      </c>
      <c r="BR35" s="17" t="str">
        <f>IF(AND(MACROMICROELEMENTOS!$Q35="",MACROMICROELEMENTOS!$R35="",MACROMICROELEMENTOS!$S35="",MACROMICROELEMENTOS!$T35=""),"",AVERAGE(MACROMICROELEMENTOS!$Q35,MACROMICROELEMENTOS!$R35,MACROMICROELEMENTOS!$S35,MACROMICROELEMENTOS!$T35))</f>
        <v/>
      </c>
      <c r="BS35" s="23">
        <v>1</v>
      </c>
      <c r="BT35" s="31" t="str">
        <f>IF(OR(MACROMICROELEMENTOS!$A35="",MACROMICROELEMENTOS!$B35="",MACROMICROELEMENTOS!$C35="",MACROMICROELEMENTOS!$D35="",MACROMICROELEMENTOS!$E35="",MACROMICROELEMENTOS!$I35="",MACROMICROELEMENTOS!$BR35="",MACROMICROELEMENTOS!$BS35=""),"",((MACROMICROELEMENTOS!$I35-MACROMICROELEMENTOS!$BR35)*MACROMICROELEMENTOS!$BS35*MACROMICROELEMENTOS!$D35*(1/MACROMICROELEMENTOS!$C35)*MACROMICROELEMENTOS!$E35))</f>
        <v/>
      </c>
      <c r="BU35" s="17" t="str">
        <f>IF(AND(MACROMICROELEMENTOS!$AG35="",MACROMICROELEMENTOS!$AH35="",MACROMICROELEMENTOS!$AI35="",MACROMICROELEMENTOS!$AJ35=""),"",AVERAGE(MACROMICROELEMENTOS!$AG35,MACROMICROELEMENTOS!$AH35,MACROMICROELEMENTOS!$AI35,MACROMICROELEMENTOS!$AJ35))</f>
        <v/>
      </c>
      <c r="BV35" s="23">
        <v>1</v>
      </c>
      <c r="BW35" s="31" t="str">
        <f>IF(OR(MACROMICROELEMENTOS!$A35="",MACROMICROELEMENTOS!$B35="",MACROMICROELEMENTOS!$C35="",MACROMICROELEMENTOS!$D35="",MACROMICROELEMENTOS!$E35="",MACROMICROELEMENTOS!$J35="",MACROMICROELEMENTOS!$BU35="",MACROMICROELEMENTOS!$BV35=""),"",((MACROMICROELEMENTOS!$J35-MACROMICROELEMENTOS!$BU35)*MACROMICROELEMENTOS!$BV35*MACROMICROELEMENTOS!$D35*(1/MACROMICROELEMENTOS!$C35)*MACROMICROELEMENTOS!$E35))</f>
        <v/>
      </c>
      <c r="BX35" s="17" t="str">
        <f>IF(AND(MACROMICROELEMENTOS!$AK35="",MACROMICROELEMENTOS!$AL35="",MACROMICROELEMENTOS!$AM35="",MACROMICROELEMENTOS!$AN35=""),"",AVERAGE(MACROMICROELEMENTOS!$AK35,MACROMICROELEMENTOS!$AL35,MACROMICROELEMENTOS!$AM35,MACROMICROELEMENTOS!$AN35))</f>
        <v/>
      </c>
      <c r="BY35" s="23">
        <v>1</v>
      </c>
      <c r="BZ35" s="31" t="str">
        <f>IF(OR(MACROMICROELEMENTOS!$A35="",MACROMICROELEMENTOS!$B35="",MACROMICROELEMENTOS!$C35="",MACROMICROELEMENTOS!$D35="",MACROMICROELEMENTOS!$E35="",MACROMICROELEMENTOS!$K35="",MACROMICROELEMENTOS!$BX35="",MACROMICROELEMENTOS!$BY35=""),"",((MACROMICROELEMENTOS!$K35-MACROMICROELEMENTOS!$BX35)*MACROMICROELEMENTOS!$BY35*MACROMICROELEMENTOS!$D35*(1/MACROMICROELEMENTOS!$C35)*MACROMICROELEMENTOS!$E35))</f>
        <v/>
      </c>
      <c r="CA35" s="17" t="str">
        <f>IF(AND(MACROMICROELEMENTOS!$AO35="",MACROMICROELEMENTOS!$AP35="",MACROMICROELEMENTOS!$AQ35="",MACROMICROELEMENTOS!$AR35=""),"",AVERAGE(MACROMICROELEMENTOS!$AO35,MACROMICROELEMENTOS!$AP35,MACROMICROELEMENTOS!$AQ35,MACROMICROELEMENTOS!$AR35))</f>
        <v/>
      </c>
      <c r="CB35" s="23">
        <v>1</v>
      </c>
      <c r="CC35" s="31" t="str">
        <f>IF(OR(MACROMICROELEMENTOS!$A35="",MACROMICROELEMENTOS!$B35="",MACROMICROELEMENTOS!$C35="",MACROMICROELEMENTOS!$D35="",MACROMICROELEMENTOS!$E35="",MACROMICROELEMENTOS!$L35="",MACROMICROELEMENTOS!$CA35="",MACROMICROELEMENTOS!$CB35=""),"",((MACROMICROELEMENTOS!$L35-MACROMICROELEMENTOS!$CA35)*MACROMICROELEMENTOS!$CB35*MACROMICROELEMENTOS!$D35*(1/MACROMICROELEMENTOS!$C35)*MACROMICROELEMENTOS!$E35))</f>
        <v/>
      </c>
      <c r="CD35" s="17" t="str">
        <f>IF(AND(MACROMICROELEMENTOS!$AS35="",MACROMICROELEMENTOS!$AT35="",MACROMICROELEMENTOS!$AU35="",MACROMICROELEMENTOS!$AV35=""),"",AVERAGE(MACROMICROELEMENTOS!$AS35,MACROMICROELEMENTOS!$AT35,MACROMICROELEMENTOS!$AU35,MACROMICROELEMENTOS!$AV35))</f>
        <v/>
      </c>
      <c r="CE35" s="23">
        <v>1</v>
      </c>
      <c r="CF35" s="31" t="str">
        <f>IF(OR(MACROMICROELEMENTOS!$A35="",MACROMICROELEMENTOS!$B35="",MACROMICROELEMENTOS!$C35="",MACROMICROELEMENTOS!$D35="",MACROMICROELEMENTOS!$E35="",MACROMICROELEMENTOS!$M35="",MACROMICROELEMENTOS!$CD35="",MACROMICROELEMENTOS!$CE35=""),"",((MACROMICROELEMENTOS!$M35-MACROMICROELEMENTOS!$CD35)*MACROMICROELEMENTOS!$CE35*MACROMICROELEMENTOS!$D35*(1/MACROMICROELEMENTOS!$C35)*MACROMICROELEMENTOS!$E35))</f>
        <v/>
      </c>
      <c r="CG35" s="17" t="str">
        <f>IF(AND(MACROMICROELEMENTOS!$AW35="",MACROMICROELEMENTOS!$AX35="",MACROMICROELEMENTOS!$AY35="",MACROMICROELEMENTOS!$AZ35=""),"",AVERAGE(MACROMICROELEMENTOS!$AW35,MACROMICROELEMENTOS!$AX35,MACROMICROELEMENTOS!$AY35,MACROMICROELEMENTOS!$AZ35))</f>
        <v/>
      </c>
      <c r="CH35" s="23">
        <v>1</v>
      </c>
      <c r="CI35" s="31" t="str">
        <f>IF(OR(MACROMICROELEMENTOS!$A35="",MACROMICROELEMENTOS!$B35="",MACROMICROELEMENTOS!$C35="",MACROMICROELEMENTOS!$D35="",MACROMICROELEMENTOS!$E35="",MACROMICROELEMENTOS!$N35="",MACROMICROELEMENTOS!$CG35="",MACROMICROELEMENTOS!$CH35=""),"",((MACROMICROELEMENTOS!$N35-MACROMICROELEMENTOS!$CG35)*MACROMICROELEMENTOS!$CH35*MACROMICROELEMENTOS!$D35*(1/MACROMICROELEMENTOS!$C35)*MACROMICROELEMENTOS!$E35))</f>
        <v/>
      </c>
      <c r="CJ35" s="17" t="str">
        <f>IF(AND(MACROMICROELEMENTOS!$BA35="",MACROMICROELEMENTOS!$BB35="",MACROMICROELEMENTOS!$BC35="",MACROMICROELEMENTOS!$BD35=""),"",IF(O35&gt;2,0,AVERAGE(MACROMICROELEMENTOS!$BA35,MACROMICROELEMENTOS!$BB35,MACROMICROELEMENTOS!$BC35,MACROMICROELEMENTOS!$BD35)))</f>
        <v/>
      </c>
      <c r="CK35" s="23">
        <v>1</v>
      </c>
      <c r="CL35" s="31" t="str">
        <f>IF(OR(MACROMICROELEMENTOS!$A35="",MACROMICROELEMENTOS!$B35="",MACROMICROELEMENTOS!$C35="",MACROMICROELEMENTOS!$D35="",MACROMICROELEMENTOS!$E35="",MACROMICROELEMENTOS!$O35="",MACROMICROELEMENTOS!$CJ35="",MACROMICROELEMENTOS!$CK35=""),"",((MACROMICROELEMENTOS!$O35-MACROMICROELEMENTOS!$CJ35)*MACROMICROELEMENTOS!$CK35*MACROMICROELEMENTOS!$D35*(1/MACROMICROELEMENTOS!$C35)*MACROMICROELEMENTOS!$E35))</f>
        <v/>
      </c>
      <c r="CM35" s="17" t="str">
        <f>IF(AND(MACROMICROELEMENTOS!$BE35="",MACROMICROELEMENTOS!$BF35="",MACROMICROELEMENTOS!$BG35="",MACROMICROELEMENTOS!$BH35=""),"",AVERAGE(MACROMICROELEMENTOS!$BE35,MACROMICROELEMENTOS!$BF35,MACROMICROELEMENTOS!$BG35,MACROMICROELEMENTOS!$BH35))</f>
        <v/>
      </c>
      <c r="CN35" s="23">
        <v>1</v>
      </c>
      <c r="CO35" s="31" t="str">
        <f>IF(OR(MACROMICROELEMENTOS!$A35="",MACROMICROELEMENTOS!$B35="",MACROMICROELEMENTOS!$C35="",MACROMICROELEMENTOS!$D35="",MACROMICROELEMENTOS!$E35="",MACROMICROELEMENTOS!$P35="",MACROMICROELEMENTOS!$CM35="",MACROMICROELEMENTOS!$CN35=""),"",((MACROMICROELEMENTOS!$P35-MACROMICROELEMENTOS!$CM35)*MACROMICROELEMENTOS!$CN35*MACROMICROELEMENTOS!$D35*(1/MACROMICROELEMENTOS!$C35)*MACROMICROELEMENTOS!$E35))</f>
        <v/>
      </c>
    </row>
    <row r="36" spans="1:93" x14ac:dyDescent="0.3">
      <c r="A36" s="19" t="str">
        <f>IF(Pesada!A36="","",Pesada!A36)</f>
        <v/>
      </c>
      <c r="B36" s="16" t="str">
        <f>IF(Pesada!B36="","",Pesada!B36)</f>
        <v/>
      </c>
      <c r="C36" s="20" t="str">
        <f>IF(Pesada!C36="","",VALUE(Pesada!C36))</f>
        <v/>
      </c>
      <c r="D36" s="23">
        <v>100</v>
      </c>
      <c r="E36" s="30" t="str">
        <f>IF(METALESPESADOS!E36="","",METALESPESADOS!E36)</f>
        <v/>
      </c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4"/>
      <c r="BB36" s="24"/>
      <c r="BC36" s="24"/>
      <c r="BD36" s="24"/>
      <c r="BE36" s="24"/>
      <c r="BF36" s="24"/>
      <c r="BG36" s="24"/>
      <c r="BH36" s="24"/>
      <c r="BI36" s="17" t="str">
        <f>IF(AND(MACROMICROELEMENTOS!$U36="",MACROMICROELEMENTOS!$V36="",MACROMICROELEMENTOS!$W36="",MACROMICROELEMENTOS!$X36=""),"",AVERAGE(MACROMICROELEMENTOS!$U36,MACROMICROELEMENTOS!$V36,MACROMICROELEMENTOS!$W36,MACROMICROELEMENTOS!$X36))</f>
        <v/>
      </c>
      <c r="BJ36" s="23">
        <v>1</v>
      </c>
      <c r="BK36" s="31" t="str">
        <f>IF(OR(MACROMICROELEMENTOS!$A36="",MACROMICROELEMENTOS!$B36="",MACROMICROELEMENTOS!$C36="",MACROMICROELEMENTOS!$D36="",MACROMICROELEMENTOS!$E36="",MACROMICROELEMENTOS!$F36="",MACROMICROELEMENTOS!$BI36="",MACROMICROELEMENTOS!$BJ36=""),"",((MACROMICROELEMENTOS!$F36-MACROMICROELEMENTOS!$BI36)*MACROMICROELEMENTOS!$BJ36*MACROMICROELEMENTOS!$D36*(1/MACROMICROELEMENTOS!$C36)*MACROMICROELEMENTOS!$E36))</f>
        <v/>
      </c>
      <c r="BL36" s="17" t="str">
        <f>IF(AND(MACROMICROELEMENTOS!$Y36="",MACROMICROELEMENTOS!$Z36="",MACROMICROELEMENTOS!$AA36="",MACROMICROELEMENTOS!$AB36=""),"",AVERAGE(MACROMICROELEMENTOS!$Y36,MACROMICROELEMENTOS!$Z36,MACROMICROELEMENTOS!$AA36,MACROMICROELEMENTOS!$AB36))</f>
        <v/>
      </c>
      <c r="BM36" s="23">
        <v>1</v>
      </c>
      <c r="BN36" s="31" t="str">
        <f>IF(OR(MACROMICROELEMENTOS!$A36="",MACROMICROELEMENTOS!$B36="",MACROMICROELEMENTOS!$C36="",MACROMICROELEMENTOS!$D36="",MACROMICROELEMENTOS!$E36="",MACROMICROELEMENTOS!$G36="",MACROMICROELEMENTOS!$BL36="",MACROMICROELEMENTOS!$BM36=""),"",((MACROMICROELEMENTOS!$G36-MACROMICROELEMENTOS!$BL36)*MACROMICROELEMENTOS!$BM36*MACROMICROELEMENTOS!$D36*(1/MACROMICROELEMENTOS!$C36)*MACROMICROELEMENTOS!$E36/1000))</f>
        <v/>
      </c>
      <c r="BO36" s="17" t="str">
        <f>IF(AND(MACROMICROELEMENTOS!$AC36="",MACROMICROELEMENTOS!$AD36="",MACROMICROELEMENTOS!$AE36="",MACROMICROELEMENTOS!$AF36=""),"",AVERAGE(MACROMICROELEMENTOS!$AC36,MACROMICROELEMENTOS!$AD36,MACROMICROELEMENTOS!$AE36,MACROMICROELEMENTOS!$AF36))</f>
        <v/>
      </c>
      <c r="BP36" s="23">
        <v>1</v>
      </c>
      <c r="BQ36" s="31" t="str">
        <f>IF(OR(MACROMICROELEMENTOS!$A36="",MACROMICROELEMENTOS!$B36="",MACROMICROELEMENTOS!$C36="",MACROMICROELEMENTOS!$D36="",MACROMICROELEMENTOS!$E36="",MACROMICROELEMENTOS!$H36="",MACROMICROELEMENTOS!$BO36="",MACROMICROELEMENTOS!$BP36=""),"",((MACROMICROELEMENTOS!$H36-MACROMICROELEMENTOS!$BO36)*MACROMICROELEMENTOS!$BP36*MACROMICROELEMENTOS!$D36*(1/MACROMICROELEMENTOS!$C36)*MACROMICROELEMENTOS!$E36))</f>
        <v/>
      </c>
      <c r="BR36" s="17" t="str">
        <f>IF(AND(MACROMICROELEMENTOS!$Q36="",MACROMICROELEMENTOS!$R36="",MACROMICROELEMENTOS!$S36="",MACROMICROELEMENTOS!$T36=""),"",AVERAGE(MACROMICROELEMENTOS!$Q36,MACROMICROELEMENTOS!$R36,MACROMICROELEMENTOS!$S36,MACROMICROELEMENTOS!$T36))</f>
        <v/>
      </c>
      <c r="BS36" s="23">
        <v>1</v>
      </c>
      <c r="BT36" s="31" t="str">
        <f>IF(OR(MACROMICROELEMENTOS!$A36="",MACROMICROELEMENTOS!$B36="",MACROMICROELEMENTOS!$C36="",MACROMICROELEMENTOS!$D36="",MACROMICROELEMENTOS!$E36="",MACROMICROELEMENTOS!$I36="",MACROMICROELEMENTOS!$BR36="",MACROMICROELEMENTOS!$BS36=""),"",((MACROMICROELEMENTOS!$I36-MACROMICROELEMENTOS!$BR36)*MACROMICROELEMENTOS!$BS36*MACROMICROELEMENTOS!$D36*(1/MACROMICROELEMENTOS!$C36)*MACROMICROELEMENTOS!$E36))</f>
        <v/>
      </c>
      <c r="BU36" s="17" t="str">
        <f>IF(AND(MACROMICROELEMENTOS!$AG36="",MACROMICROELEMENTOS!$AH36="",MACROMICROELEMENTOS!$AI36="",MACROMICROELEMENTOS!$AJ36=""),"",AVERAGE(MACROMICROELEMENTOS!$AG36,MACROMICROELEMENTOS!$AH36,MACROMICROELEMENTOS!$AI36,MACROMICROELEMENTOS!$AJ36))</f>
        <v/>
      </c>
      <c r="BV36" s="23">
        <v>1</v>
      </c>
      <c r="BW36" s="31" t="str">
        <f>IF(OR(MACROMICROELEMENTOS!$A36="",MACROMICROELEMENTOS!$B36="",MACROMICROELEMENTOS!$C36="",MACROMICROELEMENTOS!$D36="",MACROMICROELEMENTOS!$E36="",MACROMICROELEMENTOS!$J36="",MACROMICROELEMENTOS!$BU36="",MACROMICROELEMENTOS!$BV36=""),"",((MACROMICROELEMENTOS!$J36-MACROMICROELEMENTOS!$BU36)*MACROMICROELEMENTOS!$BV36*MACROMICROELEMENTOS!$D36*(1/MACROMICROELEMENTOS!$C36)*MACROMICROELEMENTOS!$E36))</f>
        <v/>
      </c>
      <c r="BX36" s="17" t="str">
        <f>IF(AND(MACROMICROELEMENTOS!$AK36="",MACROMICROELEMENTOS!$AL36="",MACROMICROELEMENTOS!$AM36="",MACROMICROELEMENTOS!$AN36=""),"",AVERAGE(MACROMICROELEMENTOS!$AK36,MACROMICROELEMENTOS!$AL36,MACROMICROELEMENTOS!$AM36,MACROMICROELEMENTOS!$AN36))</f>
        <v/>
      </c>
      <c r="BY36" s="23">
        <v>1</v>
      </c>
      <c r="BZ36" s="31" t="str">
        <f>IF(OR(MACROMICROELEMENTOS!$A36="",MACROMICROELEMENTOS!$B36="",MACROMICROELEMENTOS!$C36="",MACROMICROELEMENTOS!$D36="",MACROMICROELEMENTOS!$E36="",MACROMICROELEMENTOS!$K36="",MACROMICROELEMENTOS!$BX36="",MACROMICROELEMENTOS!$BY36=""),"",((MACROMICROELEMENTOS!$K36-MACROMICROELEMENTOS!$BX36)*MACROMICROELEMENTOS!$BY36*MACROMICROELEMENTOS!$D36*(1/MACROMICROELEMENTOS!$C36)*MACROMICROELEMENTOS!$E36))</f>
        <v/>
      </c>
      <c r="CA36" s="17" t="str">
        <f>IF(AND(MACROMICROELEMENTOS!$AO36="",MACROMICROELEMENTOS!$AP36="",MACROMICROELEMENTOS!$AQ36="",MACROMICROELEMENTOS!$AR36=""),"",AVERAGE(MACROMICROELEMENTOS!$AO36,MACROMICROELEMENTOS!$AP36,MACROMICROELEMENTOS!$AQ36,MACROMICROELEMENTOS!$AR36))</f>
        <v/>
      </c>
      <c r="CB36" s="23">
        <v>1</v>
      </c>
      <c r="CC36" s="31" t="str">
        <f>IF(OR(MACROMICROELEMENTOS!$A36="",MACROMICROELEMENTOS!$B36="",MACROMICROELEMENTOS!$C36="",MACROMICROELEMENTOS!$D36="",MACROMICROELEMENTOS!$E36="",MACROMICROELEMENTOS!$L36="",MACROMICROELEMENTOS!$CA36="",MACROMICROELEMENTOS!$CB36=""),"",((MACROMICROELEMENTOS!$L36-MACROMICROELEMENTOS!$CA36)*MACROMICROELEMENTOS!$CB36*MACROMICROELEMENTOS!$D36*(1/MACROMICROELEMENTOS!$C36)*MACROMICROELEMENTOS!$E36))</f>
        <v/>
      </c>
      <c r="CD36" s="17" t="str">
        <f>IF(AND(MACROMICROELEMENTOS!$AS36="",MACROMICROELEMENTOS!$AT36="",MACROMICROELEMENTOS!$AU36="",MACROMICROELEMENTOS!$AV36=""),"",AVERAGE(MACROMICROELEMENTOS!$AS36,MACROMICROELEMENTOS!$AT36,MACROMICROELEMENTOS!$AU36,MACROMICROELEMENTOS!$AV36))</f>
        <v/>
      </c>
      <c r="CE36" s="23">
        <v>1</v>
      </c>
      <c r="CF36" s="31" t="str">
        <f>IF(OR(MACROMICROELEMENTOS!$A36="",MACROMICROELEMENTOS!$B36="",MACROMICROELEMENTOS!$C36="",MACROMICROELEMENTOS!$D36="",MACROMICROELEMENTOS!$E36="",MACROMICROELEMENTOS!$M36="",MACROMICROELEMENTOS!$CD36="",MACROMICROELEMENTOS!$CE36=""),"",((MACROMICROELEMENTOS!$M36-MACROMICROELEMENTOS!$CD36)*MACROMICROELEMENTOS!$CE36*MACROMICROELEMENTOS!$D36*(1/MACROMICROELEMENTOS!$C36)*MACROMICROELEMENTOS!$E36))</f>
        <v/>
      </c>
      <c r="CG36" s="17" t="str">
        <f>IF(AND(MACROMICROELEMENTOS!$AW36="",MACROMICROELEMENTOS!$AX36="",MACROMICROELEMENTOS!$AY36="",MACROMICROELEMENTOS!$AZ36=""),"",AVERAGE(MACROMICROELEMENTOS!$AW36,MACROMICROELEMENTOS!$AX36,MACROMICROELEMENTOS!$AY36,MACROMICROELEMENTOS!$AZ36))</f>
        <v/>
      </c>
      <c r="CH36" s="23">
        <v>1</v>
      </c>
      <c r="CI36" s="31" t="str">
        <f>IF(OR(MACROMICROELEMENTOS!$A36="",MACROMICROELEMENTOS!$B36="",MACROMICROELEMENTOS!$C36="",MACROMICROELEMENTOS!$D36="",MACROMICROELEMENTOS!$E36="",MACROMICROELEMENTOS!$N36="",MACROMICROELEMENTOS!$CG36="",MACROMICROELEMENTOS!$CH36=""),"",((MACROMICROELEMENTOS!$N36-MACROMICROELEMENTOS!$CG36)*MACROMICROELEMENTOS!$CH36*MACROMICROELEMENTOS!$D36*(1/MACROMICROELEMENTOS!$C36)*MACROMICROELEMENTOS!$E36))</f>
        <v/>
      </c>
      <c r="CJ36" s="17" t="str">
        <f>IF(AND(MACROMICROELEMENTOS!$BA36="",MACROMICROELEMENTOS!$BB36="",MACROMICROELEMENTOS!$BC36="",MACROMICROELEMENTOS!$BD36=""),"",IF(O36&gt;2,0,AVERAGE(MACROMICROELEMENTOS!$BA36,MACROMICROELEMENTOS!$BB36,MACROMICROELEMENTOS!$BC36,MACROMICROELEMENTOS!$BD36)))</f>
        <v/>
      </c>
      <c r="CK36" s="23">
        <v>1</v>
      </c>
      <c r="CL36" s="31" t="str">
        <f>IF(OR(MACROMICROELEMENTOS!$A36="",MACROMICROELEMENTOS!$B36="",MACROMICROELEMENTOS!$C36="",MACROMICROELEMENTOS!$D36="",MACROMICROELEMENTOS!$E36="",MACROMICROELEMENTOS!$O36="",MACROMICROELEMENTOS!$CJ36="",MACROMICROELEMENTOS!$CK36=""),"",((MACROMICROELEMENTOS!$O36-MACROMICROELEMENTOS!$CJ36)*MACROMICROELEMENTOS!$CK36*MACROMICROELEMENTOS!$D36*(1/MACROMICROELEMENTOS!$C36)*MACROMICROELEMENTOS!$E36))</f>
        <v/>
      </c>
      <c r="CM36" s="17" t="str">
        <f>IF(AND(MACROMICROELEMENTOS!$BE36="",MACROMICROELEMENTOS!$BF36="",MACROMICROELEMENTOS!$BG36="",MACROMICROELEMENTOS!$BH36=""),"",AVERAGE(MACROMICROELEMENTOS!$BE36,MACROMICROELEMENTOS!$BF36,MACROMICROELEMENTOS!$BG36,MACROMICROELEMENTOS!$BH36))</f>
        <v/>
      </c>
      <c r="CN36" s="23">
        <v>1</v>
      </c>
      <c r="CO36" s="31" t="str">
        <f>IF(OR(MACROMICROELEMENTOS!$A36="",MACROMICROELEMENTOS!$B36="",MACROMICROELEMENTOS!$C36="",MACROMICROELEMENTOS!$D36="",MACROMICROELEMENTOS!$E36="",MACROMICROELEMENTOS!$P36="",MACROMICROELEMENTOS!$CM36="",MACROMICROELEMENTOS!$CN36=""),"",((MACROMICROELEMENTOS!$P36-MACROMICROELEMENTOS!$CM36)*MACROMICROELEMENTOS!$CN36*MACROMICROELEMENTOS!$D36*(1/MACROMICROELEMENTOS!$C36)*MACROMICROELEMENTOS!$E36))</f>
        <v/>
      </c>
    </row>
    <row r="37" spans="1:93" x14ac:dyDescent="0.3">
      <c r="A37" s="19" t="str">
        <f>IF(Pesada!A37="","",Pesada!A37)</f>
        <v/>
      </c>
      <c r="B37" s="16" t="str">
        <f>IF(Pesada!B37="","",Pesada!B37)</f>
        <v/>
      </c>
      <c r="C37" s="20" t="str">
        <f>IF(Pesada!C37="","",VALUE(Pesada!C37))</f>
        <v/>
      </c>
      <c r="D37" s="23">
        <v>100</v>
      </c>
      <c r="E37" s="30" t="str">
        <f>IF(METALESPESADOS!E37="","",METALESPESADOS!E37)</f>
        <v/>
      </c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17" t="str">
        <f>IF(AND(MACROMICROELEMENTOS!$U37="",MACROMICROELEMENTOS!$V37="",MACROMICROELEMENTOS!$W37="",MACROMICROELEMENTOS!$X37=""),"",AVERAGE(MACROMICROELEMENTOS!$U37,MACROMICROELEMENTOS!$V37,MACROMICROELEMENTOS!$W37,MACROMICROELEMENTOS!$X37))</f>
        <v/>
      </c>
      <c r="BJ37" s="23">
        <v>1</v>
      </c>
      <c r="BK37" s="31" t="str">
        <f>IF(OR(MACROMICROELEMENTOS!$A37="",MACROMICROELEMENTOS!$B37="",MACROMICROELEMENTOS!$C37="",MACROMICROELEMENTOS!$D37="",MACROMICROELEMENTOS!$E37="",MACROMICROELEMENTOS!$F37="",MACROMICROELEMENTOS!$BI37="",MACROMICROELEMENTOS!$BJ37=""),"",((MACROMICROELEMENTOS!$F37-MACROMICROELEMENTOS!$BI37)*MACROMICROELEMENTOS!$BJ37*MACROMICROELEMENTOS!$D37*(1/MACROMICROELEMENTOS!$C37)*MACROMICROELEMENTOS!$E37))</f>
        <v/>
      </c>
      <c r="BL37" s="17" t="str">
        <f>IF(AND(MACROMICROELEMENTOS!$Y37="",MACROMICROELEMENTOS!$Z37="",MACROMICROELEMENTOS!$AA37="",MACROMICROELEMENTOS!$AB37=""),"",AVERAGE(MACROMICROELEMENTOS!$Y37,MACROMICROELEMENTOS!$Z37,MACROMICROELEMENTOS!$AA37,MACROMICROELEMENTOS!$AB37))</f>
        <v/>
      </c>
      <c r="BM37" s="23">
        <v>1</v>
      </c>
      <c r="BN37" s="31" t="str">
        <f>IF(OR(MACROMICROELEMENTOS!$A37="",MACROMICROELEMENTOS!$B37="",MACROMICROELEMENTOS!$C37="",MACROMICROELEMENTOS!$D37="",MACROMICROELEMENTOS!$E37="",MACROMICROELEMENTOS!$G37="",MACROMICROELEMENTOS!$BL37="",MACROMICROELEMENTOS!$BM37=""),"",((MACROMICROELEMENTOS!$G37-MACROMICROELEMENTOS!$BL37)*MACROMICROELEMENTOS!$BM37*MACROMICROELEMENTOS!$D37*(1/MACROMICROELEMENTOS!$C37)*MACROMICROELEMENTOS!$E37/1000))</f>
        <v/>
      </c>
      <c r="BO37" s="17" t="str">
        <f>IF(AND(MACROMICROELEMENTOS!$AC37="",MACROMICROELEMENTOS!$AD37="",MACROMICROELEMENTOS!$AE37="",MACROMICROELEMENTOS!$AF37=""),"",AVERAGE(MACROMICROELEMENTOS!$AC37,MACROMICROELEMENTOS!$AD37,MACROMICROELEMENTOS!$AE37,MACROMICROELEMENTOS!$AF37))</f>
        <v/>
      </c>
      <c r="BP37" s="23">
        <v>1</v>
      </c>
      <c r="BQ37" s="31" t="str">
        <f>IF(OR(MACROMICROELEMENTOS!$A37="",MACROMICROELEMENTOS!$B37="",MACROMICROELEMENTOS!$C37="",MACROMICROELEMENTOS!$D37="",MACROMICROELEMENTOS!$E37="",MACROMICROELEMENTOS!$H37="",MACROMICROELEMENTOS!$BO37="",MACROMICROELEMENTOS!$BP37=""),"",((MACROMICROELEMENTOS!$H37-MACROMICROELEMENTOS!$BO37)*MACROMICROELEMENTOS!$BP37*MACROMICROELEMENTOS!$D37*(1/MACROMICROELEMENTOS!$C37)*MACROMICROELEMENTOS!$E37))</f>
        <v/>
      </c>
      <c r="BR37" s="17" t="str">
        <f>IF(AND(MACROMICROELEMENTOS!$Q37="",MACROMICROELEMENTOS!$R37="",MACROMICROELEMENTOS!$S37="",MACROMICROELEMENTOS!$T37=""),"",AVERAGE(MACROMICROELEMENTOS!$Q37,MACROMICROELEMENTOS!$R37,MACROMICROELEMENTOS!$S37,MACROMICROELEMENTOS!$T37))</f>
        <v/>
      </c>
      <c r="BS37" s="23">
        <v>1</v>
      </c>
      <c r="BT37" s="31" t="str">
        <f>IF(OR(MACROMICROELEMENTOS!$A37="",MACROMICROELEMENTOS!$B37="",MACROMICROELEMENTOS!$C37="",MACROMICROELEMENTOS!$D37="",MACROMICROELEMENTOS!$E37="",MACROMICROELEMENTOS!$I37="",MACROMICROELEMENTOS!$BR37="",MACROMICROELEMENTOS!$BS37=""),"",((MACROMICROELEMENTOS!$I37-MACROMICROELEMENTOS!$BR37)*MACROMICROELEMENTOS!$BS37*MACROMICROELEMENTOS!$D37*(1/MACROMICROELEMENTOS!$C37)*MACROMICROELEMENTOS!$E37))</f>
        <v/>
      </c>
      <c r="BU37" s="17" t="str">
        <f>IF(AND(MACROMICROELEMENTOS!$AG37="",MACROMICROELEMENTOS!$AH37="",MACROMICROELEMENTOS!$AI37="",MACROMICROELEMENTOS!$AJ37=""),"",AVERAGE(MACROMICROELEMENTOS!$AG37,MACROMICROELEMENTOS!$AH37,MACROMICROELEMENTOS!$AI37,MACROMICROELEMENTOS!$AJ37))</f>
        <v/>
      </c>
      <c r="BV37" s="23">
        <v>1</v>
      </c>
      <c r="BW37" s="31" t="str">
        <f>IF(OR(MACROMICROELEMENTOS!$A37="",MACROMICROELEMENTOS!$B37="",MACROMICROELEMENTOS!$C37="",MACROMICROELEMENTOS!$D37="",MACROMICROELEMENTOS!$E37="",MACROMICROELEMENTOS!$J37="",MACROMICROELEMENTOS!$BU37="",MACROMICROELEMENTOS!$BV37=""),"",((MACROMICROELEMENTOS!$J37-MACROMICROELEMENTOS!$BU37)*MACROMICROELEMENTOS!$BV37*MACROMICROELEMENTOS!$D37*(1/MACROMICROELEMENTOS!$C37)*MACROMICROELEMENTOS!$E37))</f>
        <v/>
      </c>
      <c r="BX37" s="17" t="str">
        <f>IF(AND(MACROMICROELEMENTOS!$AK37="",MACROMICROELEMENTOS!$AL37="",MACROMICROELEMENTOS!$AM37="",MACROMICROELEMENTOS!$AN37=""),"",AVERAGE(MACROMICROELEMENTOS!$AK37,MACROMICROELEMENTOS!$AL37,MACROMICROELEMENTOS!$AM37,MACROMICROELEMENTOS!$AN37))</f>
        <v/>
      </c>
      <c r="BY37" s="23">
        <v>1</v>
      </c>
      <c r="BZ37" s="31" t="str">
        <f>IF(OR(MACROMICROELEMENTOS!$A37="",MACROMICROELEMENTOS!$B37="",MACROMICROELEMENTOS!$C37="",MACROMICROELEMENTOS!$D37="",MACROMICROELEMENTOS!$E37="",MACROMICROELEMENTOS!$K37="",MACROMICROELEMENTOS!$BX37="",MACROMICROELEMENTOS!$BY37=""),"",((MACROMICROELEMENTOS!$K37-MACROMICROELEMENTOS!$BX37)*MACROMICROELEMENTOS!$BY37*MACROMICROELEMENTOS!$D37*(1/MACROMICROELEMENTOS!$C37)*MACROMICROELEMENTOS!$E37))</f>
        <v/>
      </c>
      <c r="CA37" s="17" t="str">
        <f>IF(AND(MACROMICROELEMENTOS!$AO37="",MACROMICROELEMENTOS!$AP37="",MACROMICROELEMENTOS!$AQ37="",MACROMICROELEMENTOS!$AR37=""),"",AVERAGE(MACROMICROELEMENTOS!$AO37,MACROMICROELEMENTOS!$AP37,MACROMICROELEMENTOS!$AQ37,MACROMICROELEMENTOS!$AR37))</f>
        <v/>
      </c>
      <c r="CB37" s="23">
        <v>1</v>
      </c>
      <c r="CC37" s="31" t="str">
        <f>IF(OR(MACROMICROELEMENTOS!$A37="",MACROMICROELEMENTOS!$B37="",MACROMICROELEMENTOS!$C37="",MACROMICROELEMENTOS!$D37="",MACROMICROELEMENTOS!$E37="",MACROMICROELEMENTOS!$L37="",MACROMICROELEMENTOS!$CA37="",MACROMICROELEMENTOS!$CB37=""),"",((MACROMICROELEMENTOS!$L37-MACROMICROELEMENTOS!$CA37)*MACROMICROELEMENTOS!$CB37*MACROMICROELEMENTOS!$D37*(1/MACROMICROELEMENTOS!$C37)*MACROMICROELEMENTOS!$E37))</f>
        <v/>
      </c>
      <c r="CD37" s="17" t="str">
        <f>IF(AND(MACROMICROELEMENTOS!$AS37="",MACROMICROELEMENTOS!$AT37="",MACROMICROELEMENTOS!$AU37="",MACROMICROELEMENTOS!$AV37=""),"",AVERAGE(MACROMICROELEMENTOS!$AS37,MACROMICROELEMENTOS!$AT37,MACROMICROELEMENTOS!$AU37,MACROMICROELEMENTOS!$AV37))</f>
        <v/>
      </c>
      <c r="CE37" s="23">
        <v>1</v>
      </c>
      <c r="CF37" s="31" t="str">
        <f>IF(OR(MACROMICROELEMENTOS!$A37="",MACROMICROELEMENTOS!$B37="",MACROMICROELEMENTOS!$C37="",MACROMICROELEMENTOS!$D37="",MACROMICROELEMENTOS!$E37="",MACROMICROELEMENTOS!$M37="",MACROMICROELEMENTOS!$CD37="",MACROMICROELEMENTOS!$CE37=""),"",((MACROMICROELEMENTOS!$M37-MACROMICROELEMENTOS!$CD37)*MACROMICROELEMENTOS!$CE37*MACROMICROELEMENTOS!$D37*(1/MACROMICROELEMENTOS!$C37)*MACROMICROELEMENTOS!$E37))</f>
        <v/>
      </c>
      <c r="CG37" s="17" t="str">
        <f>IF(AND(MACROMICROELEMENTOS!$AW37="",MACROMICROELEMENTOS!$AX37="",MACROMICROELEMENTOS!$AY37="",MACROMICROELEMENTOS!$AZ37=""),"",AVERAGE(MACROMICROELEMENTOS!$AW37,MACROMICROELEMENTOS!$AX37,MACROMICROELEMENTOS!$AY37,MACROMICROELEMENTOS!$AZ37))</f>
        <v/>
      </c>
      <c r="CH37" s="23">
        <v>1</v>
      </c>
      <c r="CI37" s="31" t="str">
        <f>IF(OR(MACROMICROELEMENTOS!$A37="",MACROMICROELEMENTOS!$B37="",MACROMICROELEMENTOS!$C37="",MACROMICROELEMENTOS!$D37="",MACROMICROELEMENTOS!$E37="",MACROMICROELEMENTOS!$N37="",MACROMICROELEMENTOS!$CG37="",MACROMICROELEMENTOS!$CH37=""),"",((MACROMICROELEMENTOS!$N37-MACROMICROELEMENTOS!$CG37)*MACROMICROELEMENTOS!$CH37*MACROMICROELEMENTOS!$D37*(1/MACROMICROELEMENTOS!$C37)*MACROMICROELEMENTOS!$E37))</f>
        <v/>
      </c>
      <c r="CJ37" s="17" t="str">
        <f>IF(AND(MACROMICROELEMENTOS!$BA37="",MACROMICROELEMENTOS!$BB37="",MACROMICROELEMENTOS!$BC37="",MACROMICROELEMENTOS!$BD37=""),"",IF(O37&gt;2,0,AVERAGE(MACROMICROELEMENTOS!$BA37,MACROMICROELEMENTOS!$BB37,MACROMICROELEMENTOS!$BC37,MACROMICROELEMENTOS!$BD37)))</f>
        <v/>
      </c>
      <c r="CK37" s="23">
        <v>1</v>
      </c>
      <c r="CL37" s="31" t="str">
        <f>IF(OR(MACROMICROELEMENTOS!$A37="",MACROMICROELEMENTOS!$B37="",MACROMICROELEMENTOS!$C37="",MACROMICROELEMENTOS!$D37="",MACROMICROELEMENTOS!$E37="",MACROMICROELEMENTOS!$O37="",MACROMICROELEMENTOS!$CJ37="",MACROMICROELEMENTOS!$CK37=""),"",((MACROMICROELEMENTOS!$O37-MACROMICROELEMENTOS!$CJ37)*MACROMICROELEMENTOS!$CK37*MACROMICROELEMENTOS!$D37*(1/MACROMICROELEMENTOS!$C37)*MACROMICROELEMENTOS!$E37))</f>
        <v/>
      </c>
      <c r="CM37" s="17" t="str">
        <f>IF(AND(MACROMICROELEMENTOS!$BE37="",MACROMICROELEMENTOS!$BF37="",MACROMICROELEMENTOS!$BG37="",MACROMICROELEMENTOS!$BH37=""),"",AVERAGE(MACROMICROELEMENTOS!$BE37,MACROMICROELEMENTOS!$BF37,MACROMICROELEMENTOS!$BG37,MACROMICROELEMENTOS!$BH37))</f>
        <v/>
      </c>
      <c r="CN37" s="23">
        <v>1</v>
      </c>
      <c r="CO37" s="31" t="str">
        <f>IF(OR(MACROMICROELEMENTOS!$A37="",MACROMICROELEMENTOS!$B37="",MACROMICROELEMENTOS!$C37="",MACROMICROELEMENTOS!$D37="",MACROMICROELEMENTOS!$E37="",MACROMICROELEMENTOS!$P37="",MACROMICROELEMENTOS!$CM37="",MACROMICROELEMENTOS!$CN37=""),"",((MACROMICROELEMENTOS!$P37-MACROMICROELEMENTOS!$CM37)*MACROMICROELEMENTOS!$CN37*MACROMICROELEMENTOS!$D37*(1/MACROMICROELEMENTOS!$C37)*MACROMICROELEMENTOS!$E37))</f>
        <v/>
      </c>
    </row>
    <row r="38" spans="1:93" x14ac:dyDescent="0.3">
      <c r="A38" s="19" t="str">
        <f>IF(Pesada!A38="","",Pesada!A38)</f>
        <v/>
      </c>
      <c r="B38" s="16" t="str">
        <f>IF(Pesada!B38="","",Pesada!B38)</f>
        <v/>
      </c>
      <c r="C38" s="20" t="str">
        <f>IF(Pesada!C38="","",VALUE(Pesada!C38))</f>
        <v/>
      </c>
      <c r="D38" s="23">
        <v>100</v>
      </c>
      <c r="E38" s="30" t="str">
        <f>IF(METALESPESADOS!E38="","",METALESPESADOS!E38)</f>
        <v/>
      </c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17" t="str">
        <f>IF(AND(MACROMICROELEMENTOS!$U38="",MACROMICROELEMENTOS!$V38="",MACROMICROELEMENTOS!$W38="",MACROMICROELEMENTOS!$X38=""),"",AVERAGE(MACROMICROELEMENTOS!$U38,MACROMICROELEMENTOS!$V38,MACROMICROELEMENTOS!$W38,MACROMICROELEMENTOS!$X38))</f>
        <v/>
      </c>
      <c r="BJ38" s="23">
        <v>1</v>
      </c>
      <c r="BK38" s="31" t="str">
        <f>IF(OR(MACROMICROELEMENTOS!$A38="",MACROMICROELEMENTOS!$B38="",MACROMICROELEMENTOS!$C38="",MACROMICROELEMENTOS!$D38="",MACROMICROELEMENTOS!$E38="",MACROMICROELEMENTOS!$F38="",MACROMICROELEMENTOS!$BI38="",MACROMICROELEMENTOS!$BJ38=""),"",((MACROMICROELEMENTOS!$F38-MACROMICROELEMENTOS!$BI38)*MACROMICROELEMENTOS!$BJ38*MACROMICROELEMENTOS!$D38*(1/MACROMICROELEMENTOS!$C38)*MACROMICROELEMENTOS!$E38))</f>
        <v/>
      </c>
      <c r="BL38" s="17" t="str">
        <f>IF(AND(MACROMICROELEMENTOS!$Y38="",MACROMICROELEMENTOS!$Z38="",MACROMICROELEMENTOS!$AA38="",MACROMICROELEMENTOS!$AB38=""),"",AVERAGE(MACROMICROELEMENTOS!$Y38,MACROMICROELEMENTOS!$Z38,MACROMICROELEMENTOS!$AA38,MACROMICROELEMENTOS!$AB38))</f>
        <v/>
      </c>
      <c r="BM38" s="23">
        <v>1</v>
      </c>
      <c r="BN38" s="31" t="str">
        <f>IF(OR(MACROMICROELEMENTOS!$A38="",MACROMICROELEMENTOS!$B38="",MACROMICROELEMENTOS!$C38="",MACROMICROELEMENTOS!$D38="",MACROMICROELEMENTOS!$E38="",MACROMICROELEMENTOS!$G38="",MACROMICROELEMENTOS!$BL38="",MACROMICROELEMENTOS!$BM38=""),"",((MACROMICROELEMENTOS!$G38-MACROMICROELEMENTOS!$BL38)*MACROMICROELEMENTOS!$BM38*MACROMICROELEMENTOS!$D38*(1/MACROMICROELEMENTOS!$C38)*MACROMICROELEMENTOS!$E38/1000))</f>
        <v/>
      </c>
      <c r="BO38" s="17" t="str">
        <f>IF(AND(MACROMICROELEMENTOS!$AC38="",MACROMICROELEMENTOS!$AD38="",MACROMICROELEMENTOS!$AE38="",MACROMICROELEMENTOS!$AF38=""),"",AVERAGE(MACROMICROELEMENTOS!$AC38,MACROMICROELEMENTOS!$AD38,MACROMICROELEMENTOS!$AE38,MACROMICROELEMENTOS!$AF38))</f>
        <v/>
      </c>
      <c r="BP38" s="23">
        <v>1</v>
      </c>
      <c r="BQ38" s="31" t="str">
        <f>IF(OR(MACROMICROELEMENTOS!$A38="",MACROMICROELEMENTOS!$B38="",MACROMICROELEMENTOS!$C38="",MACROMICROELEMENTOS!$D38="",MACROMICROELEMENTOS!$E38="",MACROMICROELEMENTOS!$H38="",MACROMICROELEMENTOS!$BO38="",MACROMICROELEMENTOS!$BP38=""),"",((MACROMICROELEMENTOS!$H38-MACROMICROELEMENTOS!$BO38)*MACROMICROELEMENTOS!$BP38*MACROMICROELEMENTOS!$D38*(1/MACROMICROELEMENTOS!$C38)*MACROMICROELEMENTOS!$E38))</f>
        <v/>
      </c>
      <c r="BR38" s="17" t="str">
        <f>IF(AND(MACROMICROELEMENTOS!$Q38="",MACROMICROELEMENTOS!$R38="",MACROMICROELEMENTOS!$S38="",MACROMICROELEMENTOS!$T38=""),"",AVERAGE(MACROMICROELEMENTOS!$Q38,MACROMICROELEMENTOS!$R38,MACROMICROELEMENTOS!$S38,MACROMICROELEMENTOS!$T38))</f>
        <v/>
      </c>
      <c r="BS38" s="23">
        <v>1</v>
      </c>
      <c r="BT38" s="31" t="str">
        <f>IF(OR(MACROMICROELEMENTOS!$A38="",MACROMICROELEMENTOS!$B38="",MACROMICROELEMENTOS!$C38="",MACROMICROELEMENTOS!$D38="",MACROMICROELEMENTOS!$E38="",MACROMICROELEMENTOS!$I38="",MACROMICROELEMENTOS!$BR38="",MACROMICROELEMENTOS!$BS38=""),"",((MACROMICROELEMENTOS!$I38-MACROMICROELEMENTOS!$BR38)*MACROMICROELEMENTOS!$BS38*MACROMICROELEMENTOS!$D38*(1/MACROMICROELEMENTOS!$C38)*MACROMICROELEMENTOS!$E38))</f>
        <v/>
      </c>
      <c r="BU38" s="17" t="str">
        <f>IF(AND(MACROMICROELEMENTOS!$AG38="",MACROMICROELEMENTOS!$AH38="",MACROMICROELEMENTOS!$AI38="",MACROMICROELEMENTOS!$AJ38=""),"",AVERAGE(MACROMICROELEMENTOS!$AG38,MACROMICROELEMENTOS!$AH38,MACROMICROELEMENTOS!$AI38,MACROMICROELEMENTOS!$AJ38))</f>
        <v/>
      </c>
      <c r="BV38" s="23">
        <v>1</v>
      </c>
      <c r="BW38" s="31" t="str">
        <f>IF(OR(MACROMICROELEMENTOS!$A38="",MACROMICROELEMENTOS!$B38="",MACROMICROELEMENTOS!$C38="",MACROMICROELEMENTOS!$D38="",MACROMICROELEMENTOS!$E38="",MACROMICROELEMENTOS!$J38="",MACROMICROELEMENTOS!$BU38="",MACROMICROELEMENTOS!$BV38=""),"",((MACROMICROELEMENTOS!$J38-MACROMICROELEMENTOS!$BU38)*MACROMICROELEMENTOS!$BV38*MACROMICROELEMENTOS!$D38*(1/MACROMICROELEMENTOS!$C38)*MACROMICROELEMENTOS!$E38))</f>
        <v/>
      </c>
      <c r="BX38" s="17" t="str">
        <f>IF(AND(MACROMICROELEMENTOS!$AK38="",MACROMICROELEMENTOS!$AL38="",MACROMICROELEMENTOS!$AM38="",MACROMICROELEMENTOS!$AN38=""),"",AVERAGE(MACROMICROELEMENTOS!$AK38,MACROMICROELEMENTOS!$AL38,MACROMICROELEMENTOS!$AM38,MACROMICROELEMENTOS!$AN38))</f>
        <v/>
      </c>
      <c r="BY38" s="23">
        <v>1</v>
      </c>
      <c r="BZ38" s="31" t="str">
        <f>IF(OR(MACROMICROELEMENTOS!$A38="",MACROMICROELEMENTOS!$B38="",MACROMICROELEMENTOS!$C38="",MACROMICROELEMENTOS!$D38="",MACROMICROELEMENTOS!$E38="",MACROMICROELEMENTOS!$K38="",MACROMICROELEMENTOS!$BX38="",MACROMICROELEMENTOS!$BY38=""),"",((MACROMICROELEMENTOS!$K38-MACROMICROELEMENTOS!$BX38)*MACROMICROELEMENTOS!$BY38*MACROMICROELEMENTOS!$D38*(1/MACROMICROELEMENTOS!$C38)*MACROMICROELEMENTOS!$E38))</f>
        <v/>
      </c>
      <c r="CA38" s="17" t="str">
        <f>IF(AND(MACROMICROELEMENTOS!$AO38="",MACROMICROELEMENTOS!$AP38="",MACROMICROELEMENTOS!$AQ38="",MACROMICROELEMENTOS!$AR38=""),"",AVERAGE(MACROMICROELEMENTOS!$AO38,MACROMICROELEMENTOS!$AP38,MACROMICROELEMENTOS!$AQ38,MACROMICROELEMENTOS!$AR38))</f>
        <v/>
      </c>
      <c r="CB38" s="23">
        <v>1</v>
      </c>
      <c r="CC38" s="31" t="str">
        <f>IF(OR(MACROMICROELEMENTOS!$A38="",MACROMICROELEMENTOS!$B38="",MACROMICROELEMENTOS!$C38="",MACROMICROELEMENTOS!$D38="",MACROMICROELEMENTOS!$E38="",MACROMICROELEMENTOS!$L38="",MACROMICROELEMENTOS!$CA38="",MACROMICROELEMENTOS!$CB38=""),"",((MACROMICROELEMENTOS!$L38-MACROMICROELEMENTOS!$CA38)*MACROMICROELEMENTOS!$CB38*MACROMICROELEMENTOS!$D38*(1/MACROMICROELEMENTOS!$C38)*MACROMICROELEMENTOS!$E38))</f>
        <v/>
      </c>
      <c r="CD38" s="17" t="str">
        <f>IF(AND(MACROMICROELEMENTOS!$AS38="",MACROMICROELEMENTOS!$AT38="",MACROMICROELEMENTOS!$AU38="",MACROMICROELEMENTOS!$AV38=""),"",AVERAGE(MACROMICROELEMENTOS!$AS38,MACROMICROELEMENTOS!$AT38,MACROMICROELEMENTOS!$AU38,MACROMICROELEMENTOS!$AV38))</f>
        <v/>
      </c>
      <c r="CE38" s="23">
        <v>1</v>
      </c>
      <c r="CF38" s="31" t="str">
        <f>IF(OR(MACROMICROELEMENTOS!$A38="",MACROMICROELEMENTOS!$B38="",MACROMICROELEMENTOS!$C38="",MACROMICROELEMENTOS!$D38="",MACROMICROELEMENTOS!$E38="",MACROMICROELEMENTOS!$M38="",MACROMICROELEMENTOS!$CD38="",MACROMICROELEMENTOS!$CE38=""),"",((MACROMICROELEMENTOS!$M38-MACROMICROELEMENTOS!$CD38)*MACROMICROELEMENTOS!$CE38*MACROMICROELEMENTOS!$D38*(1/MACROMICROELEMENTOS!$C38)*MACROMICROELEMENTOS!$E38))</f>
        <v/>
      </c>
      <c r="CG38" s="17" t="str">
        <f>IF(AND(MACROMICROELEMENTOS!$AW38="",MACROMICROELEMENTOS!$AX38="",MACROMICROELEMENTOS!$AY38="",MACROMICROELEMENTOS!$AZ38=""),"",AVERAGE(MACROMICROELEMENTOS!$AW38,MACROMICROELEMENTOS!$AX38,MACROMICROELEMENTOS!$AY38,MACROMICROELEMENTOS!$AZ38))</f>
        <v/>
      </c>
      <c r="CH38" s="23">
        <v>1</v>
      </c>
      <c r="CI38" s="31" t="str">
        <f>IF(OR(MACROMICROELEMENTOS!$A38="",MACROMICROELEMENTOS!$B38="",MACROMICROELEMENTOS!$C38="",MACROMICROELEMENTOS!$D38="",MACROMICROELEMENTOS!$E38="",MACROMICROELEMENTOS!$N38="",MACROMICROELEMENTOS!$CG38="",MACROMICROELEMENTOS!$CH38=""),"",((MACROMICROELEMENTOS!$N38-MACROMICROELEMENTOS!$CG38)*MACROMICROELEMENTOS!$CH38*MACROMICROELEMENTOS!$D38*(1/MACROMICROELEMENTOS!$C38)*MACROMICROELEMENTOS!$E38))</f>
        <v/>
      </c>
      <c r="CJ38" s="17" t="str">
        <f>IF(AND(MACROMICROELEMENTOS!$BA38="",MACROMICROELEMENTOS!$BB38="",MACROMICROELEMENTOS!$BC38="",MACROMICROELEMENTOS!$BD38=""),"",IF(O38&gt;2,0,AVERAGE(MACROMICROELEMENTOS!$BA38,MACROMICROELEMENTOS!$BB38,MACROMICROELEMENTOS!$BC38,MACROMICROELEMENTOS!$BD38)))</f>
        <v/>
      </c>
      <c r="CK38" s="23">
        <v>1</v>
      </c>
      <c r="CL38" s="31" t="str">
        <f>IF(OR(MACROMICROELEMENTOS!$A38="",MACROMICROELEMENTOS!$B38="",MACROMICROELEMENTOS!$C38="",MACROMICROELEMENTOS!$D38="",MACROMICROELEMENTOS!$E38="",MACROMICROELEMENTOS!$O38="",MACROMICROELEMENTOS!$CJ38="",MACROMICROELEMENTOS!$CK38=""),"",((MACROMICROELEMENTOS!$O38-MACROMICROELEMENTOS!$CJ38)*MACROMICROELEMENTOS!$CK38*MACROMICROELEMENTOS!$D38*(1/MACROMICROELEMENTOS!$C38)*MACROMICROELEMENTOS!$E38))</f>
        <v/>
      </c>
      <c r="CM38" s="17" t="str">
        <f>IF(AND(MACROMICROELEMENTOS!$BE38="",MACROMICROELEMENTOS!$BF38="",MACROMICROELEMENTOS!$BG38="",MACROMICROELEMENTOS!$BH38=""),"",AVERAGE(MACROMICROELEMENTOS!$BE38,MACROMICROELEMENTOS!$BF38,MACROMICROELEMENTOS!$BG38,MACROMICROELEMENTOS!$BH38))</f>
        <v/>
      </c>
      <c r="CN38" s="23">
        <v>1</v>
      </c>
      <c r="CO38" s="31" t="str">
        <f>IF(OR(MACROMICROELEMENTOS!$A38="",MACROMICROELEMENTOS!$B38="",MACROMICROELEMENTOS!$C38="",MACROMICROELEMENTOS!$D38="",MACROMICROELEMENTOS!$E38="",MACROMICROELEMENTOS!$P38="",MACROMICROELEMENTOS!$CM38="",MACROMICROELEMENTOS!$CN38=""),"",((MACROMICROELEMENTOS!$P38-MACROMICROELEMENTOS!$CM38)*MACROMICROELEMENTOS!$CN38*MACROMICROELEMENTOS!$D38*(1/MACROMICROELEMENTOS!$C38)*MACROMICROELEMENTOS!$E38))</f>
        <v/>
      </c>
    </row>
    <row r="39" spans="1:93" x14ac:dyDescent="0.3">
      <c r="A39" s="19" t="str">
        <f>IF(Pesada!A39="","",Pesada!A39)</f>
        <v/>
      </c>
      <c r="B39" s="16" t="str">
        <f>IF(Pesada!B39="","",Pesada!B39)</f>
        <v/>
      </c>
      <c r="C39" s="20" t="str">
        <f>IF(Pesada!C39="","",VALUE(Pesada!C39))</f>
        <v/>
      </c>
      <c r="D39" s="23">
        <v>100</v>
      </c>
      <c r="E39" s="30" t="str">
        <f>IF(METALESPESADOS!E39="","",METALESPESADOS!E39)</f>
        <v/>
      </c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17" t="str">
        <f>IF(AND(MACROMICROELEMENTOS!$U39="",MACROMICROELEMENTOS!$V39="",MACROMICROELEMENTOS!$W39="",MACROMICROELEMENTOS!$X39=""),"",AVERAGE(MACROMICROELEMENTOS!$U39,MACROMICROELEMENTOS!$V39,MACROMICROELEMENTOS!$W39,MACROMICROELEMENTOS!$X39))</f>
        <v/>
      </c>
      <c r="BJ39" s="23">
        <v>1</v>
      </c>
      <c r="BK39" s="31" t="str">
        <f>IF(OR(MACROMICROELEMENTOS!$A39="",MACROMICROELEMENTOS!$B39="",MACROMICROELEMENTOS!$C39="",MACROMICROELEMENTOS!$D39="",MACROMICROELEMENTOS!$E39="",MACROMICROELEMENTOS!$F39="",MACROMICROELEMENTOS!$BI39="",MACROMICROELEMENTOS!$BJ39=""),"",((MACROMICROELEMENTOS!$F39-MACROMICROELEMENTOS!$BI39)*MACROMICROELEMENTOS!$BJ39*MACROMICROELEMENTOS!$D39*(1/MACROMICROELEMENTOS!$C39)*MACROMICROELEMENTOS!$E39))</f>
        <v/>
      </c>
      <c r="BL39" s="17" t="str">
        <f>IF(AND(MACROMICROELEMENTOS!$Y39="",MACROMICROELEMENTOS!$Z39="",MACROMICROELEMENTOS!$AA39="",MACROMICROELEMENTOS!$AB39=""),"",AVERAGE(MACROMICROELEMENTOS!$Y39,MACROMICROELEMENTOS!$Z39,MACROMICROELEMENTOS!$AA39,MACROMICROELEMENTOS!$AB39))</f>
        <v/>
      </c>
      <c r="BM39" s="23">
        <v>1</v>
      </c>
      <c r="BN39" s="31" t="str">
        <f>IF(OR(MACROMICROELEMENTOS!$A39="",MACROMICROELEMENTOS!$B39="",MACROMICROELEMENTOS!$C39="",MACROMICROELEMENTOS!$D39="",MACROMICROELEMENTOS!$E39="",MACROMICROELEMENTOS!$G39="",MACROMICROELEMENTOS!$BL39="",MACROMICROELEMENTOS!$BM39=""),"",((MACROMICROELEMENTOS!$G39-MACROMICROELEMENTOS!$BL39)*MACROMICROELEMENTOS!$BM39*MACROMICROELEMENTOS!$D39*(1/MACROMICROELEMENTOS!$C39)*MACROMICROELEMENTOS!$E39/1000))</f>
        <v/>
      </c>
      <c r="BO39" s="17" t="str">
        <f>IF(AND(MACROMICROELEMENTOS!$AC39="",MACROMICROELEMENTOS!$AD39="",MACROMICROELEMENTOS!$AE39="",MACROMICROELEMENTOS!$AF39=""),"",AVERAGE(MACROMICROELEMENTOS!$AC39,MACROMICROELEMENTOS!$AD39,MACROMICROELEMENTOS!$AE39,MACROMICROELEMENTOS!$AF39))</f>
        <v/>
      </c>
      <c r="BP39" s="23">
        <v>1</v>
      </c>
      <c r="BQ39" s="31" t="str">
        <f>IF(OR(MACROMICROELEMENTOS!$A39="",MACROMICROELEMENTOS!$B39="",MACROMICROELEMENTOS!$C39="",MACROMICROELEMENTOS!$D39="",MACROMICROELEMENTOS!$E39="",MACROMICROELEMENTOS!$H39="",MACROMICROELEMENTOS!$BO39="",MACROMICROELEMENTOS!$BP39=""),"",((MACROMICROELEMENTOS!$H39-MACROMICROELEMENTOS!$BO39)*MACROMICROELEMENTOS!$BP39*MACROMICROELEMENTOS!$D39*(1/MACROMICROELEMENTOS!$C39)*MACROMICROELEMENTOS!$E39))</f>
        <v/>
      </c>
      <c r="BR39" s="17" t="str">
        <f>IF(AND(MACROMICROELEMENTOS!$Q39="",MACROMICROELEMENTOS!$R39="",MACROMICROELEMENTOS!$S39="",MACROMICROELEMENTOS!$T39=""),"",AVERAGE(MACROMICROELEMENTOS!$Q39,MACROMICROELEMENTOS!$R39,MACROMICROELEMENTOS!$S39,MACROMICROELEMENTOS!$T39))</f>
        <v/>
      </c>
      <c r="BS39" s="23">
        <v>1</v>
      </c>
      <c r="BT39" s="31" t="str">
        <f>IF(OR(MACROMICROELEMENTOS!$A39="",MACROMICROELEMENTOS!$B39="",MACROMICROELEMENTOS!$C39="",MACROMICROELEMENTOS!$D39="",MACROMICROELEMENTOS!$E39="",MACROMICROELEMENTOS!$I39="",MACROMICROELEMENTOS!$BR39="",MACROMICROELEMENTOS!$BS39=""),"",((MACROMICROELEMENTOS!$I39-MACROMICROELEMENTOS!$BR39)*MACROMICROELEMENTOS!$BS39*MACROMICROELEMENTOS!$D39*(1/MACROMICROELEMENTOS!$C39)*MACROMICROELEMENTOS!$E39))</f>
        <v/>
      </c>
      <c r="BU39" s="17" t="str">
        <f>IF(AND(MACROMICROELEMENTOS!$AG39="",MACROMICROELEMENTOS!$AH39="",MACROMICROELEMENTOS!$AI39="",MACROMICROELEMENTOS!$AJ39=""),"",AVERAGE(MACROMICROELEMENTOS!$AG39,MACROMICROELEMENTOS!$AH39,MACROMICROELEMENTOS!$AI39,MACROMICROELEMENTOS!$AJ39))</f>
        <v/>
      </c>
      <c r="BV39" s="23">
        <v>1</v>
      </c>
      <c r="BW39" s="31" t="str">
        <f>IF(OR(MACROMICROELEMENTOS!$A39="",MACROMICROELEMENTOS!$B39="",MACROMICROELEMENTOS!$C39="",MACROMICROELEMENTOS!$D39="",MACROMICROELEMENTOS!$E39="",MACROMICROELEMENTOS!$J39="",MACROMICROELEMENTOS!$BU39="",MACROMICROELEMENTOS!$BV39=""),"",((MACROMICROELEMENTOS!$J39-MACROMICROELEMENTOS!$BU39)*MACROMICROELEMENTOS!$BV39*MACROMICROELEMENTOS!$D39*(1/MACROMICROELEMENTOS!$C39)*MACROMICROELEMENTOS!$E39))</f>
        <v/>
      </c>
      <c r="BX39" s="17" t="str">
        <f>IF(AND(MACROMICROELEMENTOS!$AK39="",MACROMICROELEMENTOS!$AL39="",MACROMICROELEMENTOS!$AM39="",MACROMICROELEMENTOS!$AN39=""),"",AVERAGE(MACROMICROELEMENTOS!$AK39,MACROMICROELEMENTOS!$AL39,MACROMICROELEMENTOS!$AM39,MACROMICROELEMENTOS!$AN39))</f>
        <v/>
      </c>
      <c r="BY39" s="23">
        <v>1</v>
      </c>
      <c r="BZ39" s="31" t="str">
        <f>IF(OR(MACROMICROELEMENTOS!$A39="",MACROMICROELEMENTOS!$B39="",MACROMICROELEMENTOS!$C39="",MACROMICROELEMENTOS!$D39="",MACROMICROELEMENTOS!$E39="",MACROMICROELEMENTOS!$K39="",MACROMICROELEMENTOS!$BX39="",MACROMICROELEMENTOS!$BY39=""),"",((MACROMICROELEMENTOS!$K39-MACROMICROELEMENTOS!$BX39)*MACROMICROELEMENTOS!$BY39*MACROMICROELEMENTOS!$D39*(1/MACROMICROELEMENTOS!$C39)*MACROMICROELEMENTOS!$E39))</f>
        <v/>
      </c>
      <c r="CA39" s="17" t="str">
        <f>IF(AND(MACROMICROELEMENTOS!$AO39="",MACROMICROELEMENTOS!$AP39="",MACROMICROELEMENTOS!$AQ39="",MACROMICROELEMENTOS!$AR39=""),"",AVERAGE(MACROMICROELEMENTOS!$AO39,MACROMICROELEMENTOS!$AP39,MACROMICROELEMENTOS!$AQ39,MACROMICROELEMENTOS!$AR39))</f>
        <v/>
      </c>
      <c r="CB39" s="23">
        <v>1</v>
      </c>
      <c r="CC39" s="31" t="str">
        <f>IF(OR(MACROMICROELEMENTOS!$A39="",MACROMICROELEMENTOS!$B39="",MACROMICROELEMENTOS!$C39="",MACROMICROELEMENTOS!$D39="",MACROMICROELEMENTOS!$E39="",MACROMICROELEMENTOS!$L39="",MACROMICROELEMENTOS!$CA39="",MACROMICROELEMENTOS!$CB39=""),"",((MACROMICROELEMENTOS!$L39-MACROMICROELEMENTOS!$CA39)*MACROMICROELEMENTOS!$CB39*MACROMICROELEMENTOS!$D39*(1/MACROMICROELEMENTOS!$C39)*MACROMICROELEMENTOS!$E39))</f>
        <v/>
      </c>
      <c r="CD39" s="17" t="str">
        <f>IF(AND(MACROMICROELEMENTOS!$AS39="",MACROMICROELEMENTOS!$AT39="",MACROMICROELEMENTOS!$AU39="",MACROMICROELEMENTOS!$AV39=""),"",AVERAGE(MACROMICROELEMENTOS!$AS39,MACROMICROELEMENTOS!$AT39,MACROMICROELEMENTOS!$AU39,MACROMICROELEMENTOS!$AV39))</f>
        <v/>
      </c>
      <c r="CE39" s="23">
        <v>1</v>
      </c>
      <c r="CF39" s="31" t="str">
        <f>IF(OR(MACROMICROELEMENTOS!$A39="",MACROMICROELEMENTOS!$B39="",MACROMICROELEMENTOS!$C39="",MACROMICROELEMENTOS!$D39="",MACROMICROELEMENTOS!$E39="",MACROMICROELEMENTOS!$M39="",MACROMICROELEMENTOS!$CD39="",MACROMICROELEMENTOS!$CE39=""),"",((MACROMICROELEMENTOS!$M39-MACROMICROELEMENTOS!$CD39)*MACROMICROELEMENTOS!$CE39*MACROMICROELEMENTOS!$D39*(1/MACROMICROELEMENTOS!$C39)*MACROMICROELEMENTOS!$E39))</f>
        <v/>
      </c>
      <c r="CG39" s="17" t="str">
        <f>IF(AND(MACROMICROELEMENTOS!$AW39="",MACROMICROELEMENTOS!$AX39="",MACROMICROELEMENTOS!$AY39="",MACROMICROELEMENTOS!$AZ39=""),"",AVERAGE(MACROMICROELEMENTOS!$AW39,MACROMICROELEMENTOS!$AX39,MACROMICROELEMENTOS!$AY39,MACROMICROELEMENTOS!$AZ39))</f>
        <v/>
      </c>
      <c r="CH39" s="23">
        <v>1</v>
      </c>
      <c r="CI39" s="31" t="str">
        <f>IF(OR(MACROMICROELEMENTOS!$A39="",MACROMICROELEMENTOS!$B39="",MACROMICROELEMENTOS!$C39="",MACROMICROELEMENTOS!$D39="",MACROMICROELEMENTOS!$E39="",MACROMICROELEMENTOS!$N39="",MACROMICROELEMENTOS!$CG39="",MACROMICROELEMENTOS!$CH39=""),"",((MACROMICROELEMENTOS!$N39-MACROMICROELEMENTOS!$CG39)*MACROMICROELEMENTOS!$CH39*MACROMICROELEMENTOS!$D39*(1/MACROMICROELEMENTOS!$C39)*MACROMICROELEMENTOS!$E39))</f>
        <v/>
      </c>
      <c r="CJ39" s="17" t="str">
        <f>IF(AND(MACROMICROELEMENTOS!$BA39="",MACROMICROELEMENTOS!$BB39="",MACROMICROELEMENTOS!$BC39="",MACROMICROELEMENTOS!$BD39=""),"",IF(O39&gt;2,0,AVERAGE(MACROMICROELEMENTOS!$BA39,MACROMICROELEMENTOS!$BB39,MACROMICROELEMENTOS!$BC39,MACROMICROELEMENTOS!$BD39)))</f>
        <v/>
      </c>
      <c r="CK39" s="23">
        <v>1</v>
      </c>
      <c r="CL39" s="31" t="str">
        <f>IF(OR(MACROMICROELEMENTOS!$A39="",MACROMICROELEMENTOS!$B39="",MACROMICROELEMENTOS!$C39="",MACROMICROELEMENTOS!$D39="",MACROMICROELEMENTOS!$E39="",MACROMICROELEMENTOS!$O39="",MACROMICROELEMENTOS!$CJ39="",MACROMICROELEMENTOS!$CK39=""),"",((MACROMICROELEMENTOS!$O39-MACROMICROELEMENTOS!$CJ39)*MACROMICROELEMENTOS!$CK39*MACROMICROELEMENTOS!$D39*(1/MACROMICROELEMENTOS!$C39)*MACROMICROELEMENTOS!$E39))</f>
        <v/>
      </c>
      <c r="CM39" s="17" t="str">
        <f>IF(AND(MACROMICROELEMENTOS!$BE39="",MACROMICROELEMENTOS!$BF39="",MACROMICROELEMENTOS!$BG39="",MACROMICROELEMENTOS!$BH39=""),"",AVERAGE(MACROMICROELEMENTOS!$BE39,MACROMICROELEMENTOS!$BF39,MACROMICROELEMENTOS!$BG39,MACROMICROELEMENTOS!$BH39))</f>
        <v/>
      </c>
      <c r="CN39" s="23">
        <v>1</v>
      </c>
      <c r="CO39" s="31" t="str">
        <f>IF(OR(MACROMICROELEMENTOS!$A39="",MACROMICROELEMENTOS!$B39="",MACROMICROELEMENTOS!$C39="",MACROMICROELEMENTOS!$D39="",MACROMICROELEMENTOS!$E39="",MACROMICROELEMENTOS!$P39="",MACROMICROELEMENTOS!$CM39="",MACROMICROELEMENTOS!$CN39=""),"",((MACROMICROELEMENTOS!$P39-MACROMICROELEMENTOS!$CM39)*MACROMICROELEMENTOS!$CN39*MACROMICROELEMENTOS!$D39*(1/MACROMICROELEMENTOS!$C39)*MACROMICROELEMENTOS!$E39))</f>
        <v/>
      </c>
    </row>
    <row r="40" spans="1:93" x14ac:dyDescent="0.3">
      <c r="A40" s="19" t="str">
        <f>IF(Pesada!A40="","",Pesada!A40)</f>
        <v/>
      </c>
      <c r="B40" s="16" t="str">
        <f>IF(Pesada!B40="","",Pesada!B40)</f>
        <v/>
      </c>
      <c r="C40" s="20" t="str">
        <f>IF(Pesada!C40="","",VALUE(Pesada!C40))</f>
        <v/>
      </c>
      <c r="D40" s="23">
        <v>100</v>
      </c>
      <c r="E40" s="30" t="str">
        <f>IF(METALESPESADOS!E40="","",METALESPESADOS!E40)</f>
        <v/>
      </c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17" t="str">
        <f>IF(AND(MACROMICROELEMENTOS!$U40="",MACROMICROELEMENTOS!$V40="",MACROMICROELEMENTOS!$W40="",MACROMICROELEMENTOS!$X40=""),"",AVERAGE(MACROMICROELEMENTOS!$U40,MACROMICROELEMENTOS!$V40,MACROMICROELEMENTOS!$W40,MACROMICROELEMENTOS!$X40))</f>
        <v/>
      </c>
      <c r="BJ40" s="23">
        <v>1</v>
      </c>
      <c r="BK40" s="31" t="str">
        <f>IF(OR(MACROMICROELEMENTOS!$A40="",MACROMICROELEMENTOS!$B40="",MACROMICROELEMENTOS!$C40="",MACROMICROELEMENTOS!$D40="",MACROMICROELEMENTOS!$E40="",MACROMICROELEMENTOS!$F40="",MACROMICROELEMENTOS!$BI40="",MACROMICROELEMENTOS!$BJ40=""),"",((MACROMICROELEMENTOS!$F40-MACROMICROELEMENTOS!$BI40)*MACROMICROELEMENTOS!$BJ40*MACROMICROELEMENTOS!$D40*(1/MACROMICROELEMENTOS!$C40)*MACROMICROELEMENTOS!$E40))</f>
        <v/>
      </c>
      <c r="BL40" s="17" t="str">
        <f>IF(AND(MACROMICROELEMENTOS!$Y40="",MACROMICROELEMENTOS!$Z40="",MACROMICROELEMENTOS!$AA40="",MACROMICROELEMENTOS!$AB40=""),"",AVERAGE(MACROMICROELEMENTOS!$Y40,MACROMICROELEMENTOS!$Z40,MACROMICROELEMENTOS!$AA40,MACROMICROELEMENTOS!$AB40))</f>
        <v/>
      </c>
      <c r="BM40" s="23">
        <v>1</v>
      </c>
      <c r="BN40" s="31" t="str">
        <f>IF(OR(MACROMICROELEMENTOS!$A40="",MACROMICROELEMENTOS!$B40="",MACROMICROELEMENTOS!$C40="",MACROMICROELEMENTOS!$D40="",MACROMICROELEMENTOS!$E40="",MACROMICROELEMENTOS!$G40="",MACROMICROELEMENTOS!$BL40="",MACROMICROELEMENTOS!$BM40=""),"",((MACROMICROELEMENTOS!$G40-MACROMICROELEMENTOS!$BL40)*MACROMICROELEMENTOS!$BM40*MACROMICROELEMENTOS!$D40*(1/MACROMICROELEMENTOS!$C40)*MACROMICROELEMENTOS!$E40/1000))</f>
        <v/>
      </c>
      <c r="BO40" s="17" t="str">
        <f>IF(AND(MACROMICROELEMENTOS!$AC40="",MACROMICROELEMENTOS!$AD40="",MACROMICROELEMENTOS!$AE40="",MACROMICROELEMENTOS!$AF40=""),"",AVERAGE(MACROMICROELEMENTOS!$AC40,MACROMICROELEMENTOS!$AD40,MACROMICROELEMENTOS!$AE40,MACROMICROELEMENTOS!$AF40))</f>
        <v/>
      </c>
      <c r="BP40" s="23">
        <v>1</v>
      </c>
      <c r="BQ40" s="31" t="str">
        <f>IF(OR(MACROMICROELEMENTOS!$A40="",MACROMICROELEMENTOS!$B40="",MACROMICROELEMENTOS!$C40="",MACROMICROELEMENTOS!$D40="",MACROMICROELEMENTOS!$E40="",MACROMICROELEMENTOS!$H40="",MACROMICROELEMENTOS!$BO40="",MACROMICROELEMENTOS!$BP40=""),"",((MACROMICROELEMENTOS!$H40-MACROMICROELEMENTOS!$BO40)*MACROMICROELEMENTOS!$BP40*MACROMICROELEMENTOS!$D40*(1/MACROMICROELEMENTOS!$C40)*MACROMICROELEMENTOS!$E40))</f>
        <v/>
      </c>
      <c r="BR40" s="17" t="str">
        <f>IF(AND(MACROMICROELEMENTOS!$Q40="",MACROMICROELEMENTOS!$R40="",MACROMICROELEMENTOS!$S40="",MACROMICROELEMENTOS!$T40=""),"",AVERAGE(MACROMICROELEMENTOS!$Q40,MACROMICROELEMENTOS!$R40,MACROMICROELEMENTOS!$S40,MACROMICROELEMENTOS!$T40))</f>
        <v/>
      </c>
      <c r="BS40" s="23">
        <v>1</v>
      </c>
      <c r="BT40" s="31" t="str">
        <f>IF(OR(MACROMICROELEMENTOS!$A40="",MACROMICROELEMENTOS!$B40="",MACROMICROELEMENTOS!$C40="",MACROMICROELEMENTOS!$D40="",MACROMICROELEMENTOS!$E40="",MACROMICROELEMENTOS!$I40="",MACROMICROELEMENTOS!$BR40="",MACROMICROELEMENTOS!$BS40=""),"",((MACROMICROELEMENTOS!$I40-MACROMICROELEMENTOS!$BR40)*MACROMICROELEMENTOS!$BS40*MACROMICROELEMENTOS!$D40*(1/MACROMICROELEMENTOS!$C40)*MACROMICROELEMENTOS!$E40))</f>
        <v/>
      </c>
      <c r="BU40" s="17" t="str">
        <f>IF(AND(MACROMICROELEMENTOS!$AG40="",MACROMICROELEMENTOS!$AH40="",MACROMICROELEMENTOS!$AI40="",MACROMICROELEMENTOS!$AJ40=""),"",AVERAGE(MACROMICROELEMENTOS!$AG40,MACROMICROELEMENTOS!$AH40,MACROMICROELEMENTOS!$AI40,MACROMICROELEMENTOS!$AJ40))</f>
        <v/>
      </c>
      <c r="BV40" s="23">
        <v>1</v>
      </c>
      <c r="BW40" s="31" t="str">
        <f>IF(OR(MACROMICROELEMENTOS!$A40="",MACROMICROELEMENTOS!$B40="",MACROMICROELEMENTOS!$C40="",MACROMICROELEMENTOS!$D40="",MACROMICROELEMENTOS!$E40="",MACROMICROELEMENTOS!$J40="",MACROMICROELEMENTOS!$BU40="",MACROMICROELEMENTOS!$BV40=""),"",((MACROMICROELEMENTOS!$J40-MACROMICROELEMENTOS!$BU40)*MACROMICROELEMENTOS!$BV40*MACROMICROELEMENTOS!$D40*(1/MACROMICROELEMENTOS!$C40)*MACROMICROELEMENTOS!$E40))</f>
        <v/>
      </c>
      <c r="BX40" s="17" t="str">
        <f>IF(AND(MACROMICROELEMENTOS!$AK40="",MACROMICROELEMENTOS!$AL40="",MACROMICROELEMENTOS!$AM40="",MACROMICROELEMENTOS!$AN40=""),"",AVERAGE(MACROMICROELEMENTOS!$AK40,MACROMICROELEMENTOS!$AL40,MACROMICROELEMENTOS!$AM40,MACROMICROELEMENTOS!$AN40))</f>
        <v/>
      </c>
      <c r="BY40" s="23">
        <v>1</v>
      </c>
      <c r="BZ40" s="31" t="str">
        <f>IF(OR(MACROMICROELEMENTOS!$A40="",MACROMICROELEMENTOS!$B40="",MACROMICROELEMENTOS!$C40="",MACROMICROELEMENTOS!$D40="",MACROMICROELEMENTOS!$E40="",MACROMICROELEMENTOS!$K40="",MACROMICROELEMENTOS!$BX40="",MACROMICROELEMENTOS!$BY40=""),"",((MACROMICROELEMENTOS!$K40-MACROMICROELEMENTOS!$BX40)*MACROMICROELEMENTOS!$BY40*MACROMICROELEMENTOS!$D40*(1/MACROMICROELEMENTOS!$C40)*MACROMICROELEMENTOS!$E40))</f>
        <v/>
      </c>
      <c r="CA40" s="17" t="str">
        <f>IF(AND(MACROMICROELEMENTOS!$AO40="",MACROMICROELEMENTOS!$AP40="",MACROMICROELEMENTOS!$AQ40="",MACROMICROELEMENTOS!$AR40=""),"",AVERAGE(MACROMICROELEMENTOS!$AO40,MACROMICROELEMENTOS!$AP40,MACROMICROELEMENTOS!$AQ40,MACROMICROELEMENTOS!$AR40))</f>
        <v/>
      </c>
      <c r="CB40" s="23">
        <v>1</v>
      </c>
      <c r="CC40" s="31" t="str">
        <f>IF(OR(MACROMICROELEMENTOS!$A40="",MACROMICROELEMENTOS!$B40="",MACROMICROELEMENTOS!$C40="",MACROMICROELEMENTOS!$D40="",MACROMICROELEMENTOS!$E40="",MACROMICROELEMENTOS!$L40="",MACROMICROELEMENTOS!$CA40="",MACROMICROELEMENTOS!$CB40=""),"",((MACROMICROELEMENTOS!$L40-MACROMICROELEMENTOS!$CA40)*MACROMICROELEMENTOS!$CB40*MACROMICROELEMENTOS!$D40*(1/MACROMICROELEMENTOS!$C40)*MACROMICROELEMENTOS!$E40))</f>
        <v/>
      </c>
      <c r="CD40" s="17" t="str">
        <f>IF(AND(MACROMICROELEMENTOS!$AS40="",MACROMICROELEMENTOS!$AT40="",MACROMICROELEMENTOS!$AU40="",MACROMICROELEMENTOS!$AV40=""),"",AVERAGE(MACROMICROELEMENTOS!$AS40,MACROMICROELEMENTOS!$AT40,MACROMICROELEMENTOS!$AU40,MACROMICROELEMENTOS!$AV40))</f>
        <v/>
      </c>
      <c r="CE40" s="23">
        <v>1</v>
      </c>
      <c r="CF40" s="31" t="str">
        <f>IF(OR(MACROMICROELEMENTOS!$A40="",MACROMICROELEMENTOS!$B40="",MACROMICROELEMENTOS!$C40="",MACROMICROELEMENTOS!$D40="",MACROMICROELEMENTOS!$E40="",MACROMICROELEMENTOS!$M40="",MACROMICROELEMENTOS!$CD40="",MACROMICROELEMENTOS!$CE40=""),"",((MACROMICROELEMENTOS!$M40-MACROMICROELEMENTOS!$CD40)*MACROMICROELEMENTOS!$CE40*MACROMICROELEMENTOS!$D40*(1/MACROMICROELEMENTOS!$C40)*MACROMICROELEMENTOS!$E40))</f>
        <v/>
      </c>
      <c r="CG40" s="17" t="str">
        <f>IF(AND(MACROMICROELEMENTOS!$AW40="",MACROMICROELEMENTOS!$AX40="",MACROMICROELEMENTOS!$AY40="",MACROMICROELEMENTOS!$AZ40=""),"",AVERAGE(MACROMICROELEMENTOS!$AW40,MACROMICROELEMENTOS!$AX40,MACROMICROELEMENTOS!$AY40,MACROMICROELEMENTOS!$AZ40))</f>
        <v/>
      </c>
      <c r="CH40" s="23">
        <v>1</v>
      </c>
      <c r="CI40" s="31" t="str">
        <f>IF(OR(MACROMICROELEMENTOS!$A40="",MACROMICROELEMENTOS!$B40="",MACROMICROELEMENTOS!$C40="",MACROMICROELEMENTOS!$D40="",MACROMICROELEMENTOS!$E40="",MACROMICROELEMENTOS!$N40="",MACROMICROELEMENTOS!$CG40="",MACROMICROELEMENTOS!$CH40=""),"",((MACROMICROELEMENTOS!$N40-MACROMICROELEMENTOS!$CG40)*MACROMICROELEMENTOS!$CH40*MACROMICROELEMENTOS!$D40*(1/MACROMICROELEMENTOS!$C40)*MACROMICROELEMENTOS!$E40))</f>
        <v/>
      </c>
      <c r="CJ40" s="17" t="str">
        <f>IF(AND(MACROMICROELEMENTOS!$BA40="",MACROMICROELEMENTOS!$BB40="",MACROMICROELEMENTOS!$BC40="",MACROMICROELEMENTOS!$BD40=""),"",IF(O40&gt;2,0,AVERAGE(MACROMICROELEMENTOS!$BA40,MACROMICROELEMENTOS!$BB40,MACROMICROELEMENTOS!$BC40,MACROMICROELEMENTOS!$BD40)))</f>
        <v/>
      </c>
      <c r="CK40" s="23">
        <v>1</v>
      </c>
      <c r="CL40" s="31" t="str">
        <f>IF(OR(MACROMICROELEMENTOS!$A40="",MACROMICROELEMENTOS!$B40="",MACROMICROELEMENTOS!$C40="",MACROMICROELEMENTOS!$D40="",MACROMICROELEMENTOS!$E40="",MACROMICROELEMENTOS!$O40="",MACROMICROELEMENTOS!$CJ40="",MACROMICROELEMENTOS!$CK40=""),"",((MACROMICROELEMENTOS!$O40-MACROMICROELEMENTOS!$CJ40)*MACROMICROELEMENTOS!$CK40*MACROMICROELEMENTOS!$D40*(1/MACROMICROELEMENTOS!$C40)*MACROMICROELEMENTOS!$E40))</f>
        <v/>
      </c>
      <c r="CM40" s="17" t="str">
        <f>IF(AND(MACROMICROELEMENTOS!$BE40="",MACROMICROELEMENTOS!$BF40="",MACROMICROELEMENTOS!$BG40="",MACROMICROELEMENTOS!$BH40=""),"",AVERAGE(MACROMICROELEMENTOS!$BE40,MACROMICROELEMENTOS!$BF40,MACROMICROELEMENTOS!$BG40,MACROMICROELEMENTOS!$BH40))</f>
        <v/>
      </c>
      <c r="CN40" s="23">
        <v>1</v>
      </c>
      <c r="CO40" s="31" t="str">
        <f>IF(OR(MACROMICROELEMENTOS!$A40="",MACROMICROELEMENTOS!$B40="",MACROMICROELEMENTOS!$C40="",MACROMICROELEMENTOS!$D40="",MACROMICROELEMENTOS!$E40="",MACROMICROELEMENTOS!$P40="",MACROMICROELEMENTOS!$CM40="",MACROMICROELEMENTOS!$CN40=""),"",((MACROMICROELEMENTOS!$P40-MACROMICROELEMENTOS!$CM40)*MACROMICROELEMENTOS!$CN40*MACROMICROELEMENTOS!$D40*(1/MACROMICROELEMENTOS!$C40)*MACROMICROELEMENTOS!$E40))</f>
        <v/>
      </c>
    </row>
    <row r="41" spans="1:93" x14ac:dyDescent="0.3">
      <c r="A41" s="19" t="str">
        <f>IF(Pesada!A41="","",Pesada!A41)</f>
        <v/>
      </c>
      <c r="B41" s="16" t="str">
        <f>IF(Pesada!B41="","",Pesada!B41)</f>
        <v/>
      </c>
      <c r="C41" s="20" t="str">
        <f>IF(Pesada!C41="","",VALUE(Pesada!C41))</f>
        <v/>
      </c>
      <c r="D41" s="23">
        <v>100</v>
      </c>
      <c r="E41" s="30" t="str">
        <f>IF(METALESPESADOS!E41="","",METALESPESADOS!E41)</f>
        <v/>
      </c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17" t="str">
        <f>IF(AND(MACROMICROELEMENTOS!$U41="",MACROMICROELEMENTOS!$V41="",MACROMICROELEMENTOS!$W41="",MACROMICROELEMENTOS!$X41=""),"",AVERAGE(MACROMICROELEMENTOS!$U41,MACROMICROELEMENTOS!$V41,MACROMICROELEMENTOS!$W41,MACROMICROELEMENTOS!$X41))</f>
        <v/>
      </c>
      <c r="BJ41" s="23">
        <v>1</v>
      </c>
      <c r="BK41" s="31" t="str">
        <f>IF(OR(MACROMICROELEMENTOS!$A41="",MACROMICROELEMENTOS!$B41="",MACROMICROELEMENTOS!$C41="",MACROMICROELEMENTOS!$D41="",MACROMICROELEMENTOS!$E41="",MACROMICROELEMENTOS!$F41="",MACROMICROELEMENTOS!$BI41="",MACROMICROELEMENTOS!$BJ41=""),"",((MACROMICROELEMENTOS!$F41-MACROMICROELEMENTOS!$BI41)*MACROMICROELEMENTOS!$BJ41*MACROMICROELEMENTOS!$D41*(1/MACROMICROELEMENTOS!$C41)*MACROMICROELEMENTOS!$E41))</f>
        <v/>
      </c>
      <c r="BL41" s="17" t="str">
        <f>IF(AND(MACROMICROELEMENTOS!$Y41="",MACROMICROELEMENTOS!$Z41="",MACROMICROELEMENTOS!$AA41="",MACROMICROELEMENTOS!$AB41=""),"",AVERAGE(MACROMICROELEMENTOS!$Y41,MACROMICROELEMENTOS!$Z41,MACROMICROELEMENTOS!$AA41,MACROMICROELEMENTOS!$AB41))</f>
        <v/>
      </c>
      <c r="BM41" s="23">
        <v>1</v>
      </c>
      <c r="BN41" s="31" t="str">
        <f>IF(OR(MACROMICROELEMENTOS!$A41="",MACROMICROELEMENTOS!$B41="",MACROMICROELEMENTOS!$C41="",MACROMICROELEMENTOS!$D41="",MACROMICROELEMENTOS!$E41="",MACROMICROELEMENTOS!$G41="",MACROMICROELEMENTOS!$BL41="",MACROMICROELEMENTOS!$BM41=""),"",((MACROMICROELEMENTOS!$G41-MACROMICROELEMENTOS!$BL41)*MACROMICROELEMENTOS!$BM41*MACROMICROELEMENTOS!$D41*(1/MACROMICROELEMENTOS!$C41)*MACROMICROELEMENTOS!$E41/1000))</f>
        <v/>
      </c>
      <c r="BO41" s="17" t="str">
        <f>IF(AND(MACROMICROELEMENTOS!$AC41="",MACROMICROELEMENTOS!$AD41="",MACROMICROELEMENTOS!$AE41="",MACROMICROELEMENTOS!$AF41=""),"",AVERAGE(MACROMICROELEMENTOS!$AC41,MACROMICROELEMENTOS!$AD41,MACROMICROELEMENTOS!$AE41,MACROMICROELEMENTOS!$AF41))</f>
        <v/>
      </c>
      <c r="BP41" s="23">
        <v>1</v>
      </c>
      <c r="BQ41" s="31" t="str">
        <f>IF(OR(MACROMICROELEMENTOS!$A41="",MACROMICROELEMENTOS!$B41="",MACROMICROELEMENTOS!$C41="",MACROMICROELEMENTOS!$D41="",MACROMICROELEMENTOS!$E41="",MACROMICROELEMENTOS!$H41="",MACROMICROELEMENTOS!$BO41="",MACROMICROELEMENTOS!$BP41=""),"",((MACROMICROELEMENTOS!$H41-MACROMICROELEMENTOS!$BO41)*MACROMICROELEMENTOS!$BP41*MACROMICROELEMENTOS!$D41*(1/MACROMICROELEMENTOS!$C41)*MACROMICROELEMENTOS!$E41))</f>
        <v/>
      </c>
      <c r="BR41" s="17" t="str">
        <f>IF(AND(MACROMICROELEMENTOS!$Q41="",MACROMICROELEMENTOS!$R41="",MACROMICROELEMENTOS!$S41="",MACROMICROELEMENTOS!$T41=""),"",AVERAGE(MACROMICROELEMENTOS!$Q41,MACROMICROELEMENTOS!$R41,MACROMICROELEMENTOS!$S41,MACROMICROELEMENTOS!$T41))</f>
        <v/>
      </c>
      <c r="BS41" s="23">
        <v>1</v>
      </c>
      <c r="BT41" s="31" t="str">
        <f>IF(OR(MACROMICROELEMENTOS!$A41="",MACROMICROELEMENTOS!$B41="",MACROMICROELEMENTOS!$C41="",MACROMICROELEMENTOS!$D41="",MACROMICROELEMENTOS!$E41="",MACROMICROELEMENTOS!$I41="",MACROMICROELEMENTOS!$BR41="",MACROMICROELEMENTOS!$BS41=""),"",((MACROMICROELEMENTOS!$I41-MACROMICROELEMENTOS!$BR41)*MACROMICROELEMENTOS!$BS41*MACROMICROELEMENTOS!$D41*(1/MACROMICROELEMENTOS!$C41)*MACROMICROELEMENTOS!$E41))</f>
        <v/>
      </c>
      <c r="BU41" s="17" t="str">
        <f>IF(AND(MACROMICROELEMENTOS!$AG41="",MACROMICROELEMENTOS!$AH41="",MACROMICROELEMENTOS!$AI41="",MACROMICROELEMENTOS!$AJ41=""),"",AVERAGE(MACROMICROELEMENTOS!$AG41,MACROMICROELEMENTOS!$AH41,MACROMICROELEMENTOS!$AI41,MACROMICROELEMENTOS!$AJ41))</f>
        <v/>
      </c>
      <c r="BV41" s="23">
        <v>1</v>
      </c>
      <c r="BW41" s="31" t="str">
        <f>IF(OR(MACROMICROELEMENTOS!$A41="",MACROMICROELEMENTOS!$B41="",MACROMICROELEMENTOS!$C41="",MACROMICROELEMENTOS!$D41="",MACROMICROELEMENTOS!$E41="",MACROMICROELEMENTOS!$J41="",MACROMICROELEMENTOS!$BU41="",MACROMICROELEMENTOS!$BV41=""),"",((MACROMICROELEMENTOS!$J41-MACROMICROELEMENTOS!$BU41)*MACROMICROELEMENTOS!$BV41*MACROMICROELEMENTOS!$D41*(1/MACROMICROELEMENTOS!$C41)*MACROMICROELEMENTOS!$E41))</f>
        <v/>
      </c>
      <c r="BX41" s="17" t="str">
        <f>IF(AND(MACROMICROELEMENTOS!$AK41="",MACROMICROELEMENTOS!$AL41="",MACROMICROELEMENTOS!$AM41="",MACROMICROELEMENTOS!$AN41=""),"",AVERAGE(MACROMICROELEMENTOS!$AK41,MACROMICROELEMENTOS!$AL41,MACROMICROELEMENTOS!$AM41,MACROMICROELEMENTOS!$AN41))</f>
        <v/>
      </c>
      <c r="BY41" s="23">
        <v>1</v>
      </c>
      <c r="BZ41" s="31" t="str">
        <f>IF(OR(MACROMICROELEMENTOS!$A41="",MACROMICROELEMENTOS!$B41="",MACROMICROELEMENTOS!$C41="",MACROMICROELEMENTOS!$D41="",MACROMICROELEMENTOS!$E41="",MACROMICROELEMENTOS!$K41="",MACROMICROELEMENTOS!$BX41="",MACROMICROELEMENTOS!$BY41=""),"",((MACROMICROELEMENTOS!$K41-MACROMICROELEMENTOS!$BX41)*MACROMICROELEMENTOS!$BY41*MACROMICROELEMENTOS!$D41*(1/MACROMICROELEMENTOS!$C41)*MACROMICROELEMENTOS!$E41))</f>
        <v/>
      </c>
      <c r="CA41" s="17" t="str">
        <f>IF(AND(MACROMICROELEMENTOS!$AO41="",MACROMICROELEMENTOS!$AP41="",MACROMICROELEMENTOS!$AQ41="",MACROMICROELEMENTOS!$AR41=""),"",AVERAGE(MACROMICROELEMENTOS!$AO41,MACROMICROELEMENTOS!$AP41,MACROMICROELEMENTOS!$AQ41,MACROMICROELEMENTOS!$AR41))</f>
        <v/>
      </c>
      <c r="CB41" s="23">
        <v>1</v>
      </c>
      <c r="CC41" s="31" t="str">
        <f>IF(OR(MACROMICROELEMENTOS!$A41="",MACROMICROELEMENTOS!$B41="",MACROMICROELEMENTOS!$C41="",MACROMICROELEMENTOS!$D41="",MACROMICROELEMENTOS!$E41="",MACROMICROELEMENTOS!$L41="",MACROMICROELEMENTOS!$CA41="",MACROMICROELEMENTOS!$CB41=""),"",((MACROMICROELEMENTOS!$L41-MACROMICROELEMENTOS!$CA41)*MACROMICROELEMENTOS!$CB41*MACROMICROELEMENTOS!$D41*(1/MACROMICROELEMENTOS!$C41)*MACROMICROELEMENTOS!$E41))</f>
        <v/>
      </c>
      <c r="CD41" s="17" t="str">
        <f>IF(AND(MACROMICROELEMENTOS!$AS41="",MACROMICROELEMENTOS!$AT41="",MACROMICROELEMENTOS!$AU41="",MACROMICROELEMENTOS!$AV41=""),"",AVERAGE(MACROMICROELEMENTOS!$AS41,MACROMICROELEMENTOS!$AT41,MACROMICROELEMENTOS!$AU41,MACROMICROELEMENTOS!$AV41))</f>
        <v/>
      </c>
      <c r="CE41" s="23">
        <v>1</v>
      </c>
      <c r="CF41" s="31" t="str">
        <f>IF(OR(MACROMICROELEMENTOS!$A41="",MACROMICROELEMENTOS!$B41="",MACROMICROELEMENTOS!$C41="",MACROMICROELEMENTOS!$D41="",MACROMICROELEMENTOS!$E41="",MACROMICROELEMENTOS!$M41="",MACROMICROELEMENTOS!$CD41="",MACROMICROELEMENTOS!$CE41=""),"",((MACROMICROELEMENTOS!$M41-MACROMICROELEMENTOS!$CD41)*MACROMICROELEMENTOS!$CE41*MACROMICROELEMENTOS!$D41*(1/MACROMICROELEMENTOS!$C41)*MACROMICROELEMENTOS!$E41))</f>
        <v/>
      </c>
      <c r="CG41" s="17" t="str">
        <f>IF(AND(MACROMICROELEMENTOS!$AW41="",MACROMICROELEMENTOS!$AX41="",MACROMICROELEMENTOS!$AY41="",MACROMICROELEMENTOS!$AZ41=""),"",AVERAGE(MACROMICROELEMENTOS!$AW41,MACROMICROELEMENTOS!$AX41,MACROMICROELEMENTOS!$AY41,MACROMICROELEMENTOS!$AZ41))</f>
        <v/>
      </c>
      <c r="CH41" s="23">
        <v>1</v>
      </c>
      <c r="CI41" s="31" t="str">
        <f>IF(OR(MACROMICROELEMENTOS!$A41="",MACROMICROELEMENTOS!$B41="",MACROMICROELEMENTOS!$C41="",MACROMICROELEMENTOS!$D41="",MACROMICROELEMENTOS!$E41="",MACROMICROELEMENTOS!$N41="",MACROMICROELEMENTOS!$CG41="",MACROMICROELEMENTOS!$CH41=""),"",((MACROMICROELEMENTOS!$N41-MACROMICROELEMENTOS!$CG41)*MACROMICROELEMENTOS!$CH41*MACROMICROELEMENTOS!$D41*(1/MACROMICROELEMENTOS!$C41)*MACROMICROELEMENTOS!$E41))</f>
        <v/>
      </c>
      <c r="CJ41" s="17" t="str">
        <f>IF(AND(MACROMICROELEMENTOS!$BA41="",MACROMICROELEMENTOS!$BB41="",MACROMICROELEMENTOS!$BC41="",MACROMICROELEMENTOS!$BD41=""),"",IF(O41&gt;2,0,AVERAGE(MACROMICROELEMENTOS!$BA41,MACROMICROELEMENTOS!$BB41,MACROMICROELEMENTOS!$BC41,MACROMICROELEMENTOS!$BD41)))</f>
        <v/>
      </c>
      <c r="CK41" s="23">
        <v>1</v>
      </c>
      <c r="CL41" s="31" t="str">
        <f>IF(OR(MACROMICROELEMENTOS!$A41="",MACROMICROELEMENTOS!$B41="",MACROMICROELEMENTOS!$C41="",MACROMICROELEMENTOS!$D41="",MACROMICROELEMENTOS!$E41="",MACROMICROELEMENTOS!$O41="",MACROMICROELEMENTOS!$CJ41="",MACROMICROELEMENTOS!$CK41=""),"",((MACROMICROELEMENTOS!$O41-MACROMICROELEMENTOS!$CJ41)*MACROMICROELEMENTOS!$CK41*MACROMICROELEMENTOS!$D41*(1/MACROMICROELEMENTOS!$C41)*MACROMICROELEMENTOS!$E41))</f>
        <v/>
      </c>
      <c r="CM41" s="17" t="str">
        <f>IF(AND(MACROMICROELEMENTOS!$BE41="",MACROMICROELEMENTOS!$BF41="",MACROMICROELEMENTOS!$BG41="",MACROMICROELEMENTOS!$BH41=""),"",AVERAGE(MACROMICROELEMENTOS!$BE41,MACROMICROELEMENTOS!$BF41,MACROMICROELEMENTOS!$BG41,MACROMICROELEMENTOS!$BH41))</f>
        <v/>
      </c>
      <c r="CN41" s="23">
        <v>1</v>
      </c>
      <c r="CO41" s="31" t="str">
        <f>IF(OR(MACROMICROELEMENTOS!$A41="",MACROMICROELEMENTOS!$B41="",MACROMICROELEMENTOS!$C41="",MACROMICROELEMENTOS!$D41="",MACROMICROELEMENTOS!$E41="",MACROMICROELEMENTOS!$P41="",MACROMICROELEMENTOS!$CM41="",MACROMICROELEMENTOS!$CN41=""),"",((MACROMICROELEMENTOS!$P41-MACROMICROELEMENTOS!$CM41)*MACROMICROELEMENTOS!$CN41*MACROMICROELEMENTOS!$D41*(1/MACROMICROELEMENTOS!$C41)*MACROMICROELEMENTOS!$E41))</f>
        <v/>
      </c>
    </row>
    <row r="42" spans="1:93" x14ac:dyDescent="0.3">
      <c r="A42" s="19" t="str">
        <f>IF(Pesada!A42="","",Pesada!A42)</f>
        <v/>
      </c>
      <c r="B42" s="16" t="str">
        <f>IF(Pesada!B42="","",Pesada!B42)</f>
        <v/>
      </c>
      <c r="C42" s="20" t="str">
        <f>IF(Pesada!C42="","",VALUE(Pesada!C42))</f>
        <v/>
      </c>
      <c r="D42" s="23">
        <v>100</v>
      </c>
      <c r="E42" s="30" t="str">
        <f>IF(METALESPESADOS!E42="","",METALESPESADOS!E42)</f>
        <v/>
      </c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17" t="str">
        <f>IF(AND(MACROMICROELEMENTOS!$U42="",MACROMICROELEMENTOS!$V42="",MACROMICROELEMENTOS!$W42="",MACROMICROELEMENTOS!$X42=""),"",AVERAGE(MACROMICROELEMENTOS!$U42,MACROMICROELEMENTOS!$V42,MACROMICROELEMENTOS!$W42,MACROMICROELEMENTOS!$X42))</f>
        <v/>
      </c>
      <c r="BJ42" s="23">
        <v>1</v>
      </c>
      <c r="BK42" s="31" t="str">
        <f>IF(OR(MACROMICROELEMENTOS!$A42="",MACROMICROELEMENTOS!$B42="",MACROMICROELEMENTOS!$C42="",MACROMICROELEMENTOS!$D42="",MACROMICROELEMENTOS!$E42="",MACROMICROELEMENTOS!$F42="",MACROMICROELEMENTOS!$BI42="",MACROMICROELEMENTOS!$BJ42=""),"",((MACROMICROELEMENTOS!$F42-MACROMICROELEMENTOS!$BI42)*MACROMICROELEMENTOS!$BJ42*MACROMICROELEMENTOS!$D42*(1/MACROMICROELEMENTOS!$C42)*MACROMICROELEMENTOS!$E42))</f>
        <v/>
      </c>
      <c r="BL42" s="17" t="str">
        <f>IF(AND(MACROMICROELEMENTOS!$Y42="",MACROMICROELEMENTOS!$Z42="",MACROMICROELEMENTOS!$AA42="",MACROMICROELEMENTOS!$AB42=""),"",AVERAGE(MACROMICROELEMENTOS!$Y42,MACROMICROELEMENTOS!$Z42,MACROMICROELEMENTOS!$AA42,MACROMICROELEMENTOS!$AB42))</f>
        <v/>
      </c>
      <c r="BM42" s="23">
        <v>1</v>
      </c>
      <c r="BN42" s="31" t="str">
        <f>IF(OR(MACROMICROELEMENTOS!$A42="",MACROMICROELEMENTOS!$B42="",MACROMICROELEMENTOS!$C42="",MACROMICROELEMENTOS!$D42="",MACROMICROELEMENTOS!$E42="",MACROMICROELEMENTOS!$G42="",MACROMICROELEMENTOS!$BL42="",MACROMICROELEMENTOS!$BM42=""),"",((MACROMICROELEMENTOS!$G42-MACROMICROELEMENTOS!$BL42)*MACROMICROELEMENTOS!$BM42*MACROMICROELEMENTOS!$D42*(1/MACROMICROELEMENTOS!$C42)*MACROMICROELEMENTOS!$E42/1000))</f>
        <v/>
      </c>
      <c r="BO42" s="17" t="str">
        <f>IF(AND(MACROMICROELEMENTOS!$AC42="",MACROMICROELEMENTOS!$AD42="",MACROMICROELEMENTOS!$AE42="",MACROMICROELEMENTOS!$AF42=""),"",AVERAGE(MACROMICROELEMENTOS!$AC42,MACROMICROELEMENTOS!$AD42,MACROMICROELEMENTOS!$AE42,MACROMICROELEMENTOS!$AF42))</f>
        <v/>
      </c>
      <c r="BP42" s="23">
        <v>1</v>
      </c>
      <c r="BQ42" s="31" t="str">
        <f>IF(OR(MACROMICROELEMENTOS!$A42="",MACROMICROELEMENTOS!$B42="",MACROMICROELEMENTOS!$C42="",MACROMICROELEMENTOS!$D42="",MACROMICROELEMENTOS!$E42="",MACROMICROELEMENTOS!$H42="",MACROMICROELEMENTOS!$BO42="",MACROMICROELEMENTOS!$BP42=""),"",((MACROMICROELEMENTOS!$H42-MACROMICROELEMENTOS!$BO42)*MACROMICROELEMENTOS!$BP42*MACROMICROELEMENTOS!$D42*(1/MACROMICROELEMENTOS!$C42)*MACROMICROELEMENTOS!$E42))</f>
        <v/>
      </c>
      <c r="BR42" s="17" t="str">
        <f>IF(AND(MACROMICROELEMENTOS!$Q42="",MACROMICROELEMENTOS!$R42="",MACROMICROELEMENTOS!$S42="",MACROMICROELEMENTOS!$T42=""),"",AVERAGE(MACROMICROELEMENTOS!$Q42,MACROMICROELEMENTOS!$R42,MACROMICROELEMENTOS!$S42,MACROMICROELEMENTOS!$T42))</f>
        <v/>
      </c>
      <c r="BS42" s="23">
        <v>1</v>
      </c>
      <c r="BT42" s="31" t="str">
        <f>IF(OR(MACROMICROELEMENTOS!$A42="",MACROMICROELEMENTOS!$B42="",MACROMICROELEMENTOS!$C42="",MACROMICROELEMENTOS!$D42="",MACROMICROELEMENTOS!$E42="",MACROMICROELEMENTOS!$I42="",MACROMICROELEMENTOS!$BR42="",MACROMICROELEMENTOS!$BS42=""),"",((MACROMICROELEMENTOS!$I42-MACROMICROELEMENTOS!$BR42)*MACROMICROELEMENTOS!$BS42*MACROMICROELEMENTOS!$D42*(1/MACROMICROELEMENTOS!$C42)*MACROMICROELEMENTOS!$E42))</f>
        <v/>
      </c>
      <c r="BU42" s="17" t="str">
        <f>IF(AND(MACROMICROELEMENTOS!$AG42="",MACROMICROELEMENTOS!$AH42="",MACROMICROELEMENTOS!$AI42="",MACROMICROELEMENTOS!$AJ42=""),"",AVERAGE(MACROMICROELEMENTOS!$AG42,MACROMICROELEMENTOS!$AH42,MACROMICROELEMENTOS!$AI42,MACROMICROELEMENTOS!$AJ42))</f>
        <v/>
      </c>
      <c r="BV42" s="23">
        <v>1</v>
      </c>
      <c r="BW42" s="31" t="str">
        <f>IF(OR(MACROMICROELEMENTOS!$A42="",MACROMICROELEMENTOS!$B42="",MACROMICROELEMENTOS!$C42="",MACROMICROELEMENTOS!$D42="",MACROMICROELEMENTOS!$E42="",MACROMICROELEMENTOS!$J42="",MACROMICROELEMENTOS!$BU42="",MACROMICROELEMENTOS!$BV42=""),"",((MACROMICROELEMENTOS!$J42-MACROMICROELEMENTOS!$BU42)*MACROMICROELEMENTOS!$BV42*MACROMICROELEMENTOS!$D42*(1/MACROMICROELEMENTOS!$C42)*MACROMICROELEMENTOS!$E42))</f>
        <v/>
      </c>
      <c r="BX42" s="17" t="str">
        <f>IF(AND(MACROMICROELEMENTOS!$AK42="",MACROMICROELEMENTOS!$AL42="",MACROMICROELEMENTOS!$AM42="",MACROMICROELEMENTOS!$AN42=""),"",AVERAGE(MACROMICROELEMENTOS!$AK42,MACROMICROELEMENTOS!$AL42,MACROMICROELEMENTOS!$AM42,MACROMICROELEMENTOS!$AN42))</f>
        <v/>
      </c>
      <c r="BY42" s="23">
        <v>1</v>
      </c>
      <c r="BZ42" s="31" t="str">
        <f>IF(OR(MACROMICROELEMENTOS!$A42="",MACROMICROELEMENTOS!$B42="",MACROMICROELEMENTOS!$C42="",MACROMICROELEMENTOS!$D42="",MACROMICROELEMENTOS!$E42="",MACROMICROELEMENTOS!$K42="",MACROMICROELEMENTOS!$BX42="",MACROMICROELEMENTOS!$BY42=""),"",((MACROMICROELEMENTOS!$K42-MACROMICROELEMENTOS!$BX42)*MACROMICROELEMENTOS!$BY42*MACROMICROELEMENTOS!$D42*(1/MACROMICROELEMENTOS!$C42)*MACROMICROELEMENTOS!$E42))</f>
        <v/>
      </c>
      <c r="CA42" s="17" t="str">
        <f>IF(AND(MACROMICROELEMENTOS!$AO42="",MACROMICROELEMENTOS!$AP42="",MACROMICROELEMENTOS!$AQ42="",MACROMICROELEMENTOS!$AR42=""),"",AVERAGE(MACROMICROELEMENTOS!$AO42,MACROMICROELEMENTOS!$AP42,MACROMICROELEMENTOS!$AQ42,MACROMICROELEMENTOS!$AR42))</f>
        <v/>
      </c>
      <c r="CB42" s="23">
        <v>1</v>
      </c>
      <c r="CC42" s="31" t="str">
        <f>IF(OR(MACROMICROELEMENTOS!$A42="",MACROMICROELEMENTOS!$B42="",MACROMICROELEMENTOS!$C42="",MACROMICROELEMENTOS!$D42="",MACROMICROELEMENTOS!$E42="",MACROMICROELEMENTOS!$L42="",MACROMICROELEMENTOS!$CA42="",MACROMICROELEMENTOS!$CB42=""),"",((MACROMICROELEMENTOS!$L42-MACROMICROELEMENTOS!$CA42)*MACROMICROELEMENTOS!$CB42*MACROMICROELEMENTOS!$D42*(1/MACROMICROELEMENTOS!$C42)*MACROMICROELEMENTOS!$E42))</f>
        <v/>
      </c>
      <c r="CD42" s="17" t="str">
        <f>IF(AND(MACROMICROELEMENTOS!$AS42="",MACROMICROELEMENTOS!$AT42="",MACROMICROELEMENTOS!$AU42="",MACROMICROELEMENTOS!$AV42=""),"",AVERAGE(MACROMICROELEMENTOS!$AS42,MACROMICROELEMENTOS!$AT42,MACROMICROELEMENTOS!$AU42,MACROMICROELEMENTOS!$AV42))</f>
        <v/>
      </c>
      <c r="CE42" s="23">
        <v>1</v>
      </c>
      <c r="CF42" s="31" t="str">
        <f>IF(OR(MACROMICROELEMENTOS!$A42="",MACROMICROELEMENTOS!$B42="",MACROMICROELEMENTOS!$C42="",MACROMICROELEMENTOS!$D42="",MACROMICROELEMENTOS!$E42="",MACROMICROELEMENTOS!$M42="",MACROMICROELEMENTOS!$CD42="",MACROMICROELEMENTOS!$CE42=""),"",((MACROMICROELEMENTOS!$M42-MACROMICROELEMENTOS!$CD42)*MACROMICROELEMENTOS!$CE42*MACROMICROELEMENTOS!$D42*(1/MACROMICROELEMENTOS!$C42)*MACROMICROELEMENTOS!$E42))</f>
        <v/>
      </c>
      <c r="CG42" s="17" t="str">
        <f>IF(AND(MACROMICROELEMENTOS!$AW42="",MACROMICROELEMENTOS!$AX42="",MACROMICROELEMENTOS!$AY42="",MACROMICROELEMENTOS!$AZ42=""),"",AVERAGE(MACROMICROELEMENTOS!$AW42,MACROMICROELEMENTOS!$AX42,MACROMICROELEMENTOS!$AY42,MACROMICROELEMENTOS!$AZ42))</f>
        <v/>
      </c>
      <c r="CH42" s="23">
        <v>1</v>
      </c>
      <c r="CI42" s="31" t="str">
        <f>IF(OR(MACROMICROELEMENTOS!$A42="",MACROMICROELEMENTOS!$B42="",MACROMICROELEMENTOS!$C42="",MACROMICROELEMENTOS!$D42="",MACROMICROELEMENTOS!$E42="",MACROMICROELEMENTOS!$N42="",MACROMICROELEMENTOS!$CG42="",MACROMICROELEMENTOS!$CH42=""),"",((MACROMICROELEMENTOS!$N42-MACROMICROELEMENTOS!$CG42)*MACROMICROELEMENTOS!$CH42*MACROMICROELEMENTOS!$D42*(1/MACROMICROELEMENTOS!$C42)*MACROMICROELEMENTOS!$E42))</f>
        <v/>
      </c>
      <c r="CJ42" s="17" t="str">
        <f>IF(AND(MACROMICROELEMENTOS!$BA42="",MACROMICROELEMENTOS!$BB42="",MACROMICROELEMENTOS!$BC42="",MACROMICROELEMENTOS!$BD42=""),"",IF(O42&gt;2,0,AVERAGE(MACROMICROELEMENTOS!$BA42,MACROMICROELEMENTOS!$BB42,MACROMICROELEMENTOS!$BC42,MACROMICROELEMENTOS!$BD42)))</f>
        <v/>
      </c>
      <c r="CK42" s="23">
        <v>1</v>
      </c>
      <c r="CL42" s="31" t="str">
        <f>IF(OR(MACROMICROELEMENTOS!$A42="",MACROMICROELEMENTOS!$B42="",MACROMICROELEMENTOS!$C42="",MACROMICROELEMENTOS!$D42="",MACROMICROELEMENTOS!$E42="",MACROMICROELEMENTOS!$O42="",MACROMICROELEMENTOS!$CJ42="",MACROMICROELEMENTOS!$CK42=""),"",((MACROMICROELEMENTOS!$O42-MACROMICROELEMENTOS!$CJ42)*MACROMICROELEMENTOS!$CK42*MACROMICROELEMENTOS!$D42*(1/MACROMICROELEMENTOS!$C42)*MACROMICROELEMENTOS!$E42))</f>
        <v/>
      </c>
      <c r="CM42" s="17" t="str">
        <f>IF(AND(MACROMICROELEMENTOS!$BE42="",MACROMICROELEMENTOS!$BF42="",MACROMICROELEMENTOS!$BG42="",MACROMICROELEMENTOS!$BH42=""),"",AVERAGE(MACROMICROELEMENTOS!$BE42,MACROMICROELEMENTOS!$BF42,MACROMICROELEMENTOS!$BG42,MACROMICROELEMENTOS!$BH42))</f>
        <v/>
      </c>
      <c r="CN42" s="23">
        <v>1</v>
      </c>
      <c r="CO42" s="31" t="str">
        <f>IF(OR(MACROMICROELEMENTOS!$A42="",MACROMICROELEMENTOS!$B42="",MACROMICROELEMENTOS!$C42="",MACROMICROELEMENTOS!$D42="",MACROMICROELEMENTOS!$E42="",MACROMICROELEMENTOS!$P42="",MACROMICROELEMENTOS!$CM42="",MACROMICROELEMENTOS!$CN42=""),"",((MACROMICROELEMENTOS!$P42-MACROMICROELEMENTOS!$CM42)*MACROMICROELEMENTOS!$CN42*MACROMICROELEMENTOS!$D42*(1/MACROMICROELEMENTOS!$C42)*MACROMICROELEMENTOS!$E42))</f>
        <v/>
      </c>
    </row>
    <row r="43" spans="1:93" x14ac:dyDescent="0.3">
      <c r="A43" s="19" t="str">
        <f>IF(Pesada!A43="","",Pesada!A43)</f>
        <v/>
      </c>
      <c r="B43" s="16" t="str">
        <f>IF(Pesada!B43="","",Pesada!B43)</f>
        <v/>
      </c>
      <c r="C43" s="20" t="str">
        <f>IF(Pesada!C43="","",VALUE(Pesada!C43))</f>
        <v/>
      </c>
      <c r="D43" s="23">
        <v>100</v>
      </c>
      <c r="E43" s="30" t="str">
        <f>IF(METALESPESADOS!E43="","",METALESPESADOS!E43)</f>
        <v/>
      </c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17" t="str">
        <f>IF(AND(MACROMICROELEMENTOS!$U43="",MACROMICROELEMENTOS!$V43="",MACROMICROELEMENTOS!$W43="",MACROMICROELEMENTOS!$X43=""),"",AVERAGE(MACROMICROELEMENTOS!$U43,MACROMICROELEMENTOS!$V43,MACROMICROELEMENTOS!$W43,MACROMICROELEMENTOS!$X43))</f>
        <v/>
      </c>
      <c r="BJ43" s="23">
        <v>1</v>
      </c>
      <c r="BK43" s="31" t="str">
        <f>IF(OR(MACROMICROELEMENTOS!$A43="",MACROMICROELEMENTOS!$B43="",MACROMICROELEMENTOS!$C43="",MACROMICROELEMENTOS!$D43="",MACROMICROELEMENTOS!$E43="",MACROMICROELEMENTOS!$F43="",MACROMICROELEMENTOS!$BI43="",MACROMICROELEMENTOS!$BJ43=""),"",((MACROMICROELEMENTOS!$F43-MACROMICROELEMENTOS!$BI43)*MACROMICROELEMENTOS!$BJ43*MACROMICROELEMENTOS!$D43*(1/MACROMICROELEMENTOS!$C43)*MACROMICROELEMENTOS!$E43))</f>
        <v/>
      </c>
      <c r="BL43" s="17" t="str">
        <f>IF(AND(MACROMICROELEMENTOS!$Y43="",MACROMICROELEMENTOS!$Z43="",MACROMICROELEMENTOS!$AA43="",MACROMICROELEMENTOS!$AB43=""),"",AVERAGE(MACROMICROELEMENTOS!$Y43,MACROMICROELEMENTOS!$Z43,MACROMICROELEMENTOS!$AA43,MACROMICROELEMENTOS!$AB43))</f>
        <v/>
      </c>
      <c r="BM43" s="23">
        <v>1</v>
      </c>
      <c r="BN43" s="31" t="str">
        <f>IF(OR(MACROMICROELEMENTOS!$A43="",MACROMICROELEMENTOS!$B43="",MACROMICROELEMENTOS!$C43="",MACROMICROELEMENTOS!$D43="",MACROMICROELEMENTOS!$E43="",MACROMICROELEMENTOS!$G43="",MACROMICROELEMENTOS!$BL43="",MACROMICROELEMENTOS!$BM43=""),"",((MACROMICROELEMENTOS!$G43-MACROMICROELEMENTOS!$BL43)*MACROMICROELEMENTOS!$BM43*MACROMICROELEMENTOS!$D43*(1/MACROMICROELEMENTOS!$C43)*MACROMICROELEMENTOS!$E43/1000))</f>
        <v/>
      </c>
      <c r="BO43" s="17" t="str">
        <f>IF(AND(MACROMICROELEMENTOS!$AC43="",MACROMICROELEMENTOS!$AD43="",MACROMICROELEMENTOS!$AE43="",MACROMICROELEMENTOS!$AF43=""),"",AVERAGE(MACROMICROELEMENTOS!$AC43,MACROMICROELEMENTOS!$AD43,MACROMICROELEMENTOS!$AE43,MACROMICROELEMENTOS!$AF43))</f>
        <v/>
      </c>
      <c r="BP43" s="23">
        <v>1</v>
      </c>
      <c r="BQ43" s="31" t="str">
        <f>IF(OR(MACROMICROELEMENTOS!$A43="",MACROMICROELEMENTOS!$B43="",MACROMICROELEMENTOS!$C43="",MACROMICROELEMENTOS!$D43="",MACROMICROELEMENTOS!$E43="",MACROMICROELEMENTOS!$H43="",MACROMICROELEMENTOS!$BO43="",MACROMICROELEMENTOS!$BP43=""),"",((MACROMICROELEMENTOS!$H43-MACROMICROELEMENTOS!$BO43)*MACROMICROELEMENTOS!$BP43*MACROMICROELEMENTOS!$D43*(1/MACROMICROELEMENTOS!$C43)*MACROMICROELEMENTOS!$E43))</f>
        <v/>
      </c>
      <c r="BR43" s="17" t="str">
        <f>IF(AND(MACROMICROELEMENTOS!$Q43="",MACROMICROELEMENTOS!$R43="",MACROMICROELEMENTOS!$S43="",MACROMICROELEMENTOS!$T43=""),"",AVERAGE(MACROMICROELEMENTOS!$Q43,MACROMICROELEMENTOS!$R43,MACROMICROELEMENTOS!$S43,MACROMICROELEMENTOS!$T43))</f>
        <v/>
      </c>
      <c r="BS43" s="23">
        <v>1</v>
      </c>
      <c r="BT43" s="31" t="str">
        <f>IF(OR(MACROMICROELEMENTOS!$A43="",MACROMICROELEMENTOS!$B43="",MACROMICROELEMENTOS!$C43="",MACROMICROELEMENTOS!$D43="",MACROMICROELEMENTOS!$E43="",MACROMICROELEMENTOS!$I43="",MACROMICROELEMENTOS!$BR43="",MACROMICROELEMENTOS!$BS43=""),"",((MACROMICROELEMENTOS!$I43-MACROMICROELEMENTOS!$BR43)*MACROMICROELEMENTOS!$BS43*MACROMICROELEMENTOS!$D43*(1/MACROMICROELEMENTOS!$C43)*MACROMICROELEMENTOS!$E43))</f>
        <v/>
      </c>
      <c r="BU43" s="17" t="str">
        <f>IF(AND(MACROMICROELEMENTOS!$AG43="",MACROMICROELEMENTOS!$AH43="",MACROMICROELEMENTOS!$AI43="",MACROMICROELEMENTOS!$AJ43=""),"",AVERAGE(MACROMICROELEMENTOS!$AG43,MACROMICROELEMENTOS!$AH43,MACROMICROELEMENTOS!$AI43,MACROMICROELEMENTOS!$AJ43))</f>
        <v/>
      </c>
      <c r="BV43" s="23">
        <v>1</v>
      </c>
      <c r="BW43" s="31" t="str">
        <f>IF(OR(MACROMICROELEMENTOS!$A43="",MACROMICROELEMENTOS!$B43="",MACROMICROELEMENTOS!$C43="",MACROMICROELEMENTOS!$D43="",MACROMICROELEMENTOS!$E43="",MACROMICROELEMENTOS!$J43="",MACROMICROELEMENTOS!$BU43="",MACROMICROELEMENTOS!$BV43=""),"",((MACROMICROELEMENTOS!$J43-MACROMICROELEMENTOS!$BU43)*MACROMICROELEMENTOS!$BV43*MACROMICROELEMENTOS!$D43*(1/MACROMICROELEMENTOS!$C43)*MACROMICROELEMENTOS!$E43))</f>
        <v/>
      </c>
      <c r="BX43" s="17" t="str">
        <f>IF(AND(MACROMICROELEMENTOS!$AK43="",MACROMICROELEMENTOS!$AL43="",MACROMICROELEMENTOS!$AM43="",MACROMICROELEMENTOS!$AN43=""),"",AVERAGE(MACROMICROELEMENTOS!$AK43,MACROMICROELEMENTOS!$AL43,MACROMICROELEMENTOS!$AM43,MACROMICROELEMENTOS!$AN43))</f>
        <v/>
      </c>
      <c r="BY43" s="23">
        <v>1</v>
      </c>
      <c r="BZ43" s="31" t="str">
        <f>IF(OR(MACROMICROELEMENTOS!$A43="",MACROMICROELEMENTOS!$B43="",MACROMICROELEMENTOS!$C43="",MACROMICROELEMENTOS!$D43="",MACROMICROELEMENTOS!$E43="",MACROMICROELEMENTOS!$K43="",MACROMICROELEMENTOS!$BX43="",MACROMICROELEMENTOS!$BY43=""),"",((MACROMICROELEMENTOS!$K43-MACROMICROELEMENTOS!$BX43)*MACROMICROELEMENTOS!$BY43*MACROMICROELEMENTOS!$D43*(1/MACROMICROELEMENTOS!$C43)*MACROMICROELEMENTOS!$E43))</f>
        <v/>
      </c>
      <c r="CA43" s="17" t="str">
        <f>IF(AND(MACROMICROELEMENTOS!$AO43="",MACROMICROELEMENTOS!$AP43="",MACROMICROELEMENTOS!$AQ43="",MACROMICROELEMENTOS!$AR43=""),"",AVERAGE(MACROMICROELEMENTOS!$AO43,MACROMICROELEMENTOS!$AP43,MACROMICROELEMENTOS!$AQ43,MACROMICROELEMENTOS!$AR43))</f>
        <v/>
      </c>
      <c r="CB43" s="23">
        <v>1</v>
      </c>
      <c r="CC43" s="31" t="str">
        <f>IF(OR(MACROMICROELEMENTOS!$A43="",MACROMICROELEMENTOS!$B43="",MACROMICROELEMENTOS!$C43="",MACROMICROELEMENTOS!$D43="",MACROMICROELEMENTOS!$E43="",MACROMICROELEMENTOS!$L43="",MACROMICROELEMENTOS!$CA43="",MACROMICROELEMENTOS!$CB43=""),"",((MACROMICROELEMENTOS!$L43-MACROMICROELEMENTOS!$CA43)*MACROMICROELEMENTOS!$CB43*MACROMICROELEMENTOS!$D43*(1/MACROMICROELEMENTOS!$C43)*MACROMICROELEMENTOS!$E43))</f>
        <v/>
      </c>
      <c r="CD43" s="17" t="str">
        <f>IF(AND(MACROMICROELEMENTOS!$AS43="",MACROMICROELEMENTOS!$AT43="",MACROMICROELEMENTOS!$AU43="",MACROMICROELEMENTOS!$AV43=""),"",AVERAGE(MACROMICROELEMENTOS!$AS43,MACROMICROELEMENTOS!$AT43,MACROMICROELEMENTOS!$AU43,MACROMICROELEMENTOS!$AV43))</f>
        <v/>
      </c>
      <c r="CE43" s="23">
        <v>1</v>
      </c>
      <c r="CF43" s="31" t="str">
        <f>IF(OR(MACROMICROELEMENTOS!$A43="",MACROMICROELEMENTOS!$B43="",MACROMICROELEMENTOS!$C43="",MACROMICROELEMENTOS!$D43="",MACROMICROELEMENTOS!$E43="",MACROMICROELEMENTOS!$M43="",MACROMICROELEMENTOS!$CD43="",MACROMICROELEMENTOS!$CE43=""),"",((MACROMICROELEMENTOS!$M43-MACROMICROELEMENTOS!$CD43)*MACROMICROELEMENTOS!$CE43*MACROMICROELEMENTOS!$D43*(1/MACROMICROELEMENTOS!$C43)*MACROMICROELEMENTOS!$E43))</f>
        <v/>
      </c>
      <c r="CG43" s="17" t="str">
        <f>IF(AND(MACROMICROELEMENTOS!$AW43="",MACROMICROELEMENTOS!$AX43="",MACROMICROELEMENTOS!$AY43="",MACROMICROELEMENTOS!$AZ43=""),"",AVERAGE(MACROMICROELEMENTOS!$AW43,MACROMICROELEMENTOS!$AX43,MACROMICROELEMENTOS!$AY43,MACROMICROELEMENTOS!$AZ43))</f>
        <v/>
      </c>
      <c r="CH43" s="23">
        <v>1</v>
      </c>
      <c r="CI43" s="31" t="str">
        <f>IF(OR(MACROMICROELEMENTOS!$A43="",MACROMICROELEMENTOS!$B43="",MACROMICROELEMENTOS!$C43="",MACROMICROELEMENTOS!$D43="",MACROMICROELEMENTOS!$E43="",MACROMICROELEMENTOS!$N43="",MACROMICROELEMENTOS!$CG43="",MACROMICROELEMENTOS!$CH43=""),"",((MACROMICROELEMENTOS!$N43-MACROMICROELEMENTOS!$CG43)*MACROMICROELEMENTOS!$CH43*MACROMICROELEMENTOS!$D43*(1/MACROMICROELEMENTOS!$C43)*MACROMICROELEMENTOS!$E43))</f>
        <v/>
      </c>
      <c r="CJ43" s="17" t="str">
        <f>IF(AND(MACROMICROELEMENTOS!$BA43="",MACROMICROELEMENTOS!$BB43="",MACROMICROELEMENTOS!$BC43="",MACROMICROELEMENTOS!$BD43=""),"",IF(O43&gt;2,0,AVERAGE(MACROMICROELEMENTOS!$BA43,MACROMICROELEMENTOS!$BB43,MACROMICROELEMENTOS!$BC43,MACROMICROELEMENTOS!$BD43)))</f>
        <v/>
      </c>
      <c r="CK43" s="23">
        <v>1</v>
      </c>
      <c r="CL43" s="31" t="str">
        <f>IF(OR(MACROMICROELEMENTOS!$A43="",MACROMICROELEMENTOS!$B43="",MACROMICROELEMENTOS!$C43="",MACROMICROELEMENTOS!$D43="",MACROMICROELEMENTOS!$E43="",MACROMICROELEMENTOS!$O43="",MACROMICROELEMENTOS!$CJ43="",MACROMICROELEMENTOS!$CK43=""),"",((MACROMICROELEMENTOS!$O43-MACROMICROELEMENTOS!$CJ43)*MACROMICROELEMENTOS!$CK43*MACROMICROELEMENTOS!$D43*(1/MACROMICROELEMENTOS!$C43)*MACROMICROELEMENTOS!$E43))</f>
        <v/>
      </c>
      <c r="CM43" s="17" t="str">
        <f>IF(AND(MACROMICROELEMENTOS!$BE43="",MACROMICROELEMENTOS!$BF43="",MACROMICROELEMENTOS!$BG43="",MACROMICROELEMENTOS!$BH43=""),"",AVERAGE(MACROMICROELEMENTOS!$BE43,MACROMICROELEMENTOS!$BF43,MACROMICROELEMENTOS!$BG43,MACROMICROELEMENTOS!$BH43))</f>
        <v/>
      </c>
      <c r="CN43" s="23">
        <v>1</v>
      </c>
      <c r="CO43" s="31" t="str">
        <f>IF(OR(MACROMICROELEMENTOS!$A43="",MACROMICROELEMENTOS!$B43="",MACROMICROELEMENTOS!$C43="",MACROMICROELEMENTOS!$D43="",MACROMICROELEMENTOS!$E43="",MACROMICROELEMENTOS!$P43="",MACROMICROELEMENTOS!$CM43="",MACROMICROELEMENTOS!$CN43=""),"",((MACROMICROELEMENTOS!$P43-MACROMICROELEMENTOS!$CM43)*MACROMICROELEMENTOS!$CN43*MACROMICROELEMENTOS!$D43*(1/MACROMICROELEMENTOS!$C43)*MACROMICROELEMENTOS!$E43))</f>
        <v/>
      </c>
    </row>
  </sheetData>
  <sheetProtection password="D1D1" sheet="1" objects="1" scenarios="1" formatCells="0" formatColumns="0" formatRows="0"/>
  <pageMargins left="0.70866141732283472" right="0.70866141732283472" top="0.74803149606299213" bottom="0.74803149606299213" header="0.31496062992125984" footer="0.31496062992125984"/>
  <pageSetup paperSize="9" scale="66" orientation="landscape" horizontalDpi="300" verticalDpi="300" r:id="rId1"/>
  <headerFooter>
    <oddHeader>&amp;LLAFIGA&amp;CAGUA REGIA
MACRO Y MICROELEMENTOS&amp;RPágina &amp;P de &amp;N
&amp;D</oddHeader>
  </headerFooter>
  <colBreaks count="4" manualBreakCount="4">
    <brk id="16" max="42" man="1"/>
    <brk id="36" max="42" man="1"/>
    <brk id="60" max="42" man="1"/>
    <brk id="75" max="42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6"/>
  <sheetViews>
    <sheetView workbookViewId="0">
      <selection activeCell="B2" sqref="B2:B6"/>
    </sheetView>
  </sheetViews>
  <sheetFormatPr baseColWidth="10" defaultRowHeight="14.4" x14ac:dyDescent="0.3"/>
  <sheetData>
    <row r="1" spans="1:2" x14ac:dyDescent="0.3">
      <c r="A1" s="33" t="s">
        <v>33</v>
      </c>
      <c r="B1" s="33"/>
    </row>
    <row r="2" spans="1:2" ht="14.55" x14ac:dyDescent="0.35">
      <c r="A2" s="18" t="s">
        <v>34</v>
      </c>
      <c r="B2" s="25">
        <v>3</v>
      </c>
    </row>
    <row r="3" spans="1:2" ht="14.55" x14ac:dyDescent="0.35">
      <c r="A3" s="18" t="s">
        <v>35</v>
      </c>
      <c r="B3" s="25">
        <v>9600</v>
      </c>
    </row>
    <row r="4" spans="1:2" ht="14.55" x14ac:dyDescent="0.35">
      <c r="A4" s="18" t="s">
        <v>36</v>
      </c>
      <c r="B4" s="25" t="s">
        <v>37</v>
      </c>
    </row>
    <row r="5" spans="1:2" ht="14.55" x14ac:dyDescent="0.35">
      <c r="A5" s="18" t="s">
        <v>38</v>
      </c>
      <c r="B5" s="25">
        <v>8</v>
      </c>
    </row>
    <row r="6" spans="1:2" ht="14.55" x14ac:dyDescent="0.35">
      <c r="A6" s="18" t="s">
        <v>39</v>
      </c>
      <c r="B6" s="25">
        <v>1</v>
      </c>
    </row>
  </sheetData>
  <sheetProtection password="D1D1" sheet="1" objects="1" scenarios="1" formatCells="0" formatColumns="0" formatRows="0"/>
  <mergeCells count="1">
    <mergeCell ref="A1:B1"/>
  </mergeCells>
  <dataValidations count="3">
    <dataValidation type="list" allowBlank="1" showInputMessage="1" showErrorMessage="1" sqref="B4">
      <formula1>"N,O,E"</formula1>
    </dataValidation>
    <dataValidation type="list" allowBlank="1" showInputMessage="1" showErrorMessage="1" sqref="B2">
      <formula1>"1,2,3,4,5"</formula1>
    </dataValidation>
    <dataValidation type="list" allowBlank="1" showInputMessage="1" showErrorMessage="1" sqref="B3">
      <formula1>"1200,2400,4800,9600,19200,38400"</formula1>
    </dataValidation>
  </dataValidations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ICP" Type="http://schemas.openxmlformats.org/officeDocument/2006/relationships/image" Target="images/ICP.png"/><Relationship Id="humedad" Type="http://schemas.openxmlformats.org/officeDocument/2006/relationships/image" Target="images/humedad.png"/></Relationships>
</file>

<file path=customUI/customUI14.xml><?xml version="1.0" encoding="utf-8"?>
<customUI xmlns="http://schemas.microsoft.com/office/2009/07/customui">
  <ribbon>
    <tabs>
      <tab id="Complejo_de_cambio" label="Complejo de cambio" insertBeforeMso="TabHome">
        <group id="customGroup3" label="Conectar y Desconectar">
          <button id="Conectar" label="Conectar" size="large" imageMso="AcceptInvitation" onAction="Modulo5.Conectar"/>
          <button id="Reset" label="Desconectar" size="large" imageMso="PrintPreviewClose" onAction="Modulo5.Terminar_Click"/>
        </group>
        <group id="customGroup" label="Capturar Factores de Corrección">
          <button id="CapturarFC" label="Capturar FC" size="large" image="humedad" onAction="Modulo5.importarFC_Click"/>
        </group>
        <group id="customGroup1" label="Capturar ICP Perkin Elmer">
          <button id="CapturarICP" label="Capturar ICP" size="large" image="ICP" onAction="Modulo5.importar_Click"/>
        </group>
        <group id="customGroup4">
          <button id="MostrarFormulario" label="Mostrar Control de muestra" size="large" imageMso="ControlLayoutRemove" onAction="Modulo5.MostrarFormulari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</vt:i4>
      </vt:variant>
    </vt:vector>
  </HeadingPairs>
  <TitlesOfParts>
    <vt:vector size="8" baseType="lpstr">
      <vt:lpstr>Pesada</vt:lpstr>
      <vt:lpstr>METALESPESADOS</vt:lpstr>
      <vt:lpstr>MACROMICROELEMENTOS</vt:lpstr>
      <vt:lpstr>Datos</vt:lpstr>
      <vt:lpstr>MACROMICROELEMENTOS!Área_de_impresión</vt:lpstr>
      <vt:lpstr>METALESPESADOS!Área_de_impresión</vt:lpstr>
      <vt:lpstr>MACROMICROELEMENTOS!Títulos_a_imprimir</vt:lpstr>
      <vt:lpstr>METALESPESADOS!Títulos_a_imprimir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ms1</dc:creator>
  <cp:lastModifiedBy>ms1</cp:lastModifiedBy>
  <cp:lastPrinted>2017-02-06T19:27:56Z</cp:lastPrinted>
  <dcterms:created xsi:type="dcterms:W3CDTF">2015-06-04T10:13:11Z</dcterms:created>
  <dcterms:modified xsi:type="dcterms:W3CDTF">2019-02-22T09:10:48Z</dcterms:modified>
</cp:coreProperties>
</file>