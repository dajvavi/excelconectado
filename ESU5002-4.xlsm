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affe6011002455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19200" windowHeight="7212"/>
  </bookViews>
  <sheets>
    <sheet name="Humedad" sheetId="3" r:id="rId1"/>
    <sheet name="MO" sheetId="5" r:id="rId2"/>
    <sheet name="Datos" sheetId="7" r:id="rId3"/>
    <sheet name="NecesidadesMO" sheetId="8" r:id="rId4"/>
  </sheets>
  <functionGroups builtInGroupCount="17"/>
  <definedNames>
    <definedName name="_xlnm._FilterDatabase" localSheetId="2" hidden="1">Datos!#REF!</definedName>
    <definedName name="_xlnm.Print_Area" localSheetId="0">Humedad!$A$1:$N$37</definedName>
    <definedName name="_xlnm.Print_Area" localSheetId="1">MO!$A$1:$I$37</definedName>
  </definedNames>
  <calcPr calcId="145621"/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2" i="3"/>
  <c r="B3" i="3" l="1"/>
  <c r="J3" i="3" s="1"/>
  <c r="C3" i="3"/>
  <c r="B4" i="3"/>
  <c r="C4" i="3"/>
  <c r="B5" i="3"/>
  <c r="J5" i="3" s="1"/>
  <c r="C5" i="3"/>
  <c r="B6" i="3"/>
  <c r="C6" i="3"/>
  <c r="B7" i="3"/>
  <c r="J7" i="3" s="1"/>
  <c r="C7" i="3"/>
  <c r="B8" i="3"/>
  <c r="C8" i="3"/>
  <c r="B9" i="3"/>
  <c r="J9" i="3" s="1"/>
  <c r="C9" i="3"/>
  <c r="B10" i="3"/>
  <c r="C10" i="3"/>
  <c r="B11" i="3"/>
  <c r="J11" i="3" s="1"/>
  <c r="C11" i="3"/>
  <c r="B12" i="3"/>
  <c r="C12" i="3"/>
  <c r="B13" i="3"/>
  <c r="J13" i="3" s="1"/>
  <c r="C13" i="3"/>
  <c r="B14" i="3"/>
  <c r="C14" i="3"/>
  <c r="B15" i="3"/>
  <c r="J15" i="3" s="1"/>
  <c r="C15" i="3"/>
  <c r="B16" i="3"/>
  <c r="C16" i="3"/>
  <c r="B17" i="3"/>
  <c r="J17" i="3" s="1"/>
  <c r="C17" i="3"/>
  <c r="B18" i="3"/>
  <c r="C18" i="3"/>
  <c r="B19" i="3"/>
  <c r="J19" i="3" s="1"/>
  <c r="C19" i="3"/>
  <c r="B20" i="3"/>
  <c r="C20" i="3"/>
  <c r="B21" i="3"/>
  <c r="J21" i="3" s="1"/>
  <c r="C21" i="3"/>
  <c r="B22" i="3"/>
  <c r="C22" i="3"/>
  <c r="B23" i="3"/>
  <c r="J23" i="3" s="1"/>
  <c r="C23" i="3"/>
  <c r="B24" i="3"/>
  <c r="C24" i="3"/>
  <c r="B25" i="3"/>
  <c r="J25" i="3" s="1"/>
  <c r="C25" i="3"/>
  <c r="B26" i="3"/>
  <c r="C26" i="3"/>
  <c r="B27" i="3"/>
  <c r="J27" i="3" s="1"/>
  <c r="C27" i="3"/>
  <c r="B28" i="3"/>
  <c r="C28" i="3"/>
  <c r="B29" i="3"/>
  <c r="J29" i="3" s="1"/>
  <c r="C29" i="3"/>
  <c r="B30" i="3"/>
  <c r="C30" i="3"/>
  <c r="B31" i="3"/>
  <c r="J31" i="3" s="1"/>
  <c r="C31" i="3"/>
  <c r="B32" i="3"/>
  <c r="C32" i="3"/>
  <c r="B33" i="3"/>
  <c r="J33" i="3" s="1"/>
  <c r="C33" i="3"/>
  <c r="B34" i="3"/>
  <c r="C34" i="3"/>
  <c r="B35" i="3"/>
  <c r="J35" i="3" s="1"/>
  <c r="C35" i="3"/>
  <c r="B36" i="3"/>
  <c r="C36" i="3"/>
  <c r="B37" i="3"/>
  <c r="J37" i="3" s="1"/>
  <c r="C37" i="3"/>
  <c r="C2" i="3"/>
  <c r="B2" i="3"/>
  <c r="J2" i="3" s="1"/>
  <c r="J36" i="3" l="1"/>
  <c r="J34" i="3"/>
  <c r="J32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2" i="5"/>
  <c r="A33" i="8" l="1"/>
  <c r="C33" i="8"/>
  <c r="A25" i="8"/>
  <c r="A13" i="8"/>
  <c r="A5" i="8"/>
  <c r="A36" i="8"/>
  <c r="C36" i="8"/>
  <c r="A28" i="8"/>
  <c r="A16" i="8"/>
  <c r="A4" i="8"/>
  <c r="A35" i="8"/>
  <c r="C35" i="8"/>
  <c r="A27" i="8"/>
  <c r="A15" i="8"/>
  <c r="A3" i="8"/>
  <c r="A37" i="8"/>
  <c r="C37" i="8"/>
  <c r="A29" i="8"/>
  <c r="A21" i="8"/>
  <c r="A17" i="8"/>
  <c r="A9" i="8"/>
  <c r="A32" i="8"/>
  <c r="C32" i="8"/>
  <c r="A24" i="8"/>
  <c r="A20" i="8"/>
  <c r="A12" i="8"/>
  <c r="A8" i="8"/>
  <c r="A31" i="8"/>
  <c r="C31" i="8"/>
  <c r="A23" i="8"/>
  <c r="A19" i="8"/>
  <c r="A11" i="8"/>
  <c r="A7" i="8"/>
  <c r="A34" i="8"/>
  <c r="C34" i="8"/>
  <c r="A30" i="8"/>
  <c r="A26" i="8"/>
  <c r="A22" i="8"/>
  <c r="A18" i="8"/>
  <c r="A14" i="8"/>
  <c r="A10" i="8"/>
  <c r="A6" i="8"/>
  <c r="I9" i="5"/>
  <c r="C9" i="8" s="1"/>
  <c r="I33" i="5"/>
  <c r="I25" i="5"/>
  <c r="C25" i="8" s="1"/>
  <c r="I32" i="5"/>
  <c r="I24" i="5"/>
  <c r="C24" i="8" s="1"/>
  <c r="I31" i="5"/>
  <c r="I23" i="5"/>
  <c r="C23" i="8" s="1"/>
  <c r="I30" i="5"/>
  <c r="C30" i="8" s="1"/>
  <c r="I37" i="5"/>
  <c r="I29" i="5"/>
  <c r="C29" i="8" s="1"/>
  <c r="I36" i="5"/>
  <c r="I28" i="5"/>
  <c r="C28" i="8" s="1"/>
  <c r="I35" i="5"/>
  <c r="I27" i="5"/>
  <c r="C27" i="8" s="1"/>
  <c r="I34" i="5"/>
  <c r="I26" i="5"/>
  <c r="C26" i="8" s="1"/>
  <c r="I17" i="5"/>
  <c r="C17" i="8" s="1"/>
  <c r="I15" i="5"/>
  <c r="C15" i="8" s="1"/>
  <c r="I7" i="5"/>
  <c r="C7" i="8" s="1"/>
  <c r="I16" i="5"/>
  <c r="C16" i="8" s="1"/>
  <c r="I8" i="5"/>
  <c r="C8" i="8" s="1"/>
  <c r="I5" i="5"/>
  <c r="C5" i="8" s="1"/>
  <c r="I21" i="5"/>
  <c r="C21" i="8" s="1"/>
  <c r="I20" i="5"/>
  <c r="C20" i="8" s="1"/>
  <c r="I12" i="5"/>
  <c r="C12" i="8" s="1"/>
  <c r="I4" i="5"/>
  <c r="C4" i="8" s="1"/>
  <c r="I22" i="5"/>
  <c r="C22" i="8" s="1"/>
  <c r="I14" i="5"/>
  <c r="C14" i="8" s="1"/>
  <c r="I6" i="5"/>
  <c r="C6" i="8" s="1"/>
  <c r="I13" i="5"/>
  <c r="C13" i="8" s="1"/>
  <c r="I19" i="5"/>
  <c r="C19" i="8" s="1"/>
  <c r="I11" i="5"/>
  <c r="C11" i="8" s="1"/>
  <c r="I3" i="5"/>
  <c r="C3" i="8" s="1"/>
  <c r="I18" i="5"/>
  <c r="C18" i="8" s="1"/>
  <c r="I10" i="5"/>
  <c r="C10" i="8" s="1"/>
  <c r="A2" i="8"/>
  <c r="F2" i="5"/>
  <c r="G2" i="5" l="1"/>
  <c r="E2" i="5"/>
  <c r="B33" i="8" l="1"/>
  <c r="B25" i="8"/>
  <c r="B9" i="8"/>
  <c r="B17" i="8"/>
  <c r="B31" i="8"/>
  <c r="B23" i="8"/>
  <c r="B15" i="8"/>
  <c r="B7" i="8"/>
  <c r="B34" i="8"/>
  <c r="B26" i="8"/>
  <c r="B18" i="8"/>
  <c r="B10" i="8"/>
  <c r="B19" i="8"/>
  <c r="B30" i="8"/>
  <c r="B14" i="8"/>
  <c r="B22" i="8"/>
  <c r="B13" i="8"/>
  <c r="B11" i="8"/>
  <c r="B32" i="8"/>
  <c r="B24" i="8"/>
  <c r="B16" i="8"/>
  <c r="B8" i="8"/>
  <c r="B6" i="8"/>
  <c r="B29" i="8"/>
  <c r="B35" i="8"/>
  <c r="B27" i="8"/>
  <c r="B37" i="8"/>
  <c r="B21" i="8"/>
  <c r="B5" i="8"/>
  <c r="B36" i="8"/>
  <c r="B28" i="8"/>
  <c r="B20" i="8"/>
  <c r="B12" i="8"/>
  <c r="B4" i="8"/>
  <c r="B3" i="8"/>
  <c r="I2" i="5"/>
  <c r="C2" i="8" l="1"/>
  <c r="B2" i="8"/>
  <c r="I2" i="3" l="1"/>
  <c r="L2" i="3" s="1"/>
  <c r="I37" i="3"/>
  <c r="L37" i="3" s="1"/>
  <c r="I18" i="3"/>
  <c r="L18" i="3" s="1"/>
  <c r="I17" i="3"/>
  <c r="L17" i="3" s="1"/>
  <c r="I30" i="3"/>
  <c r="L30" i="3" s="1"/>
  <c r="I34" i="3"/>
  <c r="L34" i="3" s="1"/>
  <c r="I15" i="3"/>
  <c r="L15" i="3" s="1"/>
  <c r="I20" i="3"/>
  <c r="L20" i="3" s="1"/>
  <c r="I32" i="3"/>
  <c r="L32" i="3" s="1"/>
  <c r="I7" i="3"/>
  <c r="L7" i="3" s="1"/>
  <c r="I11" i="3"/>
  <c r="L11" i="3" s="1"/>
  <c r="I25" i="3"/>
  <c r="L25" i="3" s="1"/>
  <c r="I29" i="3"/>
  <c r="L29" i="3" s="1"/>
  <c r="I33" i="3"/>
  <c r="L33" i="3" s="1"/>
  <c r="I4" i="3"/>
  <c r="L4" i="3" s="1"/>
  <c r="I8" i="3"/>
  <c r="L8" i="3" s="1"/>
  <c r="I12" i="3"/>
  <c r="L12" i="3" s="1"/>
  <c r="I26" i="3"/>
  <c r="L26" i="3" s="1"/>
  <c r="I5" i="3"/>
  <c r="L5" i="3" s="1"/>
  <c r="I9" i="3"/>
  <c r="L9" i="3" s="1"/>
  <c r="I27" i="3"/>
  <c r="L27" i="3" s="1"/>
  <c r="I31" i="3"/>
  <c r="L31" i="3" s="1"/>
  <c r="I10" i="3"/>
  <c r="L10" i="3" s="1"/>
  <c r="I16" i="3"/>
  <c r="L16" i="3" s="1"/>
  <c r="I24" i="3"/>
  <c r="L24" i="3" s="1"/>
  <c r="I28" i="3"/>
  <c r="L28" i="3" s="1"/>
  <c r="I14" i="3"/>
  <c r="L14" i="3" s="1"/>
  <c r="I22" i="3"/>
  <c r="L22" i="3" s="1"/>
  <c r="I23" i="3"/>
  <c r="L23" i="3" s="1"/>
  <c r="I6" i="3"/>
  <c r="L6" i="3" s="1"/>
  <c r="I13" i="3"/>
  <c r="L13" i="3" s="1"/>
  <c r="I3" i="3"/>
  <c r="L3" i="3" s="1"/>
  <c r="I21" i="3"/>
  <c r="L21" i="3" s="1"/>
  <c r="I19" i="3"/>
  <c r="L19" i="3" s="1"/>
  <c r="I35" i="3"/>
  <c r="L35" i="3" s="1"/>
  <c r="I36" i="3"/>
  <c r="L36" i="3" s="1"/>
</calcChain>
</file>

<file path=xl/sharedStrings.xml><?xml version="1.0" encoding="utf-8"?>
<sst xmlns="http://schemas.openxmlformats.org/spreadsheetml/2006/main" count="49" uniqueCount="33">
  <si>
    <t>Nº de Registro</t>
  </si>
  <si>
    <t>Cápsula</t>
  </si>
  <si>
    <t>Po (g)</t>
  </si>
  <si>
    <t>P (g)</t>
  </si>
  <si>
    <t>Tara (g)</t>
  </si>
  <si>
    <t>H (g/100g) a
105 ºC s.s.s.</t>
  </si>
  <si>
    <t>Volumen suelo
 (ml)</t>
  </si>
  <si>
    <t>Fecha</t>
  </si>
  <si>
    <t>Analista</t>
  </si>
  <si>
    <t>P (g)
 a 400 ºC</t>
  </si>
  <si>
    <t>DATOS DE CONEXIÓN</t>
  </si>
  <si>
    <t>Com Port</t>
  </si>
  <si>
    <t>Baud Rate</t>
  </si>
  <si>
    <t>Parity</t>
  </si>
  <si>
    <t>N</t>
  </si>
  <si>
    <t>Data Bits</t>
  </si>
  <si>
    <t>Stop Bits</t>
  </si>
  <si>
    <t>Materia Orgánica
g/kg
(014)</t>
  </si>
  <si>
    <t>Número de muestra</t>
  </si>
  <si>
    <t>Resultado</t>
  </si>
  <si>
    <t>Necesidades de enmienda orgánica
Kg/ha
(018)</t>
  </si>
  <si>
    <r>
      <t>Densidad suelo &lt; 2mm
g/cm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 xml:space="preserve">
(071)</t>
    </r>
  </si>
  <si>
    <t>Pesada final</t>
  </si>
  <si>
    <t>Firma</t>
  </si>
  <si>
    <t>Pesada inicial</t>
  </si>
  <si>
    <t>Nombre</t>
  </si>
  <si>
    <t>Balanza</t>
  </si>
  <si>
    <t>Cerrado</t>
  </si>
  <si>
    <t>SU119</t>
  </si>
  <si>
    <t>Tara+Po
(g)</t>
  </si>
  <si>
    <t>F.C.
105 ºC</t>
  </si>
  <si>
    <t>PSI</t>
  </si>
  <si>
    <t>R-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</si>
</sst>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vertAlign val="superscript"/>
      <sz val="10"/>
      <color theme="0"/>
      <name val="Arial"/>
      <family val="2"/>
    </font>
    <font>
      <b/>
      <sz val="10"/>
      <color theme="1"/>
      <name val="Arial"/>
      <family val="2"/>
    </font>
    <font>
      <b/>
      <sz val="30"/>
      <name val="Arial"/>
      <family val="2"/>
    </font>
    <font>
      <b/>
      <sz val="30"/>
      <color rgb="FFFF0000"/>
      <name val="Arial"/>
      <family val="2"/>
    </font>
    <font>
      <sz val="30"/>
      <color rgb="FFFF0000"/>
      <name val="Arial"/>
      <family val="2"/>
    </font>
    <font>
      <sz val="2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3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7" fillId="4" borderId="0" applyNumberFormat="0" applyBorder="0" applyAlignment="0" applyProtection="0"/>
  </cellStyleXfs>
  <cellXfs count="48">
    <xf numFmtId="0" fontId="0" fillId="0" borderId="0" xfId="0"/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0" borderId="0" xfId="0" applyAlignment="1"/>
    <xf numFmtId="0" fontId="2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14" fontId="13" fillId="0" borderId="1" xfId="0" applyNumberFormat="1" applyFont="1" applyBorder="1" applyAlignment="1" applyProtection="1">
      <alignment horizontal="center" vertical="center"/>
      <protection locked="0"/>
    </xf>
    <xf numFmtId="2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16" fillId="4" borderId="1" xfId="2" applyFont="1" applyBorder="1" applyAlignment="1">
      <alignment horizontal="center" vertical="center"/>
    </xf>
    <xf numFmtId="0" fontId="16" fillId="4" borderId="1" xfId="2" applyFont="1" applyBorder="1" applyAlignment="1">
      <alignment horizontal="center" vertical="center" wrapText="1"/>
    </xf>
    <xf numFmtId="0" fontId="0" fillId="0" borderId="1" xfId="0" applyBorder="1"/>
    <xf numFmtId="0" fontId="4" fillId="3" borderId="4" xfId="0" applyFont="1" applyFill="1" applyBorder="1" applyAlignment="1">
      <alignment horizontal="center" vertical="center" wrapText="1"/>
    </xf>
    <xf numFmtId="0" fontId="0" fillId="0" borderId="0" xfId="0" applyProtection="1"/>
    <xf numFmtId="0" fontId="2" fillId="0" borderId="0" xfId="0" applyFont="1" applyAlignment="1">
      <alignment vertical="center" wrapText="1"/>
    </xf>
    <xf numFmtId="0" fontId="10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4" fillId="0" borderId="0" xfId="0" applyNumberFormat="1" applyFont="1" applyAlignment="1" applyProtection="1">
      <alignment vertical="center" wrapText="1"/>
      <protection locked="0"/>
    </xf>
    <xf numFmtId="0" fontId="9" fillId="0" borderId="0" xfId="0" applyNumberFormat="1" applyFont="1" applyAlignment="1" applyProtection="1">
      <alignment vertical="center" wrapText="1"/>
      <protection locked="0"/>
    </xf>
    <xf numFmtId="0" fontId="19" fillId="0" borderId="0" xfId="0" applyFont="1" applyProtection="1">
      <protection locked="0"/>
    </xf>
    <xf numFmtId="0" fontId="19" fillId="0" borderId="0" xfId="0" applyFont="1"/>
    <xf numFmtId="14" fontId="13" fillId="0" borderId="1" xfId="0" applyNumberFormat="1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NumberFormat="1" applyFont="1" applyBorder="1" applyAlignment="1" applyProtection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</cellXfs>
  <cellStyles count="3">
    <cellStyle name="60% - Énfasis2" xfId="2" builtinId="36"/>
    <cellStyle name="Normal" xfId="0" builtinId="0"/>
    <cellStyle name="Normal 2" xfId="1"/>
  </cellStyles>
  <dxfs count="3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37"/>
  <sheetViews>
    <sheetView tabSelected="1" zoomScaleNormal="100" workbookViewId="0">
      <selection activeCell="A3" sqref="A3"/>
    </sheetView>
  </sheetViews>
  <sheetFormatPr baseColWidth="10" defaultRowHeight="13.2" x14ac:dyDescent="0.25"/>
  <cols>
    <col min="1" max="1" width="15.88671875" bestFit="1" customWidth="1"/>
    <col min="2" max="2" width="10.6640625" hidden="1" customWidth="1"/>
    <col min="3" max="3" width="12.33203125" hidden="1" customWidth="1"/>
    <col min="9" max="9" width="11.21875" bestFit="1" customWidth="1"/>
    <col min="12" max="12" width="13.5546875" bestFit="1" customWidth="1"/>
    <col min="15" max="15" width="16.109375" customWidth="1"/>
  </cols>
  <sheetData>
    <row r="1" spans="1:15" ht="55.2" x14ac:dyDescent="0.25">
      <c r="A1" s="3" t="s">
        <v>0</v>
      </c>
      <c r="B1" s="4" t="s">
        <v>7</v>
      </c>
      <c r="C1" s="4" t="s">
        <v>8</v>
      </c>
      <c r="D1" s="5" t="s">
        <v>1</v>
      </c>
      <c r="E1" s="5" t="s">
        <v>4</v>
      </c>
      <c r="F1" s="6" t="s">
        <v>29</v>
      </c>
      <c r="G1" s="5" t="s">
        <v>2</v>
      </c>
      <c r="H1" s="5" t="s">
        <v>3</v>
      </c>
      <c r="I1" s="6" t="s">
        <v>30</v>
      </c>
      <c r="J1" s="6" t="s">
        <v>5</v>
      </c>
      <c r="K1" s="7" t="s">
        <v>6</v>
      </c>
      <c r="L1" s="26" t="s">
        <v>21</v>
      </c>
    </row>
    <row r="2" spans="1:15" x14ac:dyDescent="0.25">
      <c r="A2" s="15" t="s">
        <v>31</v>
      </c>
      <c r="B2" s="35" t="str">
        <f>IF($N$30="","",$N$30)</f>
        <v/>
      </c>
      <c r="C2" s="36" t="str">
        <f>IF($N$31="","",$N$31)</f>
        <v/>
      </c>
      <c r="D2" s="15"/>
      <c r="E2" s="17"/>
      <c r="F2" s="17"/>
      <c r="G2" s="42" t="str">
        <f>IF(OR(E2="",F2=""),"",F2-E2)</f>
        <v/>
      </c>
      <c r="H2" s="17"/>
      <c r="I2" s="43" t="str">
        <f>IF(Humedad!$J2="","",Mediapar((1+(Humedad!$J2/100)),3))</f>
        <v/>
      </c>
      <c r="J2" s="44" t="str">
        <f>IF(OR(Humedad!$A2="",Humedad!$B2="",Humedad!$C2="",Humedad!$D2="",Humedad!$E2="",Humedad!$G2="",Humedad!$H2=""),"",(Humedad!$G2-(Humedad!$H2-Humedad!$E2))*100/(Humedad!$H2-Humedad!$E2))</f>
        <v/>
      </c>
      <c r="K2" s="16">
        <v>10</v>
      </c>
      <c r="L2" s="21" t="str">
        <f>IF(OR(Humedad!$I2="",Humedad!$K2=""),"",(Humedad!$G2/Humedad!$K2))</f>
        <v/>
      </c>
    </row>
    <row r="3" spans="1:15" x14ac:dyDescent="0.25">
      <c r="A3" s="15"/>
      <c r="B3" s="35" t="str">
        <f t="shared" ref="B3:B37" si="0">IF($N$30="","",$N$30)</f>
        <v/>
      </c>
      <c r="C3" s="36" t="str">
        <f t="shared" ref="C3:C37" si="1">IF($N$31="","",$N$31)</f>
        <v/>
      </c>
      <c r="D3" s="15"/>
      <c r="E3" s="17"/>
      <c r="F3" s="17"/>
      <c r="G3" s="42" t="str">
        <f t="shared" ref="G3:G37" si="2">IF(OR(E3="",F3=""),"",F3-E3)</f>
        <v/>
      </c>
      <c r="H3" s="17"/>
      <c r="I3" s="43" t="str">
        <f>IF(Humedad!$J3="","",Mediapar((1+(Humedad!$J3/100)),3))</f>
        <v/>
      </c>
      <c r="J3" s="44" t="str">
        <f>IF(OR(Humedad!$A3="",Humedad!$B3="",Humedad!$C3="",Humedad!$D3="",Humedad!$E3="",Humedad!$G3="",Humedad!$H3=""),"",(Humedad!$G3-(Humedad!$H3-Humedad!$E3))*100/(Humedad!$H3-Humedad!$E3))</f>
        <v/>
      </c>
      <c r="K3" s="16">
        <v>10</v>
      </c>
      <c r="L3" s="21" t="str">
        <f>IF(OR(Humedad!$I3="",Humedad!$K3=""),"",(Humedad!$G3/Humedad!$K3))</f>
        <v/>
      </c>
    </row>
    <row r="4" spans="1:15" x14ac:dyDescent="0.25">
      <c r="A4" s="15"/>
      <c r="B4" s="35" t="str">
        <f t="shared" si="0"/>
        <v/>
      </c>
      <c r="C4" s="36" t="str">
        <f t="shared" si="1"/>
        <v/>
      </c>
      <c r="D4" s="15"/>
      <c r="E4" s="17"/>
      <c r="F4" s="17"/>
      <c r="G4" s="42" t="str">
        <f t="shared" si="2"/>
        <v/>
      </c>
      <c r="H4" s="17"/>
      <c r="I4" s="43" t="str">
        <f>IF(Humedad!$J4="","",Mediapar((1+(Humedad!$J4/100)),3))</f>
        <v/>
      </c>
      <c r="J4" s="44" t="str">
        <f>IF(OR(Humedad!$A4="",Humedad!$B4="",Humedad!$C4="",Humedad!$D4="",Humedad!$E4="",Humedad!$G4="",Humedad!$H4=""),"",(Humedad!$G4-(Humedad!$H4-Humedad!$E4))*100/(Humedad!$H4-Humedad!$E4))</f>
        <v/>
      </c>
      <c r="K4" s="16">
        <v>10</v>
      </c>
      <c r="L4" s="21" t="str">
        <f>IF(OR(Humedad!$I4="",Humedad!$K4=""),"",(Humedad!$G4/Humedad!$K4))</f>
        <v/>
      </c>
    </row>
    <row r="5" spans="1:15" x14ac:dyDescent="0.25">
      <c r="A5" s="15"/>
      <c r="B5" s="35" t="str">
        <f t="shared" si="0"/>
        <v/>
      </c>
      <c r="C5" s="36" t="str">
        <f t="shared" si="1"/>
        <v/>
      </c>
      <c r="D5" s="15"/>
      <c r="E5" s="17"/>
      <c r="F5" s="17"/>
      <c r="G5" s="42" t="str">
        <f t="shared" si="2"/>
        <v/>
      </c>
      <c r="H5" s="17"/>
      <c r="I5" s="43" t="str">
        <f>IF(Humedad!$J5="","",Mediapar((1+(Humedad!$J5/100)),3))</f>
        <v/>
      </c>
      <c r="J5" s="44" t="str">
        <f>IF(OR(Humedad!$A5="",Humedad!$B5="",Humedad!$C5="",Humedad!$D5="",Humedad!$E5="",Humedad!$G5="",Humedad!$H5=""),"",(Humedad!$G5-(Humedad!$H5-Humedad!$E5))*100/(Humedad!$H5-Humedad!$E5))</f>
        <v/>
      </c>
      <c r="K5" s="16">
        <v>10</v>
      </c>
      <c r="L5" s="21" t="str">
        <f>IF(OR(Humedad!$I5="",Humedad!$K5=""),"",(Humedad!$G5/Humedad!$K5))</f>
        <v/>
      </c>
    </row>
    <row r="6" spans="1:15" x14ac:dyDescent="0.25">
      <c r="A6" s="15"/>
      <c r="B6" s="35" t="str">
        <f t="shared" si="0"/>
        <v/>
      </c>
      <c r="C6" s="36" t="str">
        <f t="shared" si="1"/>
        <v/>
      </c>
      <c r="D6" s="15"/>
      <c r="E6" s="17"/>
      <c r="F6" s="17"/>
      <c r="G6" s="42" t="str">
        <f t="shared" si="2"/>
        <v/>
      </c>
      <c r="H6" s="17"/>
      <c r="I6" s="43" t="str">
        <f>IF(Humedad!$J6="","",Mediapar((1+(Humedad!$J6/100)),3))</f>
        <v/>
      </c>
      <c r="J6" s="44" t="str">
        <f>IF(OR(Humedad!$A6="",Humedad!$B6="",Humedad!$C6="",Humedad!$D6="",Humedad!$E6="",Humedad!$G6="",Humedad!$H6=""),"",(Humedad!$G6-(Humedad!$H6-Humedad!$E6))*100/(Humedad!$H6-Humedad!$E6))</f>
        <v/>
      </c>
      <c r="K6" s="16">
        <v>10</v>
      </c>
      <c r="L6" s="21" t="str">
        <f>IF(OR(Humedad!$I6="",Humedad!$K6=""),"",(Humedad!$G6/Humedad!$K6))</f>
        <v/>
      </c>
    </row>
    <row r="7" spans="1:15" x14ac:dyDescent="0.25">
      <c r="A7" s="15"/>
      <c r="B7" s="35" t="str">
        <f t="shared" si="0"/>
        <v/>
      </c>
      <c r="C7" s="36" t="str">
        <f t="shared" si="1"/>
        <v/>
      </c>
      <c r="D7" s="15"/>
      <c r="E7" s="17"/>
      <c r="F7" s="17"/>
      <c r="G7" s="42" t="str">
        <f t="shared" si="2"/>
        <v/>
      </c>
      <c r="H7" s="17"/>
      <c r="I7" s="43" t="str">
        <f>IF(Humedad!$J7="","",Mediapar((1+(Humedad!$J7/100)),3))</f>
        <v/>
      </c>
      <c r="J7" s="44" t="str">
        <f>IF(OR(Humedad!$A7="",Humedad!$B7="",Humedad!$C7="",Humedad!$D7="",Humedad!$E7="",Humedad!$G7="",Humedad!$H7=""),"",(Humedad!$G7-(Humedad!$H7-Humedad!$E7))*100/(Humedad!$H7-Humedad!$E7))</f>
        <v/>
      </c>
      <c r="K7" s="16">
        <v>10</v>
      </c>
      <c r="L7" s="21" t="str">
        <f>IF(OR(Humedad!$I7="",Humedad!$K7=""),"",(Humedad!$G7/Humedad!$K7))</f>
        <v/>
      </c>
    </row>
    <row r="8" spans="1:15" x14ac:dyDescent="0.25">
      <c r="A8" s="15"/>
      <c r="B8" s="35" t="str">
        <f t="shared" si="0"/>
        <v/>
      </c>
      <c r="C8" s="36" t="str">
        <f t="shared" si="1"/>
        <v/>
      </c>
      <c r="D8" s="15"/>
      <c r="E8" s="17"/>
      <c r="F8" s="17"/>
      <c r="G8" s="42" t="str">
        <f t="shared" si="2"/>
        <v/>
      </c>
      <c r="H8" s="17"/>
      <c r="I8" s="43" t="str">
        <f>IF(Humedad!$J8="","",Mediapar((1+(Humedad!$J8/100)),3))</f>
        <v/>
      </c>
      <c r="J8" s="44" t="str">
        <f>IF(OR(Humedad!$A8="",Humedad!$B8="",Humedad!$C8="",Humedad!$D8="",Humedad!$E8="",Humedad!$G8="",Humedad!$H8=""),"",(Humedad!$G8-(Humedad!$H8-Humedad!$E8))*100/(Humedad!$H8-Humedad!$E8))</f>
        <v/>
      </c>
      <c r="K8" s="16">
        <v>10</v>
      </c>
      <c r="L8" s="21" t="str">
        <f>IF(OR(Humedad!$I8="",Humedad!$K8=""),"",(Humedad!$G8/Humedad!$K8))</f>
        <v/>
      </c>
    </row>
    <row r="9" spans="1:15" x14ac:dyDescent="0.25">
      <c r="A9" s="15"/>
      <c r="B9" s="35" t="str">
        <f t="shared" si="0"/>
        <v/>
      </c>
      <c r="C9" s="36" t="str">
        <f t="shared" si="1"/>
        <v/>
      </c>
      <c r="D9" s="15"/>
      <c r="E9" s="17"/>
      <c r="F9" s="17"/>
      <c r="G9" s="42" t="str">
        <f t="shared" si="2"/>
        <v/>
      </c>
      <c r="H9" s="17"/>
      <c r="I9" s="43" t="str">
        <f>IF(Humedad!$J9="","",Mediapar((1+(Humedad!$J9/100)),3))</f>
        <v/>
      </c>
      <c r="J9" s="44" t="str">
        <f>IF(OR(Humedad!$A9="",Humedad!$B9="",Humedad!$C9="",Humedad!$D9="",Humedad!$E9="",Humedad!$G9="",Humedad!$H9=""),"",(Humedad!$G9-(Humedad!$H9-Humedad!$E9))*100/(Humedad!$H9-Humedad!$E9))</f>
        <v/>
      </c>
      <c r="K9" s="16">
        <v>10</v>
      </c>
      <c r="L9" s="21" t="str">
        <f>IF(OR(Humedad!$I9="",Humedad!$K9=""),"",(Humedad!$G9/Humedad!$K9))</f>
        <v/>
      </c>
      <c r="M9" s="33" t="s">
        <v>27</v>
      </c>
      <c r="N9" s="33"/>
    </row>
    <row r="10" spans="1:15" x14ac:dyDescent="0.25">
      <c r="A10" s="15"/>
      <c r="B10" s="35" t="str">
        <f t="shared" si="0"/>
        <v/>
      </c>
      <c r="C10" s="36" t="str">
        <f t="shared" si="1"/>
        <v/>
      </c>
      <c r="D10" s="15"/>
      <c r="E10" s="17"/>
      <c r="F10" s="17"/>
      <c r="G10" s="42" t="str">
        <f t="shared" si="2"/>
        <v/>
      </c>
      <c r="H10" s="17"/>
      <c r="I10" s="43" t="str">
        <f>IF(Humedad!$J10="","",Mediapar((1+(Humedad!$J10/100)),3))</f>
        <v/>
      </c>
      <c r="J10" s="44" t="str">
        <f>IF(OR(Humedad!$A10="",Humedad!$B10="",Humedad!$C10="",Humedad!$D10="",Humedad!$E10="",Humedad!$G10="",Humedad!$H10=""),"",(Humedad!$G10-(Humedad!$H10-Humedad!$E10))*100/(Humedad!$H10-Humedad!$E10))</f>
        <v/>
      </c>
      <c r="K10" s="16">
        <v>10</v>
      </c>
      <c r="L10" s="21" t="str">
        <f>IF(OR(Humedad!$I10="",Humedad!$K10=""),"",(Humedad!$G10/Humedad!$K10))</f>
        <v/>
      </c>
      <c r="N10" s="27"/>
    </row>
    <row r="11" spans="1:15" x14ac:dyDescent="0.25">
      <c r="A11" s="15"/>
      <c r="B11" s="35" t="str">
        <f t="shared" si="0"/>
        <v/>
      </c>
      <c r="C11" s="36" t="str">
        <f t="shared" si="1"/>
        <v/>
      </c>
      <c r="D11" s="15"/>
      <c r="E11" s="17"/>
      <c r="F11" s="17"/>
      <c r="G11" s="42" t="str">
        <f t="shared" si="2"/>
        <v/>
      </c>
      <c r="H11" s="17"/>
      <c r="I11" s="43" t="str">
        <f>IF(Humedad!$J11="","",Mediapar((1+(Humedad!$J11/100)),3))</f>
        <v/>
      </c>
      <c r="J11" s="44" t="str">
        <f>IF(OR(Humedad!$A11="",Humedad!$B11="",Humedad!$C11="",Humedad!$D11="",Humedad!$E11="",Humedad!$G11="",Humedad!$H11=""),"",(Humedad!$G11-(Humedad!$H11-Humedad!$E11))*100/(Humedad!$H11-Humedad!$E11))</f>
        <v/>
      </c>
      <c r="K11" s="16">
        <v>10</v>
      </c>
      <c r="L11" s="21" t="str">
        <f>IF(OR(Humedad!$I11="",Humedad!$K11=""),"",(Humedad!$G11/Humedad!$K11))</f>
        <v/>
      </c>
    </row>
    <row r="12" spans="1:15" x14ac:dyDescent="0.25">
      <c r="A12" s="15"/>
      <c r="B12" s="35" t="str">
        <f t="shared" si="0"/>
        <v/>
      </c>
      <c r="C12" s="36" t="str">
        <f t="shared" si="1"/>
        <v/>
      </c>
      <c r="D12" s="15"/>
      <c r="E12" s="17"/>
      <c r="F12" s="17"/>
      <c r="G12" s="42" t="str">
        <f t="shared" si="2"/>
        <v/>
      </c>
      <c r="H12" s="17"/>
      <c r="I12" s="43" t="str">
        <f>IF(Humedad!$J12="","",Mediapar((1+(Humedad!$J12/100)),3))</f>
        <v/>
      </c>
      <c r="J12" s="44" t="str">
        <f>IF(OR(Humedad!$A12="",Humedad!$B12="",Humedad!$C12="",Humedad!$D12="",Humedad!$E12="",Humedad!$G12="",Humedad!$H12=""),"",(Humedad!$G12-(Humedad!$H12-Humedad!$E12))*100/(Humedad!$H12-Humedad!$E12))</f>
        <v/>
      </c>
      <c r="K12" s="16">
        <v>10</v>
      </c>
      <c r="L12" s="21" t="str">
        <f>IF(OR(Humedad!$I12="",Humedad!$K12=""),"",(Humedad!$G12/Humedad!$K12))</f>
        <v/>
      </c>
      <c r="N12" s="27"/>
    </row>
    <row r="13" spans="1:15" x14ac:dyDescent="0.25">
      <c r="A13" s="15"/>
      <c r="B13" s="35" t="str">
        <f t="shared" si="0"/>
        <v/>
      </c>
      <c r="C13" s="36" t="str">
        <f t="shared" si="1"/>
        <v/>
      </c>
      <c r="D13" s="15"/>
      <c r="E13" s="17"/>
      <c r="F13" s="17"/>
      <c r="G13" s="42" t="str">
        <f t="shared" si="2"/>
        <v/>
      </c>
      <c r="H13" s="17"/>
      <c r="I13" s="43" t="str">
        <f>IF(Humedad!$J13="","",Mediapar((1+(Humedad!$J13/100)),3))</f>
        <v/>
      </c>
      <c r="J13" s="44" t="str">
        <f>IF(OR(Humedad!$A13="",Humedad!$B13="",Humedad!$C13="",Humedad!$D13="",Humedad!$E13="",Humedad!$G13="",Humedad!$H13=""),"",(Humedad!$G13-(Humedad!$H13-Humedad!$E13))*100/(Humedad!$H13-Humedad!$E13))</f>
        <v/>
      </c>
      <c r="K13" s="16">
        <v>10</v>
      </c>
      <c r="L13" s="21" t="str">
        <f>IF(OR(Humedad!$I13="",Humedad!$K13=""),"",(Humedad!$G13/Humedad!$K13))</f>
        <v/>
      </c>
    </row>
    <row r="14" spans="1:15" ht="13.05" customHeight="1" x14ac:dyDescent="0.25">
      <c r="A14" s="15"/>
      <c r="B14" s="35" t="str">
        <f t="shared" si="0"/>
        <v/>
      </c>
      <c r="C14" s="36" t="str">
        <f t="shared" si="1"/>
        <v/>
      </c>
      <c r="D14" s="15"/>
      <c r="E14" s="17"/>
      <c r="F14" s="17"/>
      <c r="G14" s="42" t="str">
        <f t="shared" si="2"/>
        <v/>
      </c>
      <c r="H14" s="17"/>
      <c r="I14" s="43" t="str">
        <f>IF(Humedad!$J14="","",Mediapar((1+(Humedad!$J14/100)),3))</f>
        <v/>
      </c>
      <c r="J14" s="44" t="str">
        <f>IF(OR(Humedad!$A14="",Humedad!$B14="",Humedad!$C14="",Humedad!$D14="",Humedad!$E14="",Humedad!$G14="",Humedad!$H14=""),"",(Humedad!$G14-(Humedad!$H14-Humedad!$E14))*100/(Humedad!$H14-Humedad!$E14))</f>
        <v/>
      </c>
      <c r="K14" s="16">
        <v>10</v>
      </c>
      <c r="L14" s="21" t="str">
        <f>IF(OR(Humedad!$I14="",Humedad!$K14=""),"",(Humedad!$G14/Humedad!$K14))</f>
        <v/>
      </c>
      <c r="N14" s="28"/>
      <c r="O14" s="28"/>
    </row>
    <row r="15" spans="1:15" ht="13.05" customHeight="1" x14ac:dyDescent="0.25">
      <c r="A15" s="15"/>
      <c r="B15" s="35" t="str">
        <f t="shared" si="0"/>
        <v/>
      </c>
      <c r="C15" s="36" t="str">
        <f t="shared" si="1"/>
        <v/>
      </c>
      <c r="D15" s="15"/>
      <c r="E15" s="17"/>
      <c r="F15" s="17"/>
      <c r="G15" s="42" t="str">
        <f t="shared" si="2"/>
        <v/>
      </c>
      <c r="H15" s="17"/>
      <c r="I15" s="43" t="str">
        <f>IF(Humedad!$J15="","",Mediapar((1+(Humedad!$J15/100)),3))</f>
        <v/>
      </c>
      <c r="J15" s="44" t="str">
        <f>IF(OR(Humedad!$A15="",Humedad!$B15="",Humedad!$C15="",Humedad!$D15="",Humedad!$E15="",Humedad!$G15="",Humedad!$H15=""),"",(Humedad!$G15-(Humedad!$H15-Humedad!$E15))*100/(Humedad!$H15-Humedad!$E15))</f>
        <v/>
      </c>
      <c r="K15" s="16">
        <v>10</v>
      </c>
      <c r="L15" s="21" t="str">
        <f>IF(OR(Humedad!$I15="",Humedad!$K15=""),"",(Humedad!$G15/Humedad!$K15))</f>
        <v/>
      </c>
      <c r="N15" s="29"/>
      <c r="O15" s="29"/>
    </row>
    <row r="16" spans="1:15" ht="13.05" customHeight="1" x14ac:dyDescent="0.25">
      <c r="A16" s="15"/>
      <c r="B16" s="35" t="str">
        <f t="shared" si="0"/>
        <v/>
      </c>
      <c r="C16" s="36" t="str">
        <f t="shared" si="1"/>
        <v/>
      </c>
      <c r="D16" s="15"/>
      <c r="E16" s="17"/>
      <c r="F16" s="17"/>
      <c r="G16" s="42" t="str">
        <f t="shared" si="2"/>
        <v/>
      </c>
      <c r="H16" s="17"/>
      <c r="I16" s="43" t="str">
        <f>IF(Humedad!$J16="","",Mediapar((1+(Humedad!$J16/100)),3))</f>
        <v/>
      </c>
      <c r="J16" s="44" t="str">
        <f>IF(OR(Humedad!$A16="",Humedad!$B16="",Humedad!$C16="",Humedad!$D16="",Humedad!$E16="",Humedad!$G16="",Humedad!$H16=""),"",(Humedad!$G16-(Humedad!$H16-Humedad!$E16))*100/(Humedad!$H16-Humedad!$E16))</f>
        <v/>
      </c>
      <c r="K16" s="16">
        <v>10</v>
      </c>
      <c r="L16" s="21" t="str">
        <f>IF(OR(Humedad!$I16="",Humedad!$K16=""),"",(Humedad!$G16/Humedad!$K16))</f>
        <v/>
      </c>
      <c r="N16" s="29"/>
      <c r="O16" s="29"/>
    </row>
    <row r="17" spans="1:15" ht="12.45" customHeight="1" x14ac:dyDescent="0.25">
      <c r="A17" s="15"/>
      <c r="B17" s="35" t="str">
        <f t="shared" si="0"/>
        <v/>
      </c>
      <c r="C17" s="36" t="str">
        <f t="shared" si="1"/>
        <v/>
      </c>
      <c r="D17" s="15"/>
      <c r="E17" s="17"/>
      <c r="F17" s="17"/>
      <c r="G17" s="42" t="str">
        <f t="shared" si="2"/>
        <v/>
      </c>
      <c r="H17" s="17"/>
      <c r="I17" s="43" t="str">
        <f>IF(Humedad!$J17="","",Mediapar((1+(Humedad!$J17/100)),3))</f>
        <v/>
      </c>
      <c r="J17" s="44" t="str">
        <f>IF(OR(Humedad!$A17="",Humedad!$B17="",Humedad!$C17="",Humedad!$D17="",Humedad!$E17="",Humedad!$G17="",Humedad!$H17=""),"",(Humedad!$G17-(Humedad!$H17-Humedad!$E17))*100/(Humedad!$H17-Humedad!$E17))</f>
        <v/>
      </c>
      <c r="K17" s="16">
        <v>10</v>
      </c>
      <c r="L17" s="21" t="str">
        <f>IF(OR(Humedad!$I17="",Humedad!$K17=""),"",(Humedad!$G17/Humedad!$K17))</f>
        <v/>
      </c>
      <c r="N17" s="28"/>
      <c r="O17" s="28"/>
    </row>
    <row r="18" spans="1:15" ht="12.45" customHeight="1" x14ac:dyDescent="0.25">
      <c r="A18" s="15"/>
      <c r="B18" s="35" t="str">
        <f t="shared" si="0"/>
        <v/>
      </c>
      <c r="C18" s="36" t="str">
        <f t="shared" si="1"/>
        <v/>
      </c>
      <c r="D18" s="15"/>
      <c r="E18" s="17"/>
      <c r="F18" s="17"/>
      <c r="G18" s="42" t="str">
        <f t="shared" si="2"/>
        <v/>
      </c>
      <c r="H18" s="17"/>
      <c r="I18" s="43" t="str">
        <f>IF(Humedad!$J18="","",Mediapar((1+(Humedad!$J18/100)),3))</f>
        <v/>
      </c>
      <c r="J18" s="44" t="str">
        <f>IF(OR(Humedad!$A18="",Humedad!$B18="",Humedad!$C18="",Humedad!$D18="",Humedad!$E18="",Humedad!$G18="",Humedad!$H18=""),"",(Humedad!$G18-(Humedad!$H18-Humedad!$E18))*100/(Humedad!$H18-Humedad!$E18))</f>
        <v/>
      </c>
      <c r="K18" s="16">
        <v>10</v>
      </c>
      <c r="L18" s="21" t="str">
        <f>IF(OR(Humedad!$I18="",Humedad!$K18=""),"",(Humedad!$G18/Humedad!$K18))</f>
        <v/>
      </c>
      <c r="N18" s="30"/>
      <c r="O18" s="30"/>
    </row>
    <row r="19" spans="1:15" ht="12.45" customHeight="1" x14ac:dyDescent="0.25">
      <c r="A19" s="15"/>
      <c r="B19" s="35" t="str">
        <f t="shared" si="0"/>
        <v/>
      </c>
      <c r="C19" s="36" t="str">
        <f t="shared" si="1"/>
        <v/>
      </c>
      <c r="D19" s="15"/>
      <c r="E19" s="17"/>
      <c r="F19" s="17"/>
      <c r="G19" s="42" t="str">
        <f t="shared" si="2"/>
        <v/>
      </c>
      <c r="H19" s="17"/>
      <c r="I19" s="43" t="str">
        <f>IF(Humedad!$J19="","",Mediapar((1+(Humedad!$J19/100)),3))</f>
        <v/>
      </c>
      <c r="J19" s="44" t="str">
        <f>IF(OR(Humedad!$A19="",Humedad!$B19="",Humedad!$C19="",Humedad!$D19="",Humedad!$E19="",Humedad!$G19="",Humedad!$H19=""),"",(Humedad!$G19-(Humedad!$H19-Humedad!$E19))*100/(Humedad!$H19-Humedad!$E19))</f>
        <v/>
      </c>
      <c r="K19" s="16">
        <v>10</v>
      </c>
      <c r="L19" s="21" t="str">
        <f>IF(OR(Humedad!$I19="",Humedad!$K19=""),"",(Humedad!$G19/Humedad!$K19))</f>
        <v/>
      </c>
      <c r="N19" s="30"/>
      <c r="O19" s="30"/>
    </row>
    <row r="20" spans="1:15" ht="12.45" customHeight="1" x14ac:dyDescent="0.25">
      <c r="A20" s="15"/>
      <c r="B20" s="35" t="str">
        <f t="shared" si="0"/>
        <v/>
      </c>
      <c r="C20" s="36" t="str">
        <f t="shared" si="1"/>
        <v/>
      </c>
      <c r="D20" s="15"/>
      <c r="E20" s="17"/>
      <c r="F20" s="17"/>
      <c r="G20" s="42" t="str">
        <f t="shared" si="2"/>
        <v/>
      </c>
      <c r="H20" s="17"/>
      <c r="I20" s="43" t="str">
        <f>IF(Humedad!$J20="","",Mediapar((1+(Humedad!$J20/100)),3))</f>
        <v/>
      </c>
      <c r="J20" s="44" t="str">
        <f>IF(OR(Humedad!$A20="",Humedad!$B20="",Humedad!$C20="",Humedad!$D20="",Humedad!$E20="",Humedad!$G20="",Humedad!$H20=""),"",(Humedad!$G20-(Humedad!$H20-Humedad!$E20))*100/(Humedad!$H20-Humedad!$E20))</f>
        <v/>
      </c>
      <c r="K20" s="16">
        <v>10</v>
      </c>
      <c r="L20" s="21" t="str">
        <f>IF(OR(Humedad!$I20="",Humedad!$K20=""),"",(Humedad!$G20/Humedad!$K20))</f>
        <v/>
      </c>
      <c r="N20" s="28"/>
      <c r="O20" s="28"/>
    </row>
    <row r="21" spans="1:15" ht="12.45" customHeight="1" x14ac:dyDescent="0.25">
      <c r="A21" s="15"/>
      <c r="B21" s="35" t="str">
        <f t="shared" si="0"/>
        <v/>
      </c>
      <c r="C21" s="36" t="str">
        <f t="shared" si="1"/>
        <v/>
      </c>
      <c r="D21" s="15"/>
      <c r="E21" s="17"/>
      <c r="F21" s="17"/>
      <c r="G21" s="42" t="str">
        <f t="shared" si="2"/>
        <v/>
      </c>
      <c r="H21" s="17"/>
      <c r="I21" s="43" t="str">
        <f>IF(Humedad!$J21="","",Mediapar((1+(Humedad!$J21/100)),3))</f>
        <v/>
      </c>
      <c r="J21" s="44" t="str">
        <f>IF(OR(Humedad!$A21="",Humedad!$B21="",Humedad!$C21="",Humedad!$D21="",Humedad!$E21="",Humedad!$G21="",Humedad!$H21=""),"",(Humedad!$G21-(Humedad!$H21-Humedad!$E21))*100/(Humedad!$H21-Humedad!$E21))</f>
        <v/>
      </c>
      <c r="K21" s="16">
        <v>10</v>
      </c>
      <c r="L21" s="21" t="str">
        <f>IF(OR(Humedad!$I21="",Humedad!$K21=""),"",(Humedad!$G21/Humedad!$K21))</f>
        <v/>
      </c>
      <c r="N21" s="31"/>
      <c r="O21" s="31"/>
    </row>
    <row r="22" spans="1:15" ht="13.05" customHeight="1" x14ac:dyDescent="0.25">
      <c r="A22" s="15"/>
      <c r="B22" s="35" t="str">
        <f t="shared" si="0"/>
        <v/>
      </c>
      <c r="C22" s="36" t="str">
        <f t="shared" si="1"/>
        <v/>
      </c>
      <c r="D22" s="15"/>
      <c r="E22" s="17"/>
      <c r="F22" s="17"/>
      <c r="G22" s="42" t="str">
        <f t="shared" si="2"/>
        <v/>
      </c>
      <c r="H22" s="17"/>
      <c r="I22" s="43" t="str">
        <f>IF(Humedad!$J22="","",Mediapar((1+(Humedad!$J22/100)),3))</f>
        <v/>
      </c>
      <c r="J22" s="44" t="str">
        <f>IF(OR(Humedad!$A22="",Humedad!$B22="",Humedad!$C22="",Humedad!$D22="",Humedad!$E22="",Humedad!$G22="",Humedad!$H22=""),"",(Humedad!$G22-(Humedad!$H22-Humedad!$E22))*100/(Humedad!$H22-Humedad!$E22))</f>
        <v/>
      </c>
      <c r="K22" s="16">
        <v>10</v>
      </c>
      <c r="L22" s="21" t="str">
        <f>IF(OR(Humedad!$I22="",Humedad!$K22=""),"",(Humedad!$G22/Humedad!$K22))</f>
        <v/>
      </c>
      <c r="N22" s="31"/>
      <c r="O22" s="31"/>
    </row>
    <row r="23" spans="1:15" x14ac:dyDescent="0.25">
      <c r="A23" s="15"/>
      <c r="B23" s="35" t="str">
        <f t="shared" si="0"/>
        <v/>
      </c>
      <c r="C23" s="36" t="str">
        <f t="shared" si="1"/>
        <v/>
      </c>
      <c r="D23" s="15"/>
      <c r="E23" s="17"/>
      <c r="F23" s="17"/>
      <c r="G23" s="42" t="str">
        <f t="shared" si="2"/>
        <v/>
      </c>
      <c r="H23" s="17"/>
      <c r="I23" s="43" t="str">
        <f>IF(Humedad!$J23="","",Mediapar((1+(Humedad!$J23/100)),3))</f>
        <v/>
      </c>
      <c r="J23" s="44" t="str">
        <f>IF(OR(Humedad!$A23="",Humedad!$B23="",Humedad!$C23="",Humedad!$D23="",Humedad!$E23="",Humedad!$G23="",Humedad!$H23=""),"",(Humedad!$G23-(Humedad!$H23-Humedad!$E23))*100/(Humedad!$H23-Humedad!$E23))</f>
        <v/>
      </c>
      <c r="K23" s="16">
        <v>10</v>
      </c>
      <c r="L23" s="21" t="str">
        <f>IF(OR(Humedad!$I23="",Humedad!$K23=""),"",(Humedad!$G23/Humedad!$K23))</f>
        <v/>
      </c>
    </row>
    <row r="24" spans="1:15" x14ac:dyDescent="0.25">
      <c r="A24" s="15"/>
      <c r="B24" s="35" t="str">
        <f t="shared" si="0"/>
        <v/>
      </c>
      <c r="C24" s="36" t="str">
        <f t="shared" si="1"/>
        <v/>
      </c>
      <c r="D24" s="15"/>
      <c r="E24" s="17"/>
      <c r="F24" s="17"/>
      <c r="G24" s="42" t="str">
        <f t="shared" si="2"/>
        <v/>
      </c>
      <c r="H24" s="17"/>
      <c r="I24" s="43" t="str">
        <f>IF(Humedad!$J24="","",Mediapar((1+(Humedad!$J24/100)),3))</f>
        <v/>
      </c>
      <c r="J24" s="44" t="str">
        <f>IF(OR(Humedad!$A24="",Humedad!$B24="",Humedad!$C24="",Humedad!$D24="",Humedad!$E24="",Humedad!$G24="",Humedad!$H24=""),"",(Humedad!$G24-(Humedad!$H24-Humedad!$E24))*100/(Humedad!$H24-Humedad!$E24))</f>
        <v/>
      </c>
      <c r="K24" s="16">
        <v>10</v>
      </c>
      <c r="L24" s="21" t="str">
        <f>IF(OR(Humedad!$I24="",Humedad!$K24=""),"",(Humedad!$G24/Humedad!$K24))</f>
        <v/>
      </c>
    </row>
    <row r="25" spans="1:15" x14ac:dyDescent="0.25">
      <c r="A25" s="15"/>
      <c r="B25" s="35" t="str">
        <f t="shared" si="0"/>
        <v/>
      </c>
      <c r="C25" s="36" t="str">
        <f t="shared" si="1"/>
        <v/>
      </c>
      <c r="D25" s="15"/>
      <c r="E25" s="17"/>
      <c r="F25" s="17"/>
      <c r="G25" s="42" t="str">
        <f t="shared" si="2"/>
        <v/>
      </c>
      <c r="H25" s="17"/>
      <c r="I25" s="43" t="str">
        <f>IF(Humedad!$J25="","",Mediapar((1+(Humedad!$J25/100)),3))</f>
        <v/>
      </c>
      <c r="J25" s="44" t="str">
        <f>IF(OR(Humedad!$A25="",Humedad!$B25="",Humedad!$C25="",Humedad!$D25="",Humedad!$E25="",Humedad!$G25="",Humedad!$H25=""),"",(Humedad!$G25-(Humedad!$H25-Humedad!$E25))*100/(Humedad!$H25-Humedad!$E25))</f>
        <v/>
      </c>
      <c r="K25" s="16">
        <v>10</v>
      </c>
      <c r="L25" s="21" t="str">
        <f>IF(OR(Humedad!$I25="",Humedad!$K25=""),"",(Humedad!$G25/Humedad!$K25))</f>
        <v/>
      </c>
    </row>
    <row r="26" spans="1:15" x14ac:dyDescent="0.25">
      <c r="A26" s="15" t="s">
        <v>32</v>
      </c>
      <c r="B26" s="35" t="str">
        <f t="shared" si="0"/>
        <v/>
      </c>
      <c r="C26" s="36" t="str">
        <f t="shared" si="1"/>
        <v/>
      </c>
      <c r="D26" s="15"/>
      <c r="E26" s="17"/>
      <c r="F26" s="17"/>
      <c r="G26" s="42" t="str">
        <f t="shared" si="2"/>
        <v/>
      </c>
      <c r="H26" s="17"/>
      <c r="I26" s="43" t="str">
        <f>IF(Humedad!$J26="","",Mediapar((1+(Humedad!$J26/100)),3))</f>
        <v/>
      </c>
      <c r="J26" s="44" t="str">
        <f>IF(OR(Humedad!$A26="",Humedad!$B26="",Humedad!$C26="",Humedad!$D26="",Humedad!$E26="",Humedad!$G26="",Humedad!$H26=""),"",(Humedad!$G26-(Humedad!$H26-Humedad!$E26))*100/(Humedad!$H26-Humedad!$E26))</f>
        <v/>
      </c>
      <c r="K26" s="16">
        <v>10</v>
      </c>
      <c r="L26" s="21" t="str">
        <f>IF(OR(Humedad!$I26="",Humedad!$K26=""),"",(Humedad!$G26/Humedad!$K26))</f>
        <v/>
      </c>
    </row>
    <row r="27" spans="1:15" x14ac:dyDescent="0.25">
      <c r="A27" s="15" t="s">
        <v>32</v>
      </c>
      <c r="B27" s="35" t="str">
        <f t="shared" si="0"/>
        <v/>
      </c>
      <c r="C27" s="36" t="str">
        <f t="shared" si="1"/>
        <v/>
      </c>
      <c r="D27" s="15"/>
      <c r="E27" s="17"/>
      <c r="F27" s="17"/>
      <c r="G27" s="42" t="str">
        <f t="shared" si="2"/>
        <v/>
      </c>
      <c r="H27" s="17"/>
      <c r="I27" s="43" t="str">
        <f>IF(Humedad!$J27="","",Mediapar((1+(Humedad!$J27/100)),3))</f>
        <v/>
      </c>
      <c r="J27" s="44" t="str">
        <f>IF(OR(Humedad!$A27="",Humedad!$B27="",Humedad!$C27="",Humedad!$D27="",Humedad!$E27="",Humedad!$G27="",Humedad!$H27=""),"",(Humedad!$G27-(Humedad!$H27-Humedad!$E27))*100/(Humedad!$H27-Humedad!$E27))</f>
        <v/>
      </c>
      <c r="K27" s="16">
        <v>10</v>
      </c>
      <c r="L27" s="21" t="str">
        <f>IF(OR(Humedad!$I27="",Humedad!$K27=""),"",(Humedad!$G27/Humedad!$K27))</f>
        <v/>
      </c>
    </row>
    <row r="28" spans="1:15" x14ac:dyDescent="0.25">
      <c r="A28" s="15" t="s">
        <v>32</v>
      </c>
      <c r="B28" s="35" t="str">
        <f t="shared" si="0"/>
        <v/>
      </c>
      <c r="C28" s="36" t="str">
        <f t="shared" si="1"/>
        <v/>
      </c>
      <c r="D28" s="15"/>
      <c r="E28" s="17"/>
      <c r="F28" s="17"/>
      <c r="G28" s="42" t="str">
        <f t="shared" si="2"/>
        <v/>
      </c>
      <c r="H28" s="17"/>
      <c r="I28" s="43" t="str">
        <f>IF(Humedad!$J28="","",Mediapar((1+(Humedad!$J28/100)),3))</f>
        <v/>
      </c>
      <c r="J28" s="44" t="str">
        <f>IF(OR(Humedad!$A28="",Humedad!$B28="",Humedad!$C28="",Humedad!$D28="",Humedad!$E28="",Humedad!$G28="",Humedad!$H28=""),"",(Humedad!$G28-(Humedad!$H28-Humedad!$E28))*100/(Humedad!$H28-Humedad!$E28))</f>
        <v/>
      </c>
      <c r="K28" s="16">
        <v>10</v>
      </c>
      <c r="L28" s="21" t="str">
        <f>IF(OR(Humedad!$I28="",Humedad!$K28=""),"",(Humedad!$G28/Humedad!$K28))</f>
        <v/>
      </c>
      <c r="M28" s="45" t="s">
        <v>24</v>
      </c>
      <c r="N28" s="46"/>
    </row>
    <row r="29" spans="1:15" x14ac:dyDescent="0.25">
      <c r="A29" s="15"/>
      <c r="B29" s="35" t="str">
        <f t="shared" si="0"/>
        <v/>
      </c>
      <c r="C29" s="36" t="str">
        <f t="shared" si="1"/>
        <v/>
      </c>
      <c r="D29" s="15"/>
      <c r="E29" s="17"/>
      <c r="F29" s="17"/>
      <c r="G29" s="42" t="str">
        <f t="shared" si="2"/>
        <v/>
      </c>
      <c r="H29" s="17"/>
      <c r="I29" s="43" t="str">
        <f>IF(Humedad!$J29="","",Mediapar((1+(Humedad!$J29/100)),3))</f>
        <v/>
      </c>
      <c r="J29" s="44" t="str">
        <f>IF(OR(Humedad!$A29="",Humedad!$B29="",Humedad!$C29="",Humedad!$D29="",Humedad!$E29="",Humedad!$G29="",Humedad!$H29=""),"",(Humedad!$G29-(Humedad!$H29-Humedad!$E29))*100/(Humedad!$H29-Humedad!$E29))</f>
        <v/>
      </c>
      <c r="K29" s="16">
        <v>10</v>
      </c>
      <c r="L29" s="21" t="str">
        <f>IF(OR(Humedad!$I29="",Humedad!$K29=""),"",(Humedad!$G29/Humedad!$K29))</f>
        <v/>
      </c>
      <c r="M29" s="40" t="s">
        <v>26</v>
      </c>
      <c r="N29" s="37" t="s">
        <v>28</v>
      </c>
    </row>
    <row r="30" spans="1:15" x14ac:dyDescent="0.25">
      <c r="A30" s="15"/>
      <c r="B30" s="35" t="str">
        <f t="shared" si="0"/>
        <v/>
      </c>
      <c r="C30" s="36" t="str">
        <f t="shared" si="1"/>
        <v/>
      </c>
      <c r="D30" s="15"/>
      <c r="E30" s="17"/>
      <c r="F30" s="17"/>
      <c r="G30" s="42" t="str">
        <f t="shared" si="2"/>
        <v/>
      </c>
      <c r="H30" s="17"/>
      <c r="I30" s="43" t="str">
        <f>IF(Humedad!$J30="","",Mediapar((1+(Humedad!$J30/100)),3))</f>
        <v/>
      </c>
      <c r="J30" s="44" t="str">
        <f>IF(OR(Humedad!$A30="",Humedad!$B30="",Humedad!$C30="",Humedad!$D30="",Humedad!$E30="",Humedad!$G30="",Humedad!$H30=""),"",(Humedad!$G30-(Humedad!$H30-Humedad!$E30))*100/(Humedad!$H30-Humedad!$E30))</f>
        <v/>
      </c>
      <c r="K30" s="16">
        <v>10</v>
      </c>
      <c r="L30" s="21" t="str">
        <f>IF(OR(Humedad!$I30="",Humedad!$K30=""),"",(Humedad!$G30/Humedad!$K30))</f>
        <v/>
      </c>
      <c r="M30" s="40" t="s">
        <v>7</v>
      </c>
      <c r="N30" s="37"/>
    </row>
    <row r="31" spans="1:15" x14ac:dyDescent="0.25">
      <c r="A31" s="15"/>
      <c r="B31" s="35" t="str">
        <f t="shared" si="0"/>
        <v/>
      </c>
      <c r="C31" s="36" t="str">
        <f t="shared" si="1"/>
        <v/>
      </c>
      <c r="D31" s="15"/>
      <c r="E31" s="17"/>
      <c r="F31" s="17"/>
      <c r="G31" s="42" t="str">
        <f t="shared" si="2"/>
        <v/>
      </c>
      <c r="H31" s="17"/>
      <c r="I31" s="43" t="str">
        <f>IF(Humedad!$J31="","",Mediapar((1+(Humedad!$J31/100)),3))</f>
        <v/>
      </c>
      <c r="J31" s="44" t="str">
        <f>IF(OR(Humedad!$A31="",Humedad!$B31="",Humedad!$C31="",Humedad!$D31="",Humedad!$E31="",Humedad!$G31="",Humedad!$H31=""),"",(Humedad!$G31-(Humedad!$H31-Humedad!$E31))*100/(Humedad!$H31-Humedad!$E31))</f>
        <v/>
      </c>
      <c r="K31" s="16">
        <v>10</v>
      </c>
      <c r="L31" s="21" t="str">
        <f>IF(OR(Humedad!$I31="",Humedad!$K31=""),"",(Humedad!$G31/Humedad!$K31))</f>
        <v/>
      </c>
      <c r="M31" s="40" t="s">
        <v>25</v>
      </c>
      <c r="N31" s="41"/>
    </row>
    <row r="32" spans="1:15" x14ac:dyDescent="0.25">
      <c r="A32" s="15"/>
      <c r="B32" s="35" t="str">
        <f t="shared" si="0"/>
        <v/>
      </c>
      <c r="C32" s="36" t="str">
        <f t="shared" si="1"/>
        <v/>
      </c>
      <c r="D32" s="15"/>
      <c r="E32" s="17"/>
      <c r="F32" s="17"/>
      <c r="G32" s="42" t="str">
        <f t="shared" si="2"/>
        <v/>
      </c>
      <c r="H32" s="17"/>
      <c r="I32" s="43" t="str">
        <f>IF(Humedad!$J32="","",Mediapar((1+(Humedad!$J32/100)),3))</f>
        <v/>
      </c>
      <c r="J32" s="44" t="str">
        <f>IF(OR(Humedad!$A32="",Humedad!$B32="",Humedad!$C32="",Humedad!$D32="",Humedad!$E32="",Humedad!$G32="",Humedad!$H32=""),"",(Humedad!$G32-(Humedad!$H32-Humedad!$E32))*100/(Humedad!$H32-Humedad!$E32))</f>
        <v/>
      </c>
      <c r="K32" s="16">
        <v>10</v>
      </c>
      <c r="L32" s="21" t="str">
        <f>IF(OR(Humedad!$I32="",Humedad!$K32=""),"",(Humedad!$G32/Humedad!$K32))</f>
        <v/>
      </c>
      <c r="M32" s="40" t="s">
        <v>23</v>
      </c>
      <c r="N32" s="38"/>
    </row>
    <row r="33" spans="1:14" x14ac:dyDescent="0.25">
      <c r="A33" s="15"/>
      <c r="B33" s="35" t="str">
        <f t="shared" si="0"/>
        <v/>
      </c>
      <c r="C33" s="36" t="str">
        <f t="shared" si="1"/>
        <v/>
      </c>
      <c r="D33" s="15"/>
      <c r="E33" s="17"/>
      <c r="F33" s="17"/>
      <c r="G33" s="42" t="str">
        <f t="shared" si="2"/>
        <v/>
      </c>
      <c r="H33" s="17"/>
      <c r="I33" s="43" t="str">
        <f>IF(Humedad!$J33="","",Mediapar((1+(Humedad!$J33/100)),3))</f>
        <v/>
      </c>
      <c r="J33" s="44" t="str">
        <f>IF(OR(Humedad!$A33="",Humedad!$B33="",Humedad!$C33="",Humedad!$D33="",Humedad!$E33="",Humedad!$G33="",Humedad!$H33=""),"",(Humedad!$G33-(Humedad!$H33-Humedad!$E33))*100/(Humedad!$H33-Humedad!$E33))</f>
        <v/>
      </c>
      <c r="K33" s="16">
        <v>10</v>
      </c>
      <c r="L33" s="21" t="str">
        <f>IF(OR(Humedad!$I33="",Humedad!$K33=""),"",(Humedad!$G33/Humedad!$K33))</f>
        <v/>
      </c>
      <c r="M33" s="45" t="s">
        <v>22</v>
      </c>
      <c r="N33" s="46"/>
    </row>
    <row r="34" spans="1:14" x14ac:dyDescent="0.25">
      <c r="A34" s="15"/>
      <c r="B34" s="35" t="str">
        <f t="shared" si="0"/>
        <v/>
      </c>
      <c r="C34" s="36" t="str">
        <f t="shared" si="1"/>
        <v/>
      </c>
      <c r="D34" s="15"/>
      <c r="E34" s="17"/>
      <c r="F34" s="17"/>
      <c r="G34" s="42" t="str">
        <f t="shared" si="2"/>
        <v/>
      </c>
      <c r="H34" s="17"/>
      <c r="I34" s="43" t="str">
        <f>IF(Humedad!$J34="","",Mediapar((1+(Humedad!$J34/100)),3))</f>
        <v/>
      </c>
      <c r="J34" s="44" t="str">
        <f>IF(OR(Humedad!$A34="",Humedad!$B34="",Humedad!$C34="",Humedad!$D34="",Humedad!$E34="",Humedad!$G34="",Humedad!$H34=""),"",(Humedad!$G34-(Humedad!$H34-Humedad!$E34))*100/(Humedad!$H34-Humedad!$E34))</f>
        <v/>
      </c>
      <c r="K34" s="16">
        <v>10</v>
      </c>
      <c r="L34" s="21" t="str">
        <f>IF(OR(Humedad!$I34="",Humedad!$K34=""),"",(Humedad!$G34/Humedad!$K34))</f>
        <v/>
      </c>
      <c r="M34" s="40" t="s">
        <v>26</v>
      </c>
      <c r="N34" s="37" t="s">
        <v>28</v>
      </c>
    </row>
    <row r="35" spans="1:14" x14ac:dyDescent="0.25">
      <c r="A35" s="15"/>
      <c r="B35" s="35" t="str">
        <f t="shared" si="0"/>
        <v/>
      </c>
      <c r="C35" s="36" t="str">
        <f t="shared" si="1"/>
        <v/>
      </c>
      <c r="D35" s="15"/>
      <c r="E35" s="17"/>
      <c r="F35" s="17"/>
      <c r="G35" s="42" t="str">
        <f t="shared" si="2"/>
        <v/>
      </c>
      <c r="H35" s="17"/>
      <c r="I35" s="43" t="str">
        <f>IF(Humedad!$J35="","",Mediapar((1+(Humedad!$J35/100)),3))</f>
        <v/>
      </c>
      <c r="J35" s="44" t="str">
        <f>IF(OR(Humedad!$A35="",Humedad!$B35="",Humedad!$C35="",Humedad!$D35="",Humedad!$E35="",Humedad!$G35="",Humedad!$H35=""),"",(Humedad!$G35-(Humedad!$H35-Humedad!$E35))*100/(Humedad!$H35-Humedad!$E35))</f>
        <v/>
      </c>
      <c r="K35" s="16">
        <v>10</v>
      </c>
      <c r="L35" s="21" t="str">
        <f>IF(OR(Humedad!$I35="",Humedad!$K35=""),"",(Humedad!$G35/Humedad!$K35))</f>
        <v/>
      </c>
      <c r="M35" s="40" t="s">
        <v>7</v>
      </c>
      <c r="N35" s="37"/>
    </row>
    <row r="36" spans="1:14" x14ac:dyDescent="0.25">
      <c r="A36" s="15"/>
      <c r="B36" s="35" t="str">
        <f t="shared" si="0"/>
        <v/>
      </c>
      <c r="C36" s="36" t="str">
        <f t="shared" si="1"/>
        <v/>
      </c>
      <c r="D36" s="15"/>
      <c r="E36" s="17"/>
      <c r="F36" s="17"/>
      <c r="G36" s="42" t="str">
        <f t="shared" si="2"/>
        <v/>
      </c>
      <c r="H36" s="17"/>
      <c r="I36" s="43" t="str">
        <f>IF(Humedad!$J36="","",Mediapar((1+(Humedad!$J36/100)),3))</f>
        <v/>
      </c>
      <c r="J36" s="44" t="str">
        <f>IF(OR(Humedad!$A36="",Humedad!$B36="",Humedad!$C36="",Humedad!$D36="",Humedad!$E36="",Humedad!$G36="",Humedad!$H36=""),"",(Humedad!$G36-(Humedad!$H36-Humedad!$E36))*100/(Humedad!$H36-Humedad!$E36))</f>
        <v/>
      </c>
      <c r="K36" s="16">
        <v>10</v>
      </c>
      <c r="L36" s="21" t="str">
        <f>IF(OR(Humedad!$I36="",Humedad!$K36=""),"",(Humedad!$G36/Humedad!$K36))</f>
        <v/>
      </c>
      <c r="M36" s="40" t="s">
        <v>25</v>
      </c>
      <c r="N36" s="39"/>
    </row>
    <row r="37" spans="1:14" x14ac:dyDescent="0.25">
      <c r="A37" s="15"/>
      <c r="B37" s="35" t="str">
        <f t="shared" si="0"/>
        <v/>
      </c>
      <c r="C37" s="36" t="str">
        <f t="shared" si="1"/>
        <v/>
      </c>
      <c r="D37" s="15"/>
      <c r="E37" s="17"/>
      <c r="F37" s="17"/>
      <c r="G37" s="42" t="str">
        <f t="shared" si="2"/>
        <v/>
      </c>
      <c r="H37" s="17"/>
      <c r="I37" s="43" t="str">
        <f>IF(Humedad!$J37="","",Mediapar((1+(Humedad!$J37/100)),3))</f>
        <v/>
      </c>
      <c r="J37" s="44" t="str">
        <f>IF(OR(Humedad!$A37="",Humedad!$B37="",Humedad!$C37="",Humedad!$D37="",Humedad!$E37="",Humedad!$G37="",Humedad!$H37=""),"",(Humedad!$G37-(Humedad!$H37-Humedad!$E37))*100/(Humedad!$H37-Humedad!$E37))</f>
        <v/>
      </c>
      <c r="K37" s="16">
        <v>10</v>
      </c>
      <c r="L37" s="21" t="str">
        <f>IF(OR(Humedad!$I37="",Humedad!$K37=""),"",(Humedad!$G37/Humedad!$K37))</f>
        <v/>
      </c>
      <c r="M37" s="40" t="s">
        <v>23</v>
      </c>
      <c r="N37" s="39"/>
    </row>
  </sheetData>
  <sheetProtection password="D1D1" sheet="1" objects="1" scenarios="1" formatCells="0" formatColumns="0" formatRows="0"/>
  <protectedRanges>
    <protectedRange sqref="M11" name="Rango1"/>
  </protectedRanges>
  <mergeCells count="2">
    <mergeCell ref="M28:N28"/>
    <mergeCell ref="M33:N33"/>
  </mergeCells>
  <conditionalFormatting sqref="G2:G37">
    <cfRule type="containsBlanks" priority="8" stopIfTrue="1">
      <formula>LEN(TRIM(G2))=0</formula>
    </cfRule>
    <cfRule type="cellIs" dxfId="2" priority="9" operator="lessThan">
      <formula>5</formula>
    </cfRule>
  </conditionalFormatting>
  <conditionalFormatting sqref="A2:A37">
    <cfRule type="expression" dxfId="1" priority="5">
      <formula>IF(A2=MATCH("R-"&amp;A2,$A$2:$A$49,0),FALSE,TRUE)</formula>
    </cfRule>
    <cfRule type="containsBlanks" priority="2" stopIfTrue="1">
      <formula>LEN(TRIM(A2))=0</formula>
    </cfRule>
  </conditionalFormatting>
  <conditionalFormatting sqref="J2:J37">
    <cfRule type="expression" dxfId="0" priority="3">
      <formula>IF(A2=MATCH("R-"&amp;A2,$A$2:$A$49,0),FALSE,TRUE)</formula>
    </cfRule>
    <cfRule type="containsBlanks" priority="1" stopIfTrue="1">
      <formula>LEN(TRIM(J2))=0</formula>
    </cfRule>
  </conditionalFormatting>
  <pageMargins left="0.7" right="0.7" top="0.75" bottom="0.75" header="0.3" footer="0.3"/>
  <pageSetup paperSize="9" scale="92" orientation="landscape" r:id="rId1"/>
  <headerFooter>
    <oddHeader xml:space="preserve">&amp;L&amp;"Arial,Negrita"&amp;20LAFIGA &amp;C&amp;8ANÁLISIS DE SUELOS   
HOJA DE CÁLCULO DE   
LA DETERMINACIÓN DE LA HUMEDAD &amp;10  
&amp;R&amp;8     PE/LAFIGA/SU50  
  Hoja:_______________  
  Siguiente:___________  
</oddHeader>
    <oddFooter xml:space="preserve">&amp;LESU5002-4
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37"/>
  <sheetViews>
    <sheetView zoomScaleNormal="100" workbookViewId="0">
      <selection activeCell="F2" sqref="F2"/>
    </sheetView>
  </sheetViews>
  <sheetFormatPr baseColWidth="10" defaultRowHeight="13.2" x14ac:dyDescent="0.25"/>
  <cols>
    <col min="1" max="1" width="18.109375" bestFit="1" customWidth="1"/>
    <col min="2" max="2" width="10.6640625" bestFit="1" customWidth="1"/>
    <col min="3" max="3" width="12.33203125" bestFit="1" customWidth="1"/>
    <col min="4" max="4" width="12.44140625" bestFit="1" customWidth="1"/>
    <col min="5" max="5" width="12.33203125" bestFit="1" customWidth="1"/>
    <col min="8" max="8" width="13.109375" bestFit="1" customWidth="1"/>
    <col min="9" max="9" width="17.6640625" bestFit="1" customWidth="1"/>
    <col min="12" max="12" width="15.21875" customWidth="1"/>
    <col min="13" max="13" width="16.33203125" customWidth="1"/>
  </cols>
  <sheetData>
    <row r="1" spans="1:13" ht="39.6" x14ac:dyDescent="0.25">
      <c r="A1" s="3" t="s">
        <v>0</v>
      </c>
      <c r="B1" s="4" t="s">
        <v>7</v>
      </c>
      <c r="C1" s="4" t="s">
        <v>8</v>
      </c>
      <c r="D1" s="5" t="s">
        <v>1</v>
      </c>
      <c r="E1" s="5" t="s">
        <v>4</v>
      </c>
      <c r="F1" s="5" t="s">
        <v>2</v>
      </c>
      <c r="G1" s="5" t="s">
        <v>3</v>
      </c>
      <c r="H1" s="7" t="s">
        <v>9</v>
      </c>
      <c r="I1" s="8" t="s">
        <v>17</v>
      </c>
    </row>
    <row r="2" spans="1:13" x14ac:dyDescent="0.25">
      <c r="A2" s="11" t="str">
        <f>IF(Humedad!$A2="","",Humedad!$A2)</f>
        <v>PSI</v>
      </c>
      <c r="B2" s="20"/>
      <c r="C2" s="19"/>
      <c r="D2" s="11" t="str">
        <f>IF(Humedad!$D2="","",Humedad!$D2)</f>
        <v/>
      </c>
      <c r="E2" s="12" t="str">
        <f>IF(Humedad!$E2="","",Humedad!$E2)</f>
        <v/>
      </c>
      <c r="F2" s="12" t="str">
        <f>IF(Humedad!$G2="","",Humedad!$G2)</f>
        <v/>
      </c>
      <c r="G2" s="12" t="str">
        <f>IF(Humedad!$H2="","",Humedad!$H2)</f>
        <v/>
      </c>
      <c r="H2" s="16"/>
      <c r="I2" s="22" t="str">
        <f>IF(OR(MO!$A2="",MO!$B2="",MO!$C2="",MO!$D2="",MO!$E2="",MO!$F2="",MO!$G2="",MO!$H2=""),"",((MO!$G2-MO!$H2)/(MO!$G2-MO!$E2))*1000)</f>
        <v/>
      </c>
    </row>
    <row r="3" spans="1:13" x14ac:dyDescent="0.25">
      <c r="A3" s="11" t="str">
        <f>IF(Humedad!$A3="","",Humedad!$A3)</f>
        <v/>
      </c>
      <c r="B3" s="20"/>
      <c r="C3" s="16"/>
      <c r="D3" s="11" t="str">
        <f>IF(Humedad!$D3="","",Humedad!$D3)</f>
        <v/>
      </c>
      <c r="E3" s="12" t="str">
        <f>IF(Humedad!$E3="","",Humedad!$E3)</f>
        <v/>
      </c>
      <c r="F3" s="12" t="str">
        <f>IF(Humedad!$G3="","",Humedad!$G3)</f>
        <v/>
      </c>
      <c r="G3" s="12" t="str">
        <f>IF(Humedad!$H3="","",Humedad!$H3)</f>
        <v/>
      </c>
      <c r="H3" s="16"/>
      <c r="I3" s="22" t="str">
        <f>IF(OR(MO!$A3="",MO!$B3="",MO!$C3="",MO!$D3="",MO!$E3="",MO!$F3="",MO!$G3="",MO!$H3=""),"",((MO!$G3-MO!$H3)/(MO!$G3-MO!$E3))*1000)</f>
        <v/>
      </c>
    </row>
    <row r="4" spans="1:13" x14ac:dyDescent="0.25">
      <c r="A4" s="11" t="str">
        <f>IF(Humedad!$A4="","",Humedad!$A4)</f>
        <v/>
      </c>
      <c r="B4" s="20"/>
      <c r="C4" s="16"/>
      <c r="D4" s="11" t="str">
        <f>IF(Humedad!$D4="","",Humedad!$D4)</f>
        <v/>
      </c>
      <c r="E4" s="12" t="str">
        <f>IF(Humedad!$E4="","",Humedad!$E4)</f>
        <v/>
      </c>
      <c r="F4" s="12" t="str">
        <f>IF(Humedad!$G4="","",Humedad!$G4)</f>
        <v/>
      </c>
      <c r="G4" s="12" t="str">
        <f>IF(Humedad!$H4="","",Humedad!$H4)</f>
        <v/>
      </c>
      <c r="H4" s="16"/>
      <c r="I4" s="22" t="str">
        <f>IF(OR(MO!$A4="",MO!$B4="",MO!$C4="",MO!$D4="",MO!$E4="",MO!$F4="",MO!$G4="",MO!$H4=""),"",((MO!$G4-MO!$H4)/(MO!$G4-MO!$E4))*1000)</f>
        <v/>
      </c>
    </row>
    <row r="5" spans="1:13" x14ac:dyDescent="0.25">
      <c r="A5" s="11" t="str">
        <f>IF(Humedad!$A5="","",Humedad!$A5)</f>
        <v/>
      </c>
      <c r="B5" s="20"/>
      <c r="C5" s="16"/>
      <c r="D5" s="11" t="str">
        <f>IF(Humedad!$D5="","",Humedad!$D5)</f>
        <v/>
      </c>
      <c r="E5" s="12" t="str">
        <f>IF(Humedad!$E5="","",Humedad!$E5)</f>
        <v/>
      </c>
      <c r="F5" s="12" t="str">
        <f>IF(Humedad!$G5="","",Humedad!$G5)</f>
        <v/>
      </c>
      <c r="G5" s="12" t="str">
        <f>IF(Humedad!$H5="","",Humedad!$H5)</f>
        <v/>
      </c>
      <c r="H5" s="16"/>
      <c r="I5" s="22" t="str">
        <f>IF(OR(MO!$A5="",MO!$B5="",MO!$C5="",MO!$D5="",MO!$E5="",MO!$F5="",MO!$G5="",MO!$H5=""),"",((MO!$G5-MO!$H5)/(MO!$G5-MO!$E5))*1000)</f>
        <v/>
      </c>
    </row>
    <row r="6" spans="1:13" x14ac:dyDescent="0.25">
      <c r="A6" s="11" t="str">
        <f>IF(Humedad!$A6="","",Humedad!$A6)</f>
        <v/>
      </c>
      <c r="B6" s="20"/>
      <c r="C6" s="16"/>
      <c r="D6" s="11" t="str">
        <f>IF(Humedad!$D6="","",Humedad!$D6)</f>
        <v/>
      </c>
      <c r="E6" s="12" t="str">
        <f>IF(Humedad!$E6="","",Humedad!$E6)</f>
        <v/>
      </c>
      <c r="F6" s="12" t="str">
        <f>IF(Humedad!$G6="","",Humedad!$G6)</f>
        <v/>
      </c>
      <c r="G6" s="12" t="str">
        <f>IF(Humedad!$H6="","",Humedad!$H6)</f>
        <v/>
      </c>
      <c r="H6" s="16"/>
      <c r="I6" s="22" t="str">
        <f>IF(OR(MO!$A6="",MO!$B6="",MO!$C6="",MO!$D6="",MO!$E6="",MO!$F6="",MO!$G6="",MO!$H6=""),"",((MO!$G6-MO!$H6)/(MO!$G6-MO!$E6))*1000)</f>
        <v/>
      </c>
    </row>
    <row r="7" spans="1:13" x14ac:dyDescent="0.25">
      <c r="A7" s="11" t="str">
        <f>IF(Humedad!$A7="","",Humedad!$A7)</f>
        <v/>
      </c>
      <c r="B7" s="20"/>
      <c r="C7" s="16"/>
      <c r="D7" s="11" t="str">
        <f>IF(Humedad!$D7="","",Humedad!$D7)</f>
        <v/>
      </c>
      <c r="E7" s="12" t="str">
        <f>IF(Humedad!$E7="","",Humedad!$E7)</f>
        <v/>
      </c>
      <c r="F7" s="12" t="str">
        <f>IF(Humedad!$G7="","",Humedad!$G7)</f>
        <v/>
      </c>
      <c r="G7" s="12" t="str">
        <f>IF(Humedad!$H7="","",Humedad!$H7)</f>
        <v/>
      </c>
      <c r="H7" s="16"/>
      <c r="I7" s="22" t="str">
        <f>IF(OR(MO!$A7="",MO!$B7="",MO!$C7="",MO!$D7="",MO!$E7="",MO!$F7="",MO!$G7="",MO!$H7=""),"",((MO!$G7-MO!$H7)/(MO!$G7-MO!$E7))*1000)</f>
        <v/>
      </c>
    </row>
    <row r="8" spans="1:13" x14ac:dyDescent="0.25">
      <c r="A8" s="11" t="str">
        <f>IF(Humedad!$A8="","",Humedad!$A8)</f>
        <v/>
      </c>
      <c r="B8" s="20"/>
      <c r="C8" s="16"/>
      <c r="D8" s="11" t="str">
        <f>IF(Humedad!$D8="","",Humedad!$D8)</f>
        <v/>
      </c>
      <c r="E8" s="12" t="str">
        <f>IF(Humedad!$E8="","",Humedad!$E8)</f>
        <v/>
      </c>
      <c r="F8" s="12" t="str">
        <f>IF(Humedad!$G8="","",Humedad!$G8)</f>
        <v/>
      </c>
      <c r="G8" s="12" t="str">
        <f>IF(Humedad!$H8="","",Humedad!$H8)</f>
        <v/>
      </c>
      <c r="H8" s="16"/>
      <c r="I8" s="22" t="str">
        <f>IF(OR(MO!$A8="",MO!$B8="",MO!$C8="",MO!$D8="",MO!$E8="",MO!$F8="",MO!$G8="",MO!$H8=""),"",((MO!$G8-MO!$H8)/(MO!$G8-MO!$E8))*1000)</f>
        <v/>
      </c>
    </row>
    <row r="9" spans="1:13" x14ac:dyDescent="0.25">
      <c r="A9" s="11" t="str">
        <f>IF(Humedad!$A9="","",Humedad!$A9)</f>
        <v/>
      </c>
      <c r="B9" s="20"/>
      <c r="C9" s="16"/>
      <c r="D9" s="11" t="str">
        <f>IF(Humedad!$D9="","",Humedad!$D9)</f>
        <v/>
      </c>
      <c r="E9" s="12" t="str">
        <f>IF(Humedad!$E9="","",Humedad!$E9)</f>
        <v/>
      </c>
      <c r="F9" s="12" t="str">
        <f>IF(Humedad!$G9="","",Humedad!$G9)</f>
        <v/>
      </c>
      <c r="G9" s="12" t="str">
        <f>IF(Humedad!$H9="","",Humedad!$H9)</f>
        <v/>
      </c>
      <c r="H9" s="16"/>
      <c r="I9" s="22" t="str">
        <f>IF(OR(MO!$A9="",MO!$B9="",MO!$C9="",MO!$D9="",MO!$E9="",MO!$F9="",MO!$G9="",MO!$H9=""),"",((MO!$G9-MO!$H9)/(MO!$G9-MO!$E9))*1000)</f>
        <v/>
      </c>
      <c r="K9" s="18"/>
      <c r="M9" s="33" t="s">
        <v>27</v>
      </c>
    </row>
    <row r="10" spans="1:13" x14ac:dyDescent="0.25">
      <c r="A10" s="11" t="str">
        <f>IF(Humedad!$A10="","",Humedad!$A10)</f>
        <v/>
      </c>
      <c r="B10" s="20"/>
      <c r="C10" s="16"/>
      <c r="D10" s="11" t="str">
        <f>IF(Humedad!$D10="","",Humedad!$D10)</f>
        <v/>
      </c>
      <c r="E10" s="12" t="str">
        <f>IF(Humedad!$E10="","",Humedad!$E10)</f>
        <v/>
      </c>
      <c r="F10" s="12" t="str">
        <f>IF(Humedad!$G10="","",Humedad!$G10)</f>
        <v/>
      </c>
      <c r="G10" s="12" t="str">
        <f>IF(Humedad!$H10="","",Humedad!$H10)</f>
        <v/>
      </c>
      <c r="H10" s="16"/>
      <c r="I10" s="22" t="str">
        <f>IF(OR(MO!$A10="",MO!$B10="",MO!$C10="",MO!$D10="",MO!$E10="",MO!$F10="",MO!$G10="",MO!$H10=""),"",((MO!$G10-MO!$H10)/(MO!$G10-MO!$E10))*1000)</f>
        <v/>
      </c>
    </row>
    <row r="11" spans="1:13" x14ac:dyDescent="0.25">
      <c r="A11" s="11" t="str">
        <f>IF(Humedad!$A11="","",Humedad!$A11)</f>
        <v/>
      </c>
      <c r="B11" s="20"/>
      <c r="C11" s="16"/>
      <c r="D11" s="11" t="str">
        <f>IF(Humedad!$D11="","",Humedad!$D11)</f>
        <v/>
      </c>
      <c r="E11" s="12" t="str">
        <f>IF(Humedad!$E11="","",Humedad!$E11)</f>
        <v/>
      </c>
      <c r="F11" s="12" t="str">
        <f>IF(Humedad!$G11="","",Humedad!$G11)</f>
        <v/>
      </c>
      <c r="G11" s="12" t="str">
        <f>IF(Humedad!$H11="","",Humedad!$H11)</f>
        <v/>
      </c>
      <c r="H11" s="16"/>
      <c r="I11" s="22" t="str">
        <f>IF(OR(MO!$A11="",MO!$B11="",MO!$C11="",MO!$D11="",MO!$E11="",MO!$F11="",MO!$G11="",MO!$H11=""),"",((MO!$G11-MO!$H11)/(MO!$G11-MO!$E11))*1000)</f>
        <v/>
      </c>
      <c r="M11" s="34"/>
    </row>
    <row r="12" spans="1:13" x14ac:dyDescent="0.25">
      <c r="A12" s="11" t="str">
        <f>IF(Humedad!$A12="","",Humedad!$A12)</f>
        <v/>
      </c>
      <c r="B12" s="20"/>
      <c r="C12" s="16"/>
      <c r="D12" s="11" t="str">
        <f>IF(Humedad!$D12="","",Humedad!$D12)</f>
        <v/>
      </c>
      <c r="E12" s="12" t="str">
        <f>IF(Humedad!$E12="","",Humedad!$E12)</f>
        <v/>
      </c>
      <c r="F12" s="12" t="str">
        <f>IF(Humedad!$G12="","",Humedad!$G12)</f>
        <v/>
      </c>
      <c r="G12" s="12" t="str">
        <f>IF(Humedad!$H12="","",Humedad!$H12)</f>
        <v/>
      </c>
      <c r="H12" s="16"/>
      <c r="I12" s="22" t="str">
        <f>IF(OR(MO!$A12="",MO!$B12="",MO!$C12="",MO!$D12="",MO!$E12="",MO!$F12="",MO!$G12="",MO!$H12=""),"",((MO!$G12-MO!$H12)/(MO!$G12-MO!$E12))*1000)</f>
        <v/>
      </c>
    </row>
    <row r="13" spans="1:13" x14ac:dyDescent="0.25">
      <c r="A13" s="11" t="str">
        <f>IF(Humedad!$A13="","",Humedad!$A13)</f>
        <v/>
      </c>
      <c r="B13" s="20"/>
      <c r="C13" s="16"/>
      <c r="D13" s="11" t="str">
        <f>IF(Humedad!$D13="","",Humedad!$D13)</f>
        <v/>
      </c>
      <c r="E13" s="12" t="str">
        <f>IF(Humedad!$E13="","",Humedad!$E13)</f>
        <v/>
      </c>
      <c r="F13" s="12" t="str">
        <f>IF(Humedad!$G13="","",Humedad!$G13)</f>
        <v/>
      </c>
      <c r="G13" s="12" t="str">
        <f>IF(Humedad!$H13="","",Humedad!$H13)</f>
        <v/>
      </c>
      <c r="H13" s="16"/>
      <c r="I13" s="22" t="str">
        <f>IF(OR(MO!$A13="",MO!$B13="",MO!$C13="",MO!$D13="",MO!$E13="",MO!$F13="",MO!$G13="",MO!$H13=""),"",((MO!$G13-MO!$H13)/(MO!$G13-MO!$E13))*1000)</f>
        <v/>
      </c>
    </row>
    <row r="14" spans="1:13" x14ac:dyDescent="0.25">
      <c r="A14" s="11" t="str">
        <f>IF(Humedad!$A14="","",Humedad!$A14)</f>
        <v/>
      </c>
      <c r="B14" s="20"/>
      <c r="C14" s="16"/>
      <c r="D14" s="11" t="str">
        <f>IF(Humedad!$D14="","",Humedad!$D14)</f>
        <v/>
      </c>
      <c r="E14" s="12" t="str">
        <f>IF(Humedad!$E14="","",Humedad!$E14)</f>
        <v/>
      </c>
      <c r="F14" s="12" t="str">
        <f>IF(Humedad!$G14="","",Humedad!$G14)</f>
        <v/>
      </c>
      <c r="G14" s="12" t="str">
        <f>IF(Humedad!$H14="","",Humedad!$H14)</f>
        <v/>
      </c>
      <c r="H14" s="16"/>
      <c r="I14" s="22" t="str">
        <f>IF(OR(MO!$A14="",MO!$B14="",MO!$C14="",MO!$D14="",MO!$E14="",MO!$F14="",MO!$G14="",MO!$H14=""),"",((MO!$G14-MO!$H14)/(MO!$G14-MO!$E14))*1000)</f>
        <v/>
      </c>
    </row>
    <row r="15" spans="1:13" x14ac:dyDescent="0.25">
      <c r="A15" s="11" t="str">
        <f>IF(Humedad!$A15="","",Humedad!$A15)</f>
        <v/>
      </c>
      <c r="B15" s="20"/>
      <c r="C15" s="16"/>
      <c r="D15" s="11" t="str">
        <f>IF(Humedad!$D15="","",Humedad!$D15)</f>
        <v/>
      </c>
      <c r="E15" s="12" t="str">
        <f>IF(Humedad!$E15="","",Humedad!$E15)</f>
        <v/>
      </c>
      <c r="F15" s="12" t="str">
        <f>IF(Humedad!$G15="","",Humedad!$G15)</f>
        <v/>
      </c>
      <c r="G15" s="12" t="str">
        <f>IF(Humedad!$H15="","",Humedad!$H15)</f>
        <v/>
      </c>
      <c r="H15" s="16"/>
      <c r="I15" s="22" t="str">
        <f>IF(OR(MO!$A15="",MO!$B15="",MO!$C15="",MO!$D15="",MO!$E15="",MO!$F15="",MO!$G15="",MO!$H15=""),"",((MO!$G15-MO!$H15)/(MO!$G15-MO!$E15))*1000)</f>
        <v/>
      </c>
    </row>
    <row r="16" spans="1:13" x14ac:dyDescent="0.25">
      <c r="A16" s="11" t="str">
        <f>IF(Humedad!$A16="","",Humedad!$A16)</f>
        <v/>
      </c>
      <c r="B16" s="20"/>
      <c r="C16" s="16"/>
      <c r="D16" s="11" t="str">
        <f>IF(Humedad!$D16="","",Humedad!$D16)</f>
        <v/>
      </c>
      <c r="E16" s="12" t="str">
        <f>IF(Humedad!$E16="","",Humedad!$E16)</f>
        <v/>
      </c>
      <c r="F16" s="12" t="str">
        <f>IF(Humedad!$G16="","",Humedad!$G16)</f>
        <v/>
      </c>
      <c r="G16" s="12" t="str">
        <f>IF(Humedad!$H16="","",Humedad!$H16)</f>
        <v/>
      </c>
      <c r="H16" s="16"/>
      <c r="I16" s="22" t="str">
        <f>IF(OR(MO!$A16="",MO!$B16="",MO!$C16="",MO!$D16="",MO!$E16="",MO!$F16="",MO!$G16="",MO!$H16=""),"",((MO!$G16-MO!$H16)/(MO!$G16-MO!$E16))*1000)</f>
        <v/>
      </c>
    </row>
    <row r="17" spans="1:13" ht="13.05" customHeight="1" x14ac:dyDescent="0.25">
      <c r="A17" s="11" t="str">
        <f>IF(Humedad!$A17="","",Humedad!$A17)</f>
        <v/>
      </c>
      <c r="B17" s="20"/>
      <c r="C17" s="16"/>
      <c r="D17" s="11" t="str">
        <f>IF(Humedad!$D17="","",Humedad!$D17)</f>
        <v/>
      </c>
      <c r="E17" s="12" t="str">
        <f>IF(Humedad!$E17="","",Humedad!$E17)</f>
        <v/>
      </c>
      <c r="F17" s="12" t="str">
        <f>IF(Humedad!$G17="","",Humedad!$G17)</f>
        <v/>
      </c>
      <c r="G17" s="12" t="str">
        <f>IF(Humedad!$H17="","",Humedad!$H17)</f>
        <v/>
      </c>
      <c r="H17" s="16"/>
      <c r="I17" s="22" t="str">
        <f>IF(OR(MO!$A17="",MO!$B17="",MO!$C17="",MO!$D17="",MO!$E17="",MO!$F17="",MO!$G17="",MO!$H17=""),"",((MO!$G17-MO!$H17)/(MO!$G17-MO!$E17))*1000)</f>
        <v/>
      </c>
      <c r="K17" s="28"/>
      <c r="L17" s="28"/>
      <c r="M17" s="10"/>
    </row>
    <row r="18" spans="1:13" ht="12.45" customHeight="1" x14ac:dyDescent="0.25">
      <c r="A18" s="11" t="str">
        <f>IF(Humedad!$A18="","",Humedad!$A18)</f>
        <v/>
      </c>
      <c r="B18" s="20"/>
      <c r="C18" s="16"/>
      <c r="D18" s="11" t="str">
        <f>IF(Humedad!$D18="","",Humedad!$D18)</f>
        <v/>
      </c>
      <c r="E18" s="12" t="str">
        <f>IF(Humedad!$E18="","",Humedad!$E18)</f>
        <v/>
      </c>
      <c r="F18" s="12" t="str">
        <f>IF(Humedad!$G18="","",Humedad!$G18)</f>
        <v/>
      </c>
      <c r="G18" s="12" t="str">
        <f>IF(Humedad!$H18="","",Humedad!$H18)</f>
        <v/>
      </c>
      <c r="H18" s="16"/>
      <c r="I18" s="22" t="str">
        <f>IF(OR(MO!$A18="",MO!$B18="",MO!$C18="",MO!$D18="",MO!$E18="",MO!$F18="",MO!$G18="",MO!$H18=""),"",((MO!$G18-MO!$H18)/(MO!$G18-MO!$E18))*1000)</f>
        <v/>
      </c>
      <c r="K18" s="29"/>
      <c r="L18" s="29"/>
      <c r="M18" s="13"/>
    </row>
    <row r="19" spans="1:13" ht="12.45" customHeight="1" x14ac:dyDescent="0.25">
      <c r="A19" s="11" t="str">
        <f>IF(Humedad!$A19="","",Humedad!$A19)</f>
        <v/>
      </c>
      <c r="B19" s="20"/>
      <c r="C19" s="16"/>
      <c r="D19" s="11" t="str">
        <f>IF(Humedad!$D19="","",Humedad!$D19)</f>
        <v/>
      </c>
      <c r="E19" s="12" t="str">
        <f>IF(Humedad!$E19="","",Humedad!$E19)</f>
        <v/>
      </c>
      <c r="F19" s="12" t="str">
        <f>IF(Humedad!$G19="","",Humedad!$G19)</f>
        <v/>
      </c>
      <c r="G19" s="12" t="str">
        <f>IF(Humedad!$H19="","",Humedad!$H19)</f>
        <v/>
      </c>
      <c r="H19" s="16"/>
      <c r="I19" s="22" t="str">
        <f>IF(OR(MO!$A19="",MO!$B19="",MO!$C19="",MO!$D19="",MO!$E19="",MO!$F19="",MO!$G19="",MO!$H19=""),"",((MO!$G19-MO!$H19)/(MO!$G19-MO!$E19))*1000)</f>
        <v/>
      </c>
      <c r="K19" s="29"/>
      <c r="L19" s="29"/>
      <c r="M19" s="13"/>
    </row>
    <row r="20" spans="1:13" ht="13.05" customHeight="1" x14ac:dyDescent="0.25">
      <c r="A20" s="11" t="str">
        <f>IF(Humedad!$A20="","",Humedad!$A20)</f>
        <v/>
      </c>
      <c r="B20" s="20"/>
      <c r="C20" s="16"/>
      <c r="D20" s="11" t="str">
        <f>IF(Humedad!$D20="","",Humedad!$D20)</f>
        <v/>
      </c>
      <c r="E20" s="12" t="str">
        <f>IF(Humedad!$E20="","",Humedad!$E20)</f>
        <v/>
      </c>
      <c r="F20" s="12" t="str">
        <f>IF(Humedad!$G20="","",Humedad!$G20)</f>
        <v/>
      </c>
      <c r="G20" s="12" t="str">
        <f>IF(Humedad!$H20="","",Humedad!$H20)</f>
        <v/>
      </c>
      <c r="H20" s="16"/>
      <c r="I20" s="22" t="str">
        <f>IF(OR(MO!$A20="",MO!$B20="",MO!$C20="",MO!$D20="",MO!$E20="",MO!$F20="",MO!$G20="",MO!$H20=""),"",((MO!$G20-MO!$H20)/(MO!$G20-MO!$E20))*1000)</f>
        <v/>
      </c>
      <c r="K20" s="28"/>
      <c r="L20" s="28"/>
      <c r="M20" s="10"/>
    </row>
    <row r="21" spans="1:13" ht="12.45" customHeight="1" x14ac:dyDescent="0.25">
      <c r="A21" s="11" t="str">
        <f>IF(Humedad!$A21="","",Humedad!$A21)</f>
        <v/>
      </c>
      <c r="B21" s="20"/>
      <c r="C21" s="16"/>
      <c r="D21" s="11" t="str">
        <f>IF(Humedad!$D21="","",Humedad!$D21)</f>
        <v/>
      </c>
      <c r="E21" s="12" t="str">
        <f>IF(Humedad!$E21="","",Humedad!$E21)</f>
        <v/>
      </c>
      <c r="F21" s="12" t="str">
        <f>IF(Humedad!$G21="","",Humedad!$G21)</f>
        <v/>
      </c>
      <c r="G21" s="12" t="str">
        <f>IF(Humedad!$H21="","",Humedad!$H21)</f>
        <v/>
      </c>
      <c r="H21" s="16"/>
      <c r="I21" s="22" t="str">
        <f>IF(OR(MO!$A21="",MO!$B21="",MO!$C21="",MO!$D21="",MO!$E21="",MO!$F21="",MO!$G21="",MO!$H21=""),"",((MO!$G21-MO!$H21)/(MO!$G21-MO!$E21))*1000)</f>
        <v/>
      </c>
      <c r="K21" s="32"/>
      <c r="L21" s="32"/>
      <c r="M21" s="14"/>
    </row>
    <row r="22" spans="1:13" ht="12.45" customHeight="1" x14ac:dyDescent="0.25">
      <c r="A22" s="11" t="str">
        <f>IF(Humedad!$A22="","",Humedad!$A22)</f>
        <v/>
      </c>
      <c r="B22" s="20"/>
      <c r="C22" s="16"/>
      <c r="D22" s="11" t="str">
        <f>IF(Humedad!$D22="","",Humedad!$D22)</f>
        <v/>
      </c>
      <c r="E22" s="12" t="str">
        <f>IF(Humedad!$E22="","",Humedad!$E22)</f>
        <v/>
      </c>
      <c r="F22" s="12" t="str">
        <f>IF(Humedad!$G22="","",Humedad!$G22)</f>
        <v/>
      </c>
      <c r="G22" s="12" t="str">
        <f>IF(Humedad!$H22="","",Humedad!$H22)</f>
        <v/>
      </c>
      <c r="H22" s="16"/>
      <c r="I22" s="22" t="str">
        <f>IF(OR(MO!$A22="",MO!$B22="",MO!$C22="",MO!$D22="",MO!$E22="",MO!$F22="",MO!$G22="",MO!$H22=""),"",((MO!$G22-MO!$H22)/(MO!$G22-MO!$E22))*1000)</f>
        <v/>
      </c>
      <c r="K22" s="32"/>
      <c r="L22" s="32"/>
      <c r="M22" s="14"/>
    </row>
    <row r="23" spans="1:13" x14ac:dyDescent="0.25">
      <c r="A23" s="11" t="str">
        <f>IF(Humedad!$A23="","",Humedad!$A23)</f>
        <v/>
      </c>
      <c r="B23" s="20"/>
      <c r="C23" s="16"/>
      <c r="D23" s="11" t="str">
        <f>IF(Humedad!$D23="","",Humedad!$D23)</f>
        <v/>
      </c>
      <c r="E23" s="12" t="str">
        <f>IF(Humedad!$E23="","",Humedad!$E23)</f>
        <v/>
      </c>
      <c r="F23" s="12" t="str">
        <f>IF(Humedad!$G23="","",Humedad!$G23)</f>
        <v/>
      </c>
      <c r="G23" s="12" t="str">
        <f>IF(Humedad!$H23="","",Humedad!$H23)</f>
        <v/>
      </c>
      <c r="H23" s="16"/>
      <c r="I23" s="22" t="str">
        <f>IF(OR(MO!$A23="",MO!$B23="",MO!$C23="",MO!$D23="",MO!$E23="",MO!$F23="",MO!$G23="",MO!$H23=""),"",((MO!$G23-MO!$H23)/(MO!$G23-MO!$E23))*1000)</f>
        <v/>
      </c>
      <c r="M23" s="9"/>
    </row>
    <row r="24" spans="1:13" x14ac:dyDescent="0.25">
      <c r="A24" s="11" t="str">
        <f>IF(Humedad!$A24="","",Humedad!$A24)</f>
        <v/>
      </c>
      <c r="B24" s="20"/>
      <c r="C24" s="16"/>
      <c r="D24" s="11" t="str">
        <f>IF(Humedad!$D24="","",Humedad!$D24)</f>
        <v/>
      </c>
      <c r="E24" s="12" t="str">
        <f>IF(Humedad!$E24="","",Humedad!$E24)</f>
        <v/>
      </c>
      <c r="F24" s="12" t="str">
        <f>IF(Humedad!$G24="","",Humedad!$G24)</f>
        <v/>
      </c>
      <c r="G24" s="12" t="str">
        <f>IF(Humedad!$H24="","",Humedad!$H24)</f>
        <v/>
      </c>
      <c r="H24" s="16"/>
      <c r="I24" s="22" t="str">
        <f>IF(OR(MO!$A24="",MO!$B24="",MO!$C24="",MO!$D24="",MO!$E24="",MO!$F24="",MO!$G24="",MO!$H24=""),"",((MO!$G24-MO!$H24)/(MO!$G24-MO!$E24))*1000)</f>
        <v/>
      </c>
      <c r="M24" s="9"/>
    </row>
    <row r="25" spans="1:13" x14ac:dyDescent="0.25">
      <c r="A25" s="11" t="str">
        <f>IF(Humedad!$A25="","",Humedad!$A25)</f>
        <v/>
      </c>
      <c r="B25" s="20"/>
      <c r="C25" s="16"/>
      <c r="D25" s="11" t="str">
        <f>IF(Humedad!$D25="","",Humedad!$D25)</f>
        <v/>
      </c>
      <c r="E25" s="12" t="str">
        <f>IF(Humedad!$E25="","",Humedad!$E25)</f>
        <v/>
      </c>
      <c r="F25" s="12" t="str">
        <f>IF(Humedad!$G25="","",Humedad!$G25)</f>
        <v/>
      </c>
      <c r="G25" s="12" t="str">
        <f>IF(Humedad!$H25="","",Humedad!$H25)</f>
        <v/>
      </c>
      <c r="H25" s="16"/>
      <c r="I25" s="22" t="str">
        <f>IF(OR(MO!$A25="",MO!$B25="",MO!$C25="",MO!$D25="",MO!$E25="",MO!$F25="",MO!$G25="",MO!$H25=""),"",((MO!$G25-MO!$H25)/(MO!$G25-MO!$E25))*1000)</f>
        <v/>
      </c>
    </row>
    <row r="26" spans="1:13" x14ac:dyDescent="0.25">
      <c r="A26" s="11" t="str">
        <f>IF(Humedad!$A26="","",Humedad!$A26)</f>
        <v>R-</v>
      </c>
      <c r="B26" s="20"/>
      <c r="C26" s="16"/>
      <c r="D26" s="11" t="str">
        <f>IF(Humedad!$D26="","",Humedad!$D26)</f>
        <v/>
      </c>
      <c r="E26" s="12" t="str">
        <f>IF(Humedad!$E26="","",Humedad!$E26)</f>
        <v/>
      </c>
      <c r="F26" s="12" t="str">
        <f>IF(Humedad!$G26="","",Humedad!$G26)</f>
        <v/>
      </c>
      <c r="G26" s="12" t="str">
        <f>IF(Humedad!$H26="","",Humedad!$H26)</f>
        <v/>
      </c>
      <c r="H26" s="16"/>
      <c r="I26" s="22" t="str">
        <f>IF(OR(MO!$A26="",MO!$B26="",MO!$C26="",MO!$D26="",MO!$E26="",MO!$F26="",MO!$G26="",MO!$H26=""),"",((MO!$G26-MO!$H26)/(MO!$G26-MO!$E26))*1000)</f>
        <v/>
      </c>
    </row>
    <row r="27" spans="1:13" x14ac:dyDescent="0.25">
      <c r="A27" s="11" t="str">
        <f>IF(Humedad!$A27="","",Humedad!$A27)</f>
        <v>R-</v>
      </c>
      <c r="B27" s="20"/>
      <c r="C27" s="16"/>
      <c r="D27" s="11" t="str">
        <f>IF(Humedad!$D27="","",Humedad!$D27)</f>
        <v/>
      </c>
      <c r="E27" s="12" t="str">
        <f>IF(Humedad!$E27="","",Humedad!$E27)</f>
        <v/>
      </c>
      <c r="F27" s="12" t="str">
        <f>IF(Humedad!$G27="","",Humedad!$G27)</f>
        <v/>
      </c>
      <c r="G27" s="12" t="str">
        <f>IF(Humedad!$H27="","",Humedad!$H27)</f>
        <v/>
      </c>
      <c r="H27" s="16"/>
      <c r="I27" s="22" t="str">
        <f>IF(OR(MO!$A27="",MO!$B27="",MO!$C27="",MO!$D27="",MO!$E27="",MO!$F27="",MO!$G27="",MO!$H27=""),"",((MO!$G27-MO!$H27)/(MO!$G27-MO!$E27))*1000)</f>
        <v/>
      </c>
    </row>
    <row r="28" spans="1:13" x14ac:dyDescent="0.25">
      <c r="A28" s="11" t="str">
        <f>IF(Humedad!$A28="","",Humedad!$A28)</f>
        <v>R-</v>
      </c>
      <c r="B28" s="20"/>
      <c r="C28" s="16"/>
      <c r="D28" s="11" t="str">
        <f>IF(Humedad!$D28="","",Humedad!$D28)</f>
        <v/>
      </c>
      <c r="E28" s="12" t="str">
        <f>IF(Humedad!$E28="","",Humedad!$E28)</f>
        <v/>
      </c>
      <c r="F28" s="12" t="str">
        <f>IF(Humedad!$G28="","",Humedad!$G28)</f>
        <v/>
      </c>
      <c r="G28" s="12" t="str">
        <f>IF(Humedad!$H28="","",Humedad!$H28)</f>
        <v/>
      </c>
      <c r="H28" s="16"/>
      <c r="I28" s="22" t="str">
        <f>IF(OR(MO!$A28="",MO!$B28="",MO!$C28="",MO!$D28="",MO!$E28="",MO!$F28="",MO!$G28="",MO!$H28=""),"",((MO!$G28-MO!$H28)/(MO!$G28-MO!$E28))*1000)</f>
        <v/>
      </c>
    </row>
    <row r="29" spans="1:13" x14ac:dyDescent="0.25">
      <c r="A29" s="11" t="str">
        <f>IF(Humedad!$A29="","",Humedad!$A29)</f>
        <v/>
      </c>
      <c r="B29" s="20"/>
      <c r="C29" s="16"/>
      <c r="D29" s="11" t="str">
        <f>IF(Humedad!$D29="","",Humedad!$D29)</f>
        <v/>
      </c>
      <c r="E29" s="12" t="str">
        <f>IF(Humedad!$E29="","",Humedad!$E29)</f>
        <v/>
      </c>
      <c r="F29" s="12" t="str">
        <f>IF(Humedad!$G29="","",Humedad!$G29)</f>
        <v/>
      </c>
      <c r="G29" s="12" t="str">
        <f>IF(Humedad!$H29="","",Humedad!$H29)</f>
        <v/>
      </c>
      <c r="H29" s="16"/>
      <c r="I29" s="22" t="str">
        <f>IF(OR(MO!$A29="",MO!$B29="",MO!$C29="",MO!$D29="",MO!$E29="",MO!$F29="",MO!$G29="",MO!$H29=""),"",((MO!$G29-MO!$H29)/(MO!$G29-MO!$E29))*1000)</f>
        <v/>
      </c>
    </row>
    <row r="30" spans="1:13" x14ac:dyDescent="0.25">
      <c r="A30" s="11" t="str">
        <f>IF(Humedad!$A30="","",Humedad!$A30)</f>
        <v/>
      </c>
      <c r="B30" s="20"/>
      <c r="C30" s="16"/>
      <c r="D30" s="11" t="str">
        <f>IF(Humedad!$D30="","",Humedad!$D30)</f>
        <v/>
      </c>
      <c r="E30" s="12" t="str">
        <f>IF(Humedad!$E30="","",Humedad!$E30)</f>
        <v/>
      </c>
      <c r="F30" s="12" t="str">
        <f>IF(Humedad!$G30="","",Humedad!$G30)</f>
        <v/>
      </c>
      <c r="G30" s="12" t="str">
        <f>IF(Humedad!$H30="","",Humedad!$H30)</f>
        <v/>
      </c>
      <c r="H30" s="16"/>
      <c r="I30" s="22" t="str">
        <f>IF(OR(MO!$A30="",MO!$B30="",MO!$C30="",MO!$D30="",MO!$E30="",MO!$F30="",MO!$G30="",MO!$H30=""),"",((MO!$G30-MO!$H30)/(MO!$G30-MO!$E30))*1000)</f>
        <v/>
      </c>
    </row>
    <row r="31" spans="1:13" x14ac:dyDescent="0.25">
      <c r="A31" s="11" t="str">
        <f>IF(Humedad!$A31="","",Humedad!$A31)</f>
        <v/>
      </c>
      <c r="B31" s="20"/>
      <c r="C31" s="16"/>
      <c r="D31" s="11" t="str">
        <f>IF(Humedad!$D31="","",Humedad!$D31)</f>
        <v/>
      </c>
      <c r="E31" s="12" t="str">
        <f>IF(Humedad!$E31="","",Humedad!$E31)</f>
        <v/>
      </c>
      <c r="F31" s="12" t="str">
        <f>IF(Humedad!$G31="","",Humedad!$G31)</f>
        <v/>
      </c>
      <c r="G31" s="12" t="str">
        <f>IF(Humedad!$H31="","",Humedad!$H31)</f>
        <v/>
      </c>
      <c r="H31" s="16"/>
      <c r="I31" s="22" t="str">
        <f>IF(OR(MO!$A31="",MO!$B31="",MO!$C31="",MO!$D31="",MO!$E31="",MO!$F31="",MO!$G31="",MO!$H31=""),"",((MO!$G31-MO!$H31)/(MO!$G31-MO!$E31))*1000)</f>
        <v/>
      </c>
    </row>
    <row r="32" spans="1:13" x14ac:dyDescent="0.25">
      <c r="A32" s="11" t="str">
        <f>IF(Humedad!$A32="","",Humedad!$A32)</f>
        <v/>
      </c>
      <c r="B32" s="20"/>
      <c r="C32" s="16"/>
      <c r="D32" s="11" t="str">
        <f>IF(Humedad!$D32="","",Humedad!$D32)</f>
        <v/>
      </c>
      <c r="E32" s="12" t="str">
        <f>IF(Humedad!$E32="","",Humedad!$E32)</f>
        <v/>
      </c>
      <c r="F32" s="12" t="str">
        <f>IF(Humedad!$G32="","",Humedad!$G32)</f>
        <v/>
      </c>
      <c r="G32" s="12" t="str">
        <f>IF(Humedad!$H32="","",Humedad!$H32)</f>
        <v/>
      </c>
      <c r="H32" s="16"/>
      <c r="I32" s="22" t="str">
        <f>IF(OR(MO!$A32="",MO!$B32="",MO!$C32="",MO!$D32="",MO!$E32="",MO!$F32="",MO!$G32="",MO!$H32=""),"",((MO!$G32-MO!$H32)/(MO!$G32-MO!$E32))*1000)</f>
        <v/>
      </c>
    </row>
    <row r="33" spans="1:9" x14ac:dyDescent="0.25">
      <c r="A33" s="11" t="str">
        <f>IF(Humedad!$A33="","",Humedad!$A33)</f>
        <v/>
      </c>
      <c r="B33" s="20"/>
      <c r="C33" s="16"/>
      <c r="D33" s="11" t="str">
        <f>IF(Humedad!$D33="","",Humedad!$D33)</f>
        <v/>
      </c>
      <c r="E33" s="12" t="str">
        <f>IF(Humedad!$E33="","",Humedad!$E33)</f>
        <v/>
      </c>
      <c r="F33" s="12" t="str">
        <f>IF(Humedad!$G33="","",Humedad!$G33)</f>
        <v/>
      </c>
      <c r="G33" s="12" t="str">
        <f>IF(Humedad!$H33="","",Humedad!$H33)</f>
        <v/>
      </c>
      <c r="H33" s="16"/>
      <c r="I33" s="22" t="str">
        <f>IF(OR(MO!$A33="",MO!$B33="",MO!$C33="",MO!$D33="",MO!$E33="",MO!$F33="",MO!$G33="",MO!$H33=""),"",((MO!$G33-MO!$H33)/(MO!$G33-MO!$E33))*1000)</f>
        <v/>
      </c>
    </row>
    <row r="34" spans="1:9" x14ac:dyDescent="0.25">
      <c r="A34" s="11" t="str">
        <f>IF(Humedad!$A34="","",Humedad!$A34)</f>
        <v/>
      </c>
      <c r="B34" s="20"/>
      <c r="C34" s="16"/>
      <c r="D34" s="11" t="str">
        <f>IF(Humedad!$D34="","",Humedad!$D34)</f>
        <v/>
      </c>
      <c r="E34" s="12" t="str">
        <f>IF(Humedad!$E34="","",Humedad!$E34)</f>
        <v/>
      </c>
      <c r="F34" s="12" t="str">
        <f>IF(Humedad!$G34="","",Humedad!$G34)</f>
        <v/>
      </c>
      <c r="G34" s="12" t="str">
        <f>IF(Humedad!$H34="","",Humedad!$H34)</f>
        <v/>
      </c>
      <c r="H34" s="16"/>
      <c r="I34" s="22" t="str">
        <f>IF(OR(MO!$A34="",MO!$B34="",MO!$C34="",MO!$D34="",MO!$E34="",MO!$F34="",MO!$G34="",MO!$H34=""),"",((MO!$G34-MO!$H34)/(MO!$G34-MO!$E34))*1000)</f>
        <v/>
      </c>
    </row>
    <row r="35" spans="1:9" x14ac:dyDescent="0.25">
      <c r="A35" s="11" t="str">
        <f>IF(Humedad!$A35="","",Humedad!$A35)</f>
        <v/>
      </c>
      <c r="B35" s="20"/>
      <c r="C35" s="16"/>
      <c r="D35" s="11" t="str">
        <f>IF(Humedad!$D35="","",Humedad!$D35)</f>
        <v/>
      </c>
      <c r="E35" s="12" t="str">
        <f>IF(Humedad!$E35="","",Humedad!$E35)</f>
        <v/>
      </c>
      <c r="F35" s="12" t="str">
        <f>IF(Humedad!$G35="","",Humedad!$G35)</f>
        <v/>
      </c>
      <c r="G35" s="12" t="str">
        <f>IF(Humedad!$H35="","",Humedad!$H35)</f>
        <v/>
      </c>
      <c r="H35" s="16"/>
      <c r="I35" s="22" t="str">
        <f>IF(OR(MO!$A35="",MO!$B35="",MO!$C35="",MO!$D35="",MO!$E35="",MO!$F35="",MO!$G35="",MO!$H35=""),"",((MO!$G35-MO!$H35)/(MO!$G35-MO!$E35))*1000)</f>
        <v/>
      </c>
    </row>
    <row r="36" spans="1:9" x14ac:dyDescent="0.25">
      <c r="A36" s="11" t="str">
        <f>IF(Humedad!$A36="","",Humedad!$A36)</f>
        <v/>
      </c>
      <c r="B36" s="20"/>
      <c r="C36" s="16"/>
      <c r="D36" s="11" t="str">
        <f>IF(Humedad!$D36="","",Humedad!$D36)</f>
        <v/>
      </c>
      <c r="E36" s="12" t="str">
        <f>IF(Humedad!$E36="","",Humedad!$E36)</f>
        <v/>
      </c>
      <c r="F36" s="12" t="str">
        <f>IF(Humedad!$G36="","",Humedad!$G36)</f>
        <v/>
      </c>
      <c r="G36" s="12" t="str">
        <f>IF(Humedad!$H36="","",Humedad!$H36)</f>
        <v/>
      </c>
      <c r="H36" s="16"/>
      <c r="I36" s="22" t="str">
        <f>IF(OR(MO!$A36="",MO!$B36="",MO!$C36="",MO!$D36="",MO!$E36="",MO!$F36="",MO!$G36="",MO!$H36=""),"",((MO!$G36-MO!$H36)/(MO!$G36-MO!$E36))*1000)</f>
        <v/>
      </c>
    </row>
    <row r="37" spans="1:9" x14ac:dyDescent="0.25">
      <c r="A37" s="11" t="str">
        <f>IF(Humedad!$A37="","",Humedad!$A37)</f>
        <v/>
      </c>
      <c r="B37" s="20"/>
      <c r="C37" s="16"/>
      <c r="D37" s="11" t="str">
        <f>IF(Humedad!$D37="","",Humedad!$D37)</f>
        <v/>
      </c>
      <c r="E37" s="12" t="str">
        <f>IF(Humedad!$E37="","",Humedad!$E37)</f>
        <v/>
      </c>
      <c r="F37" s="12" t="str">
        <f>IF(Humedad!$G37="","",Humedad!$G37)</f>
        <v/>
      </c>
      <c r="G37" s="12" t="str">
        <f>IF(Humedad!$H37="","",Humedad!$H37)</f>
        <v/>
      </c>
      <c r="H37" s="16"/>
      <c r="I37" s="22" t="str">
        <f>IF(OR(MO!$A37="",MO!$B37="",MO!$C37="",MO!$D37="",MO!$E37="",MO!$F37="",MO!$G37="",MO!$H37=""),"",((MO!$G37-MO!$H37)/(MO!$G37-MO!$E37))*1000)</f>
        <v/>
      </c>
    </row>
  </sheetData>
  <sheetProtection password="D1D1" sheet="1" objects="1" scenarios="1" formatCells="0" formatColumns="0" formatRows="0"/>
  <protectedRanges>
    <protectedRange sqref="M11" name="Rango1"/>
  </protectedRanges>
  <pageMargins left="0.7" right="0.7" top="0.75" bottom="0.75" header="0.3" footer="0.3"/>
  <pageSetup paperSize="9" orientation="landscape" r:id="rId1"/>
  <headerFooter>
    <oddHeader xml:space="preserve">&amp;L&amp;"Arial,Negrita"&amp;20LAFIGA &amp;C&amp;8ANÁLISIS DE SUELOS   
HOJA DE CÁLCULO DE   
LA DETERMINACIÓN DE LA MATERIA ORGÁNICA &amp;10  
&amp;R&amp;8     PE/LAFIGA/SU50  
  Hoja:_______________  
  Siguiente:___________  
</oddHeader>
    <oddFooter xml:space="preserve">&amp;LESU5002-2
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6"/>
  <sheetViews>
    <sheetView workbookViewId="0">
      <selection activeCell="B2" sqref="B2"/>
    </sheetView>
  </sheetViews>
  <sheetFormatPr baseColWidth="10" defaultRowHeight="13.2" x14ac:dyDescent="0.25"/>
  <sheetData>
    <row r="1" spans="1:2" x14ac:dyDescent="0.25">
      <c r="A1" s="47" t="s">
        <v>10</v>
      </c>
      <c r="B1" s="47"/>
    </row>
    <row r="2" spans="1:2" x14ac:dyDescent="0.25">
      <c r="A2" s="1" t="s">
        <v>11</v>
      </c>
      <c r="B2" s="2">
        <v>3</v>
      </c>
    </row>
    <row r="3" spans="1:2" x14ac:dyDescent="0.25">
      <c r="A3" s="1" t="s">
        <v>12</v>
      </c>
      <c r="B3" s="2">
        <v>9600</v>
      </c>
    </row>
    <row r="4" spans="1:2" x14ac:dyDescent="0.25">
      <c r="A4" s="1" t="s">
        <v>13</v>
      </c>
      <c r="B4" s="2" t="s">
        <v>14</v>
      </c>
    </row>
    <row r="5" spans="1:2" x14ac:dyDescent="0.25">
      <c r="A5" s="1" t="s">
        <v>15</v>
      </c>
      <c r="B5" s="2">
        <v>8</v>
      </c>
    </row>
    <row r="6" spans="1:2" x14ac:dyDescent="0.25">
      <c r="A6" s="1" t="s">
        <v>16</v>
      </c>
      <c r="B6" s="2">
        <v>1</v>
      </c>
    </row>
  </sheetData>
  <mergeCells count="1">
    <mergeCell ref="A1:B1"/>
  </mergeCells>
  <dataValidations count="3">
    <dataValidation type="list" allowBlank="1" showInputMessage="1" showErrorMessage="1" sqref="B3">
      <formula1>"1200,2400,4800,9600,19200,38400"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4">
      <formula1>"N,O,E"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37"/>
  <sheetViews>
    <sheetView workbookViewId="0">
      <selection activeCell="C2" sqref="C2"/>
    </sheetView>
  </sheetViews>
  <sheetFormatPr baseColWidth="10" defaultRowHeight="13.2" x14ac:dyDescent="0.25"/>
  <cols>
    <col min="1" max="1" width="17.77734375" bestFit="1" customWidth="1"/>
    <col min="3" max="3" width="30.33203125" bestFit="1" customWidth="1"/>
  </cols>
  <sheetData>
    <row r="1" spans="1:3" ht="57.6" x14ac:dyDescent="0.25">
      <c r="A1" s="23" t="s">
        <v>18</v>
      </c>
      <c r="B1" s="23" t="s">
        <v>19</v>
      </c>
      <c r="C1" s="24" t="s">
        <v>20</v>
      </c>
    </row>
    <row r="2" spans="1:3" x14ac:dyDescent="0.25">
      <c r="A2" s="25" t="str">
        <f>IF(MO!A2="","",MO!A2)</f>
        <v>PSI</v>
      </c>
      <c r="B2" s="25" t="str">
        <f>IF(MO!I2="","",MO!I2)</f>
        <v/>
      </c>
      <c r="C2" s="25">
        <f>IF(MO!A2="","",IF(MO!I2&lt;10,10000,0))</f>
        <v>0</v>
      </c>
    </row>
    <row r="3" spans="1:3" x14ac:dyDescent="0.25">
      <c r="A3" s="25" t="str">
        <f>IF(MO!A3="","",MO!A3)</f>
        <v/>
      </c>
      <c r="B3" s="25" t="str">
        <f>IF(MO!I3="","",MO!I3)</f>
        <v/>
      </c>
      <c r="C3" s="25" t="str">
        <f>IF(MO!A3="","",IF(MO!I3&lt;10,10000,0))</f>
        <v/>
      </c>
    </row>
    <row r="4" spans="1:3" x14ac:dyDescent="0.25">
      <c r="A4" s="25" t="str">
        <f>IF(MO!A4="","",MO!A4)</f>
        <v/>
      </c>
      <c r="B4" s="25" t="str">
        <f>IF(MO!I4="","",MO!I4)</f>
        <v/>
      </c>
      <c r="C4" s="25" t="str">
        <f>IF(MO!A4="","",IF(MO!I4&lt;10,10000,0))</f>
        <v/>
      </c>
    </row>
    <row r="5" spans="1:3" x14ac:dyDescent="0.25">
      <c r="A5" s="25" t="str">
        <f>IF(MO!A5="","",MO!A5)</f>
        <v/>
      </c>
      <c r="B5" s="25" t="str">
        <f>IF(MO!I5="","",MO!I5)</f>
        <v/>
      </c>
      <c r="C5" s="25" t="str">
        <f>IF(MO!A5="","",IF(MO!I5&lt;10,10000,0))</f>
        <v/>
      </c>
    </row>
    <row r="6" spans="1:3" x14ac:dyDescent="0.25">
      <c r="A6" s="25" t="str">
        <f>IF(MO!A6="","",MO!A6)</f>
        <v/>
      </c>
      <c r="B6" s="25" t="str">
        <f>IF(MO!I6="","",MO!I6)</f>
        <v/>
      </c>
      <c r="C6" s="25" t="str">
        <f>IF(MO!A6="","",IF(MO!I6&lt;10,10000,0))</f>
        <v/>
      </c>
    </row>
    <row r="7" spans="1:3" x14ac:dyDescent="0.25">
      <c r="A7" s="25" t="str">
        <f>IF(MO!A7="","",MO!A7)</f>
        <v/>
      </c>
      <c r="B7" s="25" t="str">
        <f>IF(MO!I7="","",MO!I7)</f>
        <v/>
      </c>
      <c r="C7" s="25" t="str">
        <f>IF(MO!A7="","",IF(MO!I7&lt;10,10000,0))</f>
        <v/>
      </c>
    </row>
    <row r="8" spans="1:3" x14ac:dyDescent="0.25">
      <c r="A8" s="25" t="str">
        <f>IF(MO!A8="","",MO!A8)</f>
        <v/>
      </c>
      <c r="B8" s="25" t="str">
        <f>IF(MO!I8="","",MO!I8)</f>
        <v/>
      </c>
      <c r="C8" s="25" t="str">
        <f>IF(MO!A8="","",IF(MO!I8&lt;10,10000,0))</f>
        <v/>
      </c>
    </row>
    <row r="9" spans="1:3" x14ac:dyDescent="0.25">
      <c r="A9" s="25" t="str">
        <f>IF(MO!A9="","",MO!A9)</f>
        <v/>
      </c>
      <c r="B9" s="25" t="str">
        <f>IF(MO!I9="","",MO!I9)</f>
        <v/>
      </c>
      <c r="C9" s="25" t="str">
        <f>IF(MO!A9="","",IF(MO!I9&lt;10,10000,0))</f>
        <v/>
      </c>
    </row>
    <row r="10" spans="1:3" x14ac:dyDescent="0.25">
      <c r="A10" s="25" t="str">
        <f>IF(MO!A10="","",MO!A10)</f>
        <v/>
      </c>
      <c r="B10" s="25" t="str">
        <f>IF(MO!I10="","",MO!I10)</f>
        <v/>
      </c>
      <c r="C10" s="25" t="str">
        <f>IF(MO!A10="","",IF(MO!I10&lt;10,10000,0))</f>
        <v/>
      </c>
    </row>
    <row r="11" spans="1:3" x14ac:dyDescent="0.25">
      <c r="A11" s="25" t="str">
        <f>IF(MO!A11="","",MO!A11)</f>
        <v/>
      </c>
      <c r="B11" s="25" t="str">
        <f>IF(MO!I11="","",MO!I11)</f>
        <v/>
      </c>
      <c r="C11" s="25" t="str">
        <f>IF(MO!A11="","",IF(MO!I11&lt;10,10000,0))</f>
        <v/>
      </c>
    </row>
    <row r="12" spans="1:3" x14ac:dyDescent="0.25">
      <c r="A12" s="25" t="str">
        <f>IF(MO!A12="","",MO!A12)</f>
        <v/>
      </c>
      <c r="B12" s="25" t="str">
        <f>IF(MO!I12="","",MO!I12)</f>
        <v/>
      </c>
      <c r="C12" s="25" t="str">
        <f>IF(MO!A12="","",IF(MO!I12&lt;10,10000,0))</f>
        <v/>
      </c>
    </row>
    <row r="13" spans="1:3" x14ac:dyDescent="0.25">
      <c r="A13" s="25" t="str">
        <f>IF(MO!A13="","",MO!A13)</f>
        <v/>
      </c>
      <c r="B13" s="25" t="str">
        <f>IF(MO!I13="","",MO!I13)</f>
        <v/>
      </c>
      <c r="C13" s="25" t="str">
        <f>IF(MO!A13="","",IF(MO!I13&lt;10,10000,0))</f>
        <v/>
      </c>
    </row>
    <row r="14" spans="1:3" x14ac:dyDescent="0.25">
      <c r="A14" s="25" t="str">
        <f>IF(MO!A14="","",MO!A14)</f>
        <v/>
      </c>
      <c r="B14" s="25" t="str">
        <f>IF(MO!I14="","",MO!I14)</f>
        <v/>
      </c>
      <c r="C14" s="25" t="str">
        <f>IF(MO!A14="","",IF(MO!I14&lt;10,10000,0))</f>
        <v/>
      </c>
    </row>
    <row r="15" spans="1:3" x14ac:dyDescent="0.25">
      <c r="A15" s="25" t="str">
        <f>IF(MO!A15="","",MO!A15)</f>
        <v/>
      </c>
      <c r="B15" s="25" t="str">
        <f>IF(MO!I15="","",MO!I15)</f>
        <v/>
      </c>
      <c r="C15" s="25" t="str">
        <f>IF(MO!A15="","",IF(MO!I15&lt;10,10000,0))</f>
        <v/>
      </c>
    </row>
    <row r="16" spans="1:3" x14ac:dyDescent="0.25">
      <c r="A16" s="25" t="str">
        <f>IF(MO!A16="","",MO!A16)</f>
        <v/>
      </c>
      <c r="B16" s="25" t="str">
        <f>IF(MO!I16="","",MO!I16)</f>
        <v/>
      </c>
      <c r="C16" s="25" t="str">
        <f>IF(MO!A16="","",IF(MO!I16&lt;10,10000,0))</f>
        <v/>
      </c>
    </row>
    <row r="17" spans="1:3" x14ac:dyDescent="0.25">
      <c r="A17" s="25" t="str">
        <f>IF(MO!A17="","",MO!A17)</f>
        <v/>
      </c>
      <c r="B17" s="25" t="str">
        <f>IF(MO!I17="","",MO!I17)</f>
        <v/>
      </c>
      <c r="C17" s="25" t="str">
        <f>IF(MO!A17="","",IF(MO!I17&lt;10,10000,0))</f>
        <v/>
      </c>
    </row>
    <row r="18" spans="1:3" x14ac:dyDescent="0.25">
      <c r="A18" s="25" t="str">
        <f>IF(MO!A18="","",MO!A18)</f>
        <v/>
      </c>
      <c r="B18" s="25" t="str">
        <f>IF(MO!I18="","",MO!I18)</f>
        <v/>
      </c>
      <c r="C18" s="25" t="str">
        <f>IF(MO!A18="","",IF(MO!I18&lt;10,10000,0))</f>
        <v/>
      </c>
    </row>
    <row r="19" spans="1:3" x14ac:dyDescent="0.25">
      <c r="A19" s="25" t="str">
        <f>IF(MO!A19="","",MO!A19)</f>
        <v/>
      </c>
      <c r="B19" s="25" t="str">
        <f>IF(MO!I19="","",MO!I19)</f>
        <v/>
      </c>
      <c r="C19" s="25" t="str">
        <f>IF(MO!A19="","",IF(MO!I19&lt;10,10000,0))</f>
        <v/>
      </c>
    </row>
    <row r="20" spans="1:3" x14ac:dyDescent="0.25">
      <c r="A20" s="25" t="str">
        <f>IF(MO!A20="","",MO!A20)</f>
        <v/>
      </c>
      <c r="B20" s="25" t="str">
        <f>IF(MO!I20="","",MO!I20)</f>
        <v/>
      </c>
      <c r="C20" s="25" t="str">
        <f>IF(MO!A20="","",IF(MO!I20&lt;10,10000,0))</f>
        <v/>
      </c>
    </row>
    <row r="21" spans="1:3" x14ac:dyDescent="0.25">
      <c r="A21" s="25" t="str">
        <f>IF(MO!A21="","",MO!A21)</f>
        <v/>
      </c>
      <c r="B21" s="25" t="str">
        <f>IF(MO!I21="","",MO!I21)</f>
        <v/>
      </c>
      <c r="C21" s="25" t="str">
        <f>IF(MO!A21="","",IF(MO!I21&lt;10,10000,0))</f>
        <v/>
      </c>
    </row>
    <row r="22" spans="1:3" x14ac:dyDescent="0.25">
      <c r="A22" s="25" t="str">
        <f>IF(MO!A22="","",MO!A22)</f>
        <v/>
      </c>
      <c r="B22" s="25" t="str">
        <f>IF(MO!I22="","",MO!I22)</f>
        <v/>
      </c>
      <c r="C22" s="25" t="str">
        <f>IF(MO!A22="","",IF(MO!I22&lt;10,10000,0))</f>
        <v/>
      </c>
    </row>
    <row r="23" spans="1:3" x14ac:dyDescent="0.25">
      <c r="A23" s="25" t="str">
        <f>IF(MO!A23="","",MO!A23)</f>
        <v/>
      </c>
      <c r="B23" s="25" t="str">
        <f>IF(MO!I23="","",MO!I23)</f>
        <v/>
      </c>
      <c r="C23" s="25" t="str">
        <f>IF(MO!A23="","",IF(MO!I23&lt;10,10000,0))</f>
        <v/>
      </c>
    </row>
    <row r="24" spans="1:3" x14ac:dyDescent="0.25">
      <c r="A24" s="25" t="str">
        <f>IF(MO!A24="","",MO!A24)</f>
        <v/>
      </c>
      <c r="B24" s="25" t="str">
        <f>IF(MO!I24="","",MO!I24)</f>
        <v/>
      </c>
      <c r="C24" s="25" t="str">
        <f>IF(MO!A24="","",IF(MO!I24&lt;10,10000,0))</f>
        <v/>
      </c>
    </row>
    <row r="25" spans="1:3" x14ac:dyDescent="0.25">
      <c r="A25" s="25" t="str">
        <f>IF(MO!A25="","",MO!A25)</f>
        <v/>
      </c>
      <c r="B25" s="25" t="str">
        <f>IF(MO!I25="","",MO!I25)</f>
        <v/>
      </c>
      <c r="C25" s="25" t="str">
        <f>IF(MO!A25="","",IF(MO!I25&lt;10,10000,0))</f>
        <v/>
      </c>
    </row>
    <row r="26" spans="1:3" x14ac:dyDescent="0.25">
      <c r="A26" s="25" t="str">
        <f>IF(MO!A26="","",MO!A26)</f>
        <v>R-</v>
      </c>
      <c r="B26" s="25" t="str">
        <f>IF(MO!I26="","",MO!I26)</f>
        <v/>
      </c>
      <c r="C26" s="25">
        <f>IF(MO!A26="","",IF(MO!I26&lt;10,10000,0))</f>
        <v>0</v>
      </c>
    </row>
    <row r="27" spans="1:3" x14ac:dyDescent="0.25">
      <c r="A27" s="25" t="str">
        <f>IF(MO!A27="","",MO!A27)</f>
        <v>R-</v>
      </c>
      <c r="B27" s="25" t="str">
        <f>IF(MO!I27="","",MO!I27)</f>
        <v/>
      </c>
      <c r="C27" s="25">
        <f>IF(MO!A27="","",IF(MO!I27&lt;10,10000,0))</f>
        <v>0</v>
      </c>
    </row>
    <row r="28" spans="1:3" x14ac:dyDescent="0.25">
      <c r="A28" s="25" t="str">
        <f>IF(MO!A28="","",MO!A28)</f>
        <v>R-</v>
      </c>
      <c r="B28" s="25" t="str">
        <f>IF(MO!I28="","",MO!I28)</f>
        <v/>
      </c>
      <c r="C28" s="25">
        <f>IF(MO!A28="","",IF(MO!I28&lt;10,10000,0))</f>
        <v>0</v>
      </c>
    </row>
    <row r="29" spans="1:3" x14ac:dyDescent="0.25">
      <c r="A29" s="25" t="str">
        <f>IF(MO!A29="","",MO!A29)</f>
        <v/>
      </c>
      <c r="B29" s="25" t="str">
        <f>IF(MO!I29="","",MO!I29)</f>
        <v/>
      </c>
      <c r="C29" s="25" t="str">
        <f>IF(MO!A29="","",IF(MO!I29&lt;10,10000,0))</f>
        <v/>
      </c>
    </row>
    <row r="30" spans="1:3" x14ac:dyDescent="0.25">
      <c r="A30" s="25" t="str">
        <f>IF(MO!A30="","",MO!A30)</f>
        <v/>
      </c>
      <c r="B30" s="25" t="str">
        <f>IF(MO!I30="","",MO!I30)</f>
        <v/>
      </c>
      <c r="C30" s="25" t="str">
        <f>IF(MO!A30="","",IF(MO!I30&lt;10,10000,0))</f>
        <v/>
      </c>
    </row>
    <row r="31" spans="1:3" x14ac:dyDescent="0.25">
      <c r="A31" s="25" t="str">
        <f>IF(MO!A31="","",MO!A31)</f>
        <v/>
      </c>
      <c r="B31" s="25" t="str">
        <f>IF(MO!I31="","",MO!I31)</f>
        <v/>
      </c>
      <c r="C31" s="25" t="str">
        <f>IF(MO!A31="","",IF(MO!I31&lt;10,10000,0))</f>
        <v/>
      </c>
    </row>
    <row r="32" spans="1:3" x14ac:dyDescent="0.25">
      <c r="A32" s="25" t="str">
        <f>IF(MO!A32="","",MO!A32)</f>
        <v/>
      </c>
      <c r="B32" s="25" t="str">
        <f>IF(MO!I32="","",MO!I32)</f>
        <v/>
      </c>
      <c r="C32" s="25" t="str">
        <f>IF(MO!A32="","",IF(MO!I32&lt;10,10000,0))</f>
        <v/>
      </c>
    </row>
    <row r="33" spans="1:3" x14ac:dyDescent="0.25">
      <c r="A33" s="25" t="str">
        <f>IF(MO!A33="","",MO!A33)</f>
        <v/>
      </c>
      <c r="B33" s="25" t="str">
        <f>IF(MO!I33="","",MO!I33)</f>
        <v/>
      </c>
      <c r="C33" s="25" t="str">
        <f>IF(MO!A33="","",IF(MO!I33&lt;10,10000,0))</f>
        <v/>
      </c>
    </row>
    <row r="34" spans="1:3" x14ac:dyDescent="0.25">
      <c r="A34" s="25" t="str">
        <f>IF(MO!A34="","",MO!A34)</f>
        <v/>
      </c>
      <c r="B34" s="25" t="str">
        <f>IF(MO!I34="","",MO!I34)</f>
        <v/>
      </c>
      <c r="C34" s="25" t="str">
        <f>IF(MO!A34="","",IF(MO!I34&lt;10,10000,0))</f>
        <v/>
      </c>
    </row>
    <row r="35" spans="1:3" x14ac:dyDescent="0.25">
      <c r="A35" s="25" t="str">
        <f>IF(MO!A35="","",MO!A35)</f>
        <v/>
      </c>
      <c r="B35" s="25" t="str">
        <f>IF(MO!I35="","",MO!I35)</f>
        <v/>
      </c>
      <c r="C35" s="25" t="str">
        <f>IF(MO!A35="","",IF(MO!I35&lt;10,10000,0))</f>
        <v/>
      </c>
    </row>
    <row r="36" spans="1:3" x14ac:dyDescent="0.25">
      <c r="A36" s="25" t="str">
        <f>IF(MO!A36="","",MO!A36)</f>
        <v/>
      </c>
      <c r="B36" s="25" t="str">
        <f>IF(MO!I36="","",MO!I36)</f>
        <v/>
      </c>
      <c r="C36" s="25" t="str">
        <f>IF(MO!A36="","",IF(MO!I36&lt;10,10000,0))</f>
        <v/>
      </c>
    </row>
    <row r="37" spans="1:3" x14ac:dyDescent="0.25">
      <c r="A37" s="25" t="str">
        <f>IF(MO!A37="","",MO!A37)</f>
        <v/>
      </c>
      <c r="B37" s="25" t="str">
        <f>IF(MO!I37="","",MO!I37)</f>
        <v/>
      </c>
      <c r="C37" s="25" t="str">
        <f>IF(MO!A37="","",IF(MO!I37&lt;10,10000,0))</f>
        <v/>
      </c>
    </row>
  </sheetData>
  <sheetProtection password="D1D1" sheet="1" objects="1" scenarios="1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number6" Type="http://schemas.openxmlformats.org/officeDocument/2006/relationships/image" Target="images/number6.png"/><Relationship Id="number1" Type="http://schemas.openxmlformats.org/officeDocument/2006/relationships/image" Target="images/number1.png"/><Relationship Id="number0" Type="http://schemas.openxmlformats.org/officeDocument/2006/relationships/image" Target="images/number0.png"/><Relationship Id="number5" Type="http://schemas.openxmlformats.org/officeDocument/2006/relationships/image" Target="images/number5.png"/><Relationship Id="number4" Type="http://schemas.openxmlformats.org/officeDocument/2006/relationships/image" Target="images/number4.png"/><Relationship Id="number9" Type="http://schemas.openxmlformats.org/officeDocument/2006/relationships/image" Target="images/number9.png"/><Relationship Id="number3" Type="http://schemas.openxmlformats.org/officeDocument/2006/relationships/image" Target="images/number3.png"/><Relationship Id="number8" Type="http://schemas.openxmlformats.org/officeDocument/2006/relationships/image" Target="images/number8.png"/><Relationship Id="number7" Type="http://schemas.openxmlformats.org/officeDocument/2006/relationships/image" Target="images/number7.png"/><Relationship Id="number2" Type="http://schemas.openxmlformats.org/officeDocument/2006/relationships/image" Target="images/number2.png"/></Relationships>
</file>

<file path=customUI/customUI14.xml><?xml version="1.0" encoding="utf-8"?>
<customUI xmlns="http://schemas.microsoft.com/office/2009/07/customui">
  <ribbon>
    <tabs>
      <tab id="Capsulas" label="Cápsulas" insertBeforeMso="TabHome">
        <group id="customGroup" label="Teclado">
          <button id="boton7" size="normal" image="number7" onAction="Modulo5.Cmd7_Click"/>
          <button id="boton4" size="normal" image="number4" onAction="Modulo5.Cmd4_Click"/>
          <button id="boton1" size="normal" image="number1" onAction="Modulo5.Cmd1_Click"/>
          <button id="boton8" size="normal" image="number8" onAction="Modulo5.Cmd8_Click"/>
          <button id="boton5" size="normal" image="number5" onAction="Modulo5.Cmd5_Click"/>
          <button id="boton2" size="normal" image="number2" onAction="Modulo5.Cmd2_Click"/>
          <button id="boton9" size="normal" image="number9" onAction="Modulo5.Cmd9_Click"/>
          <button id="boton6" size="normal" image="number6" onAction="Modulo5.Cmd6_Click"/>
          <button id="boton3" size="normal" image="number3" onAction="Modulo5.Cmd3_Click"/>
          <button id="boton0" size="normal" image="number0" onAction="Modulo5.Cmd0_Click"/>
        </group>
        <group id="customGroup2" label="Buscar y Borrar">
          <button id="Buscar" label="Buscar" size="large" imageMso="FilePrintPreview" onAction="Modulo1.BuscarCapsula"/>
          <button id="Borrar" label="Borrar" size="large" imageMso="InkEraseMode" onAction="Modulo5.CmdClear_Click"/>
        </group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5" label="Capturar OT">
          <button id="ListadoMuestras" label="Capturar OT" size="large" imageMso="CreateReport" onAction="Modulo5.ListadoMuestras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Humedad</vt:lpstr>
      <vt:lpstr>MO</vt:lpstr>
      <vt:lpstr>Datos</vt:lpstr>
      <vt:lpstr>NecesidadesMO</vt:lpstr>
      <vt:lpstr>Humedad!Área_de_impresión</vt:lpstr>
      <vt:lpstr>MO!Área_de_impresión</vt:lpstr>
    </vt:vector>
  </TitlesOfParts>
  <Company>Xunta de Galicia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ms1</cp:lastModifiedBy>
  <cp:lastPrinted>2018-01-16T09:56:07Z</cp:lastPrinted>
  <dcterms:created xsi:type="dcterms:W3CDTF">2007-07-02T09:05:15Z</dcterms:created>
  <dcterms:modified xsi:type="dcterms:W3CDTF">2020-06-02T07:06:24Z</dcterms:modified>
</cp:coreProperties>
</file>