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0e5b31d934c479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80" windowWidth="19200" windowHeight="6672"/>
  </bookViews>
  <sheets>
    <sheet name="pH" sheetId="50" r:id="rId1"/>
    <sheet name="Datos" sheetId="51" r:id="rId2"/>
    <sheet name="NecesidadespH" sheetId="52" r:id="rId3"/>
  </sheets>
  <functionGroups builtInGroupCount="17"/>
  <definedNames>
    <definedName name="_xlnm._FilterDatabase" localSheetId="1" hidden="1">Datos!#REF!</definedName>
    <definedName name="_xlnm.Print_Area" localSheetId="0">pH!$A$1:$K$92</definedName>
    <definedName name="_xlnm.Print_Titles" localSheetId="0">pH!$1:$1</definedName>
  </definedNames>
  <calcPr calcId="145621"/>
</workbook>
</file>

<file path=xl/calcChain.xml><?xml version="1.0" encoding="utf-8"?>
<calcChain xmlns="http://schemas.openxmlformats.org/spreadsheetml/2006/main">
  <c r="B3" i="50" l="1"/>
  <c r="B4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57" i="50"/>
  <c r="B58" i="50"/>
  <c r="B59" i="50"/>
  <c r="B60" i="50"/>
  <c r="B61" i="50"/>
  <c r="B62" i="50"/>
  <c r="B63" i="50"/>
  <c r="B64" i="50"/>
  <c r="B65" i="50"/>
  <c r="B66" i="50"/>
  <c r="B67" i="50"/>
  <c r="B68" i="50"/>
  <c r="B69" i="50"/>
  <c r="B70" i="50"/>
  <c r="B71" i="50"/>
  <c r="B2" i="50"/>
  <c r="C3" i="50" l="1"/>
  <c r="C4" i="50"/>
  <c r="C5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18" i="50"/>
  <c r="C19" i="50"/>
  <c r="C20" i="50"/>
  <c r="C21" i="50"/>
  <c r="C22" i="50"/>
  <c r="C23" i="50"/>
  <c r="C24" i="50"/>
  <c r="C25" i="50"/>
  <c r="C26" i="50"/>
  <c r="C27" i="50"/>
  <c r="C28" i="50"/>
  <c r="C29" i="50"/>
  <c r="C30" i="50"/>
  <c r="C31" i="50"/>
  <c r="C32" i="50"/>
  <c r="C33" i="50"/>
  <c r="C34" i="50"/>
  <c r="C35" i="50"/>
  <c r="C36" i="50"/>
  <c r="C37" i="50"/>
  <c r="C38" i="50"/>
  <c r="C39" i="50"/>
  <c r="C40" i="50"/>
  <c r="C41" i="50"/>
  <c r="C42" i="50"/>
  <c r="C43" i="50"/>
  <c r="C44" i="50"/>
  <c r="C45" i="50"/>
  <c r="C46" i="50"/>
  <c r="C47" i="50"/>
  <c r="C48" i="50"/>
  <c r="C49" i="50"/>
  <c r="C50" i="50"/>
  <c r="C51" i="50"/>
  <c r="C52" i="50"/>
  <c r="C53" i="50"/>
  <c r="C54" i="50"/>
  <c r="C55" i="50"/>
  <c r="C56" i="50"/>
  <c r="C57" i="50"/>
  <c r="C58" i="50"/>
  <c r="C59" i="50"/>
  <c r="C60" i="50"/>
  <c r="C61" i="50"/>
  <c r="C62" i="50"/>
  <c r="C63" i="50"/>
  <c r="C64" i="50"/>
  <c r="C65" i="50"/>
  <c r="C66" i="50"/>
  <c r="C67" i="50"/>
  <c r="C68" i="50"/>
  <c r="C69" i="50"/>
  <c r="C70" i="50"/>
  <c r="C71" i="50"/>
  <c r="C2" i="50"/>
  <c r="A3" i="52" l="1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2" i="52"/>
  <c r="I3" i="50" l="1"/>
  <c r="B3" i="52" s="1"/>
  <c r="I4" i="50"/>
  <c r="B4" i="52" s="1"/>
  <c r="I5" i="50"/>
  <c r="B5" i="52" s="1"/>
  <c r="I6" i="50"/>
  <c r="B6" i="52" s="1"/>
  <c r="C6" i="52" s="1"/>
  <c r="I7" i="50"/>
  <c r="B7" i="52" s="1"/>
  <c r="C7" i="52" s="1"/>
  <c r="I8" i="50"/>
  <c r="B8" i="52" s="1"/>
  <c r="C8" i="52" s="1"/>
  <c r="I9" i="50"/>
  <c r="B9" i="52" s="1"/>
  <c r="C9" i="52" s="1"/>
  <c r="I10" i="50"/>
  <c r="B10" i="52" s="1"/>
  <c r="C10" i="52" s="1"/>
  <c r="I11" i="50"/>
  <c r="B11" i="52" s="1"/>
  <c r="C11" i="52" s="1"/>
  <c r="I12" i="50"/>
  <c r="B12" i="52" s="1"/>
  <c r="C12" i="52" s="1"/>
  <c r="I13" i="50"/>
  <c r="B13" i="52" s="1"/>
  <c r="C13" i="52" s="1"/>
  <c r="I14" i="50"/>
  <c r="B14" i="52" s="1"/>
  <c r="C14" i="52" s="1"/>
  <c r="I15" i="50"/>
  <c r="B15" i="52" s="1"/>
  <c r="C15" i="52" s="1"/>
  <c r="I16" i="50"/>
  <c r="B16" i="52" s="1"/>
  <c r="C16" i="52" s="1"/>
  <c r="I17" i="50"/>
  <c r="B17" i="52" s="1"/>
  <c r="C17" i="52" s="1"/>
  <c r="I18" i="50"/>
  <c r="B18" i="52" s="1"/>
  <c r="C18" i="52" s="1"/>
  <c r="I19" i="50"/>
  <c r="B19" i="52" s="1"/>
  <c r="C19" i="52" s="1"/>
  <c r="I20" i="50"/>
  <c r="B20" i="52" s="1"/>
  <c r="C20" i="52" s="1"/>
  <c r="I21" i="50"/>
  <c r="B21" i="52" s="1"/>
  <c r="C21" i="52" s="1"/>
  <c r="I22" i="50"/>
  <c r="B22" i="52" s="1"/>
  <c r="C22" i="52" s="1"/>
  <c r="I23" i="50"/>
  <c r="B23" i="52" s="1"/>
  <c r="C23" i="52" s="1"/>
  <c r="I24" i="50"/>
  <c r="B24" i="52" s="1"/>
  <c r="C24" i="52" s="1"/>
  <c r="I25" i="50"/>
  <c r="B25" i="52" s="1"/>
  <c r="C25" i="52" s="1"/>
  <c r="I26" i="50"/>
  <c r="B26" i="52" s="1"/>
  <c r="C26" i="52" s="1"/>
  <c r="I27" i="50"/>
  <c r="B27" i="52" s="1"/>
  <c r="C27" i="52" s="1"/>
  <c r="I28" i="50"/>
  <c r="B28" i="52" s="1"/>
  <c r="C28" i="52" s="1"/>
  <c r="I29" i="50"/>
  <c r="B29" i="52" s="1"/>
  <c r="C29" i="52" s="1"/>
  <c r="I30" i="50"/>
  <c r="B30" i="52" s="1"/>
  <c r="C30" i="52" s="1"/>
  <c r="I31" i="50"/>
  <c r="B31" i="52" s="1"/>
  <c r="C31" i="52" s="1"/>
  <c r="I32" i="50"/>
  <c r="B32" i="52" s="1"/>
  <c r="C32" i="52" s="1"/>
  <c r="I33" i="50"/>
  <c r="B33" i="52" s="1"/>
  <c r="C33" i="52" s="1"/>
  <c r="I34" i="50"/>
  <c r="B34" i="52" s="1"/>
  <c r="C34" i="52" s="1"/>
  <c r="I35" i="50"/>
  <c r="B35" i="52" s="1"/>
  <c r="C35" i="52" s="1"/>
  <c r="I36" i="50"/>
  <c r="B36" i="52" s="1"/>
  <c r="C36" i="52" s="1"/>
  <c r="I37" i="50"/>
  <c r="B37" i="52" s="1"/>
  <c r="C37" i="52" s="1"/>
  <c r="I38" i="50"/>
  <c r="B38" i="52" s="1"/>
  <c r="C38" i="52" s="1"/>
  <c r="I39" i="50"/>
  <c r="B39" i="52" s="1"/>
  <c r="C39" i="52" s="1"/>
  <c r="I40" i="50"/>
  <c r="B40" i="52" s="1"/>
  <c r="C40" i="52" s="1"/>
  <c r="I41" i="50"/>
  <c r="B41" i="52" s="1"/>
  <c r="C41" i="52" s="1"/>
  <c r="I42" i="50"/>
  <c r="B42" i="52" s="1"/>
  <c r="C42" i="52" s="1"/>
  <c r="I43" i="50"/>
  <c r="B43" i="52" s="1"/>
  <c r="C43" i="52" s="1"/>
  <c r="I44" i="50"/>
  <c r="B44" i="52" s="1"/>
  <c r="C44" i="52" s="1"/>
  <c r="I45" i="50"/>
  <c r="B45" i="52" s="1"/>
  <c r="C45" i="52" s="1"/>
  <c r="I46" i="50"/>
  <c r="B46" i="52" s="1"/>
  <c r="C46" i="52" s="1"/>
  <c r="I47" i="50"/>
  <c r="B47" i="52" s="1"/>
  <c r="C47" i="52" s="1"/>
  <c r="I48" i="50"/>
  <c r="B48" i="52" s="1"/>
  <c r="C48" i="52" s="1"/>
  <c r="I49" i="50"/>
  <c r="B49" i="52" s="1"/>
  <c r="C49" i="52" s="1"/>
  <c r="I50" i="50"/>
  <c r="B50" i="52" s="1"/>
  <c r="C50" i="52" s="1"/>
  <c r="I51" i="50"/>
  <c r="B51" i="52" s="1"/>
  <c r="C51" i="52" s="1"/>
  <c r="I52" i="50"/>
  <c r="B52" i="52" s="1"/>
  <c r="C52" i="52" s="1"/>
  <c r="I53" i="50"/>
  <c r="B53" i="52" s="1"/>
  <c r="C53" i="52" s="1"/>
  <c r="I54" i="50"/>
  <c r="B54" i="52" s="1"/>
  <c r="C54" i="52" s="1"/>
  <c r="I55" i="50"/>
  <c r="B55" i="52" s="1"/>
  <c r="C55" i="52" s="1"/>
  <c r="I56" i="50"/>
  <c r="B56" i="52" s="1"/>
  <c r="C56" i="52" s="1"/>
  <c r="I57" i="50"/>
  <c r="B57" i="52" s="1"/>
  <c r="C57" i="52" s="1"/>
  <c r="I58" i="50"/>
  <c r="B58" i="52" s="1"/>
  <c r="C58" i="52" s="1"/>
  <c r="I59" i="50"/>
  <c r="B59" i="52" s="1"/>
  <c r="C59" i="52" s="1"/>
  <c r="I60" i="50"/>
  <c r="B60" i="52" s="1"/>
  <c r="C60" i="52" s="1"/>
  <c r="I61" i="50"/>
  <c r="B61" i="52" s="1"/>
  <c r="C61" i="52" s="1"/>
  <c r="I62" i="50"/>
  <c r="B62" i="52" s="1"/>
  <c r="C62" i="52" s="1"/>
  <c r="I63" i="50"/>
  <c r="B63" i="52" s="1"/>
  <c r="C63" i="52" s="1"/>
  <c r="I64" i="50"/>
  <c r="B64" i="52" s="1"/>
  <c r="C64" i="52" s="1"/>
  <c r="I65" i="50"/>
  <c r="B65" i="52" s="1"/>
  <c r="C65" i="52" s="1"/>
  <c r="I66" i="50"/>
  <c r="B66" i="52" s="1"/>
  <c r="C66" i="52" s="1"/>
  <c r="I67" i="50"/>
  <c r="B67" i="52" s="1"/>
  <c r="C67" i="52" s="1"/>
  <c r="I68" i="50"/>
  <c r="B68" i="52" s="1"/>
  <c r="C68" i="52" s="1"/>
  <c r="I69" i="50"/>
  <c r="B69" i="52" s="1"/>
  <c r="C69" i="52" s="1"/>
  <c r="I70" i="50"/>
  <c r="B70" i="52" s="1"/>
  <c r="C70" i="52" s="1"/>
  <c r="I71" i="50"/>
  <c r="B71" i="52" s="1"/>
  <c r="C71" i="52" s="1"/>
  <c r="C4" i="52" l="1"/>
  <c r="C3" i="52"/>
  <c r="C5" i="52"/>
  <c r="I2" i="50" l="1"/>
  <c r="B2" i="52" s="1"/>
  <c r="C2" i="52" s="1"/>
</calcChain>
</file>

<file path=xl/sharedStrings.xml><?xml version="1.0" encoding="utf-8"?>
<sst xmlns="http://schemas.openxmlformats.org/spreadsheetml/2006/main" count="94" uniqueCount="76">
  <si>
    <t>MUESTRA</t>
  </si>
  <si>
    <t>FECHA</t>
  </si>
  <si>
    <t>Analista</t>
  </si>
  <si>
    <t>Temperatura ºC</t>
  </si>
  <si>
    <t>Com Port</t>
  </si>
  <si>
    <t>Baud Rate</t>
  </si>
  <si>
    <t>Parity</t>
  </si>
  <si>
    <t>N</t>
  </si>
  <si>
    <t>Data Bits</t>
  </si>
  <si>
    <t>Stop Bits</t>
  </si>
  <si>
    <t>DATOS DE CONEXIÓN</t>
  </si>
  <si>
    <t>Posición</t>
  </si>
  <si>
    <t>pH ()</t>
  </si>
  <si>
    <t>pH</t>
  </si>
  <si>
    <t>Tiempo estabilización</t>
  </si>
  <si>
    <t>Agitación %</t>
  </si>
  <si>
    <t>Patrones</t>
  </si>
  <si>
    <t>Evaluación</t>
  </si>
  <si>
    <t>Extremadamente ácido</t>
  </si>
  <si>
    <t>Muy fuertemente ácido</t>
  </si>
  <si>
    <t>Fuertemente ácido</t>
  </si>
  <si>
    <t>Ligeramente ácido</t>
  </si>
  <si>
    <t>Neutro</t>
  </si>
  <si>
    <t>Medianamente básico</t>
  </si>
  <si>
    <t>Básico</t>
  </si>
  <si>
    <t>Ligeramente alcalino</t>
  </si>
  <si>
    <t>Alcalino</t>
  </si>
  <si>
    <t>Fuertemente alcalino</t>
  </si>
  <si>
    <t>Medianamente ácido</t>
  </si>
  <si>
    <t>&lt; 4,5</t>
  </si>
  <si>
    <t>4,5-5,0</t>
  </si>
  <si>
    <t>5,1-5,5</t>
  </si>
  <si>
    <t>5,6-6,0</t>
  </si>
  <si>
    <t>6,1-6,5</t>
  </si>
  <si>
    <t>6,6-7,3</t>
  </si>
  <si>
    <t>7,4-7,8</t>
  </si>
  <si>
    <t>7,9-8,4</t>
  </si>
  <si>
    <t>8,5-9,0</t>
  </si>
  <si>
    <t>9,1-10,0</t>
  </si>
  <si>
    <t>&gt;10,0</t>
  </si>
  <si>
    <t>Efectos esperables en el intervalo</t>
  </si>
  <si>
    <t>Condiciones muy desfavorables</t>
  </si>
  <si>
    <t>Posible toxicidade por Al+3 Exceso: Co, Cu, Fe, Mn, Zn. Deficiencia: Ca, K, N, Mg, Mo, P, S. Suelos sin Carbonato Cálcico. Actividad bacteriana escasa</t>
  </si>
  <si>
    <t>Intervalo adecuado para la mayoría de los cultivos</t>
  </si>
  <si>
    <t>Máxima dispoñibilidade de nutrientes</t>
  </si>
  <si>
    <t>Mínimos efectos tóxicos. Por debajo de pH=7,0 el carbonato cálcico no es estable en el suelo.</t>
  </si>
  <si>
    <t>Suelos generalmente con CaCO3</t>
  </si>
  <si>
    <t>Disminuye la disponibilidad de P e B. Deficiencia creciente de: Co, Cu, Fe,Mn, Zn. Suelos calcareos. Clorosis férrica debida al CaCO3</t>
  </si>
  <si>
    <t>En suelos con carbonatos, estes pH altos pueden deberse al MgCO3, si no hay sodio intercambiable. Mayores problemas de clorosis férrica</t>
  </si>
  <si>
    <t>Presencia de Carbonato sódico</t>
  </si>
  <si>
    <t>Elevado porcentaje de sodio intercambiable (ESP&gt;15%). Toxicidad: Na, B. Mobilidad del P como Na3PO4 . Actividad microbiana escasa. Micronutrientes poco disponíbles, excepto Mo.</t>
  </si>
  <si>
    <t>Indice</t>
  </si>
  <si>
    <t>Número de muestra</t>
  </si>
  <si>
    <t>Cerrado</t>
  </si>
  <si>
    <t>Conectado</t>
  </si>
  <si>
    <t>Evaluación ()</t>
  </si>
  <si>
    <t>Balanza</t>
  </si>
  <si>
    <t>Fecha</t>
  </si>
  <si>
    <t>Firma</t>
  </si>
  <si>
    <t>Medida de pH</t>
  </si>
  <si>
    <t>SU120</t>
  </si>
  <si>
    <t>SU143</t>
  </si>
  <si>
    <t>Pesada muestra</t>
  </si>
  <si>
    <t>N. Electrodo</t>
  </si>
  <si>
    <t>pH-Metro</t>
  </si>
  <si>
    <t>pH-metro</t>
  </si>
  <si>
    <t>SU016</t>
  </si>
  <si>
    <t>SU025</t>
  </si>
  <si>
    <t>pH-4,00 I</t>
  </si>
  <si>
    <t>pH-9,00 I</t>
  </si>
  <si>
    <t>pH-4,00 F</t>
  </si>
  <si>
    <t>pH-9,00 F</t>
  </si>
  <si>
    <t>pH-7,00 I</t>
  </si>
  <si>
    <t>pH-7,00 F</t>
  </si>
  <si>
    <t>OK</t>
  </si>
  <si>
    <t>R-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</si>
</sst>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0"/>
      <name val="Arial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7" fillId="4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 applyProtection="1">
      <alignment horizontal="center"/>
    </xf>
    <xf numFmtId="0" fontId="1" fillId="0" borderId="3" xfId="1" applyNumberFormat="1" applyFont="1" applyBorder="1" applyAlignment="1" applyProtection="1">
      <alignment horizontal="center" vertical="center"/>
      <protection locked="0"/>
    </xf>
    <xf numFmtId="0" fontId="1" fillId="0" borderId="3" xfId="1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0" fillId="0" borderId="0" xfId="0" quotePrefix="1" applyProtection="1"/>
    <xf numFmtId="20" fontId="1" fillId="0" borderId="3" xfId="1" applyNumberFormat="1" applyFont="1" applyBorder="1" applyAlignment="1" applyProtection="1">
      <alignment horizontal="center" vertical="center"/>
      <protection locked="0"/>
    </xf>
    <xf numFmtId="0" fontId="3" fillId="0" borderId="0" xfId="0" applyNumberFormat="1" applyFont="1" applyBorder="1" applyAlignment="1" applyProtection="1">
      <alignment vertical="top" wrapText="1"/>
      <protection locked="0"/>
    </xf>
    <xf numFmtId="2" fontId="1" fillId="0" borderId="3" xfId="1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/>
    </xf>
    <xf numFmtId="0" fontId="1" fillId="0" borderId="1" xfId="1" applyNumberFormat="1" applyFont="1" applyBorder="1" applyAlignment="1" applyProtection="1">
      <alignment horizontal="center"/>
      <protection locked="0"/>
    </xf>
    <xf numFmtId="2" fontId="1" fillId="0" borderId="2" xfId="0" applyNumberFormat="1" applyFont="1" applyBorder="1" applyAlignment="1">
      <alignment horizontal="center" wrapText="1"/>
    </xf>
    <xf numFmtId="165" fontId="1" fillId="0" borderId="3" xfId="1" applyNumberFormat="1" applyFont="1" applyBorder="1" applyAlignment="1" applyProtection="1">
      <alignment horizontal="center" vertical="center"/>
      <protection locked="0"/>
    </xf>
    <xf numFmtId="0" fontId="6" fillId="4" borderId="1" xfId="2" applyFont="1" applyBorder="1"/>
    <xf numFmtId="0" fontId="0" fillId="0" borderId="1" xfId="0" applyBorder="1"/>
    <xf numFmtId="165" fontId="0" fillId="0" borderId="1" xfId="0" applyNumberFormat="1" applyBorder="1"/>
    <xf numFmtId="0" fontId="3" fillId="0" borderId="1" xfId="0" applyFont="1" applyBorder="1"/>
    <xf numFmtId="165" fontId="0" fillId="0" borderId="1" xfId="0" applyNumberFormat="1" applyFill="1" applyBorder="1"/>
    <xf numFmtId="0" fontId="3" fillId="0" borderId="0" xfId="0" applyFont="1"/>
    <xf numFmtId="0" fontId="3" fillId="0" borderId="1" xfId="0" applyFont="1" applyFill="1" applyBorder="1"/>
    <xf numFmtId="0" fontId="8" fillId="0" borderId="0" xfId="0" applyFont="1" applyBorder="1" applyProtection="1">
      <protection locked="0"/>
    </xf>
    <xf numFmtId="14" fontId="1" fillId="0" borderId="1" xfId="1" applyNumberFormat="1" applyFont="1" applyBorder="1" applyAlignment="1" applyProtection="1">
      <alignment horizontal="center"/>
      <protection locked="0"/>
    </xf>
    <xf numFmtId="14" fontId="1" fillId="0" borderId="3" xfId="1" applyNumberFormat="1" applyFont="1" applyBorder="1" applyAlignment="1" applyProtection="1">
      <alignment horizontal="center"/>
    </xf>
    <xf numFmtId="0" fontId="2" fillId="0" borderId="1" xfId="1" applyNumberFormat="1" applyFont="1" applyBorder="1" applyAlignment="1" applyProtection="1">
      <alignment horizontal="center"/>
    </xf>
    <xf numFmtId="2" fontId="1" fillId="0" borderId="3" xfId="1" applyNumberFormat="1" applyFont="1" applyBorder="1" applyAlignment="1" applyProtection="1">
      <alignment horizontal="center"/>
    </xf>
    <xf numFmtId="0" fontId="5" fillId="0" borderId="1" xfId="0" applyFont="1" applyBorder="1"/>
    <xf numFmtId="0" fontId="2" fillId="0" borderId="1" xfId="1" applyNumberFormat="1" applyFont="1" applyFill="1" applyBorder="1" applyAlignment="1" applyProtection="1">
      <alignment vertic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5" fillId="0" borderId="1" xfId="0" applyNumberFormat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 vertical="top" wrapText="1"/>
      <protection locked="0"/>
    </xf>
    <xf numFmtId="0" fontId="2" fillId="2" borderId="5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/>
    </xf>
  </cellXfs>
  <cellStyles count="3">
    <cellStyle name="60% - Énfasis2" xfId="2" builtinId="36"/>
    <cellStyle name="Normal" xfId="0" builtinId="0"/>
    <cellStyle name="Normal 2" xfId="1"/>
  </cellStyles>
  <dxfs count="6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7575"/>
      <color rgb="FFFF5050"/>
      <color rgb="FFFF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BD96"/>
  <sheetViews>
    <sheetView tabSelected="1" zoomScaleNormal="100" workbookViewId="0">
      <selection activeCell="A5" sqref="A5"/>
    </sheetView>
  </sheetViews>
  <sheetFormatPr baseColWidth="10" defaultColWidth="11.44140625" defaultRowHeight="13.2" x14ac:dyDescent="0.25"/>
  <cols>
    <col min="1" max="1" width="14.33203125" style="8" bestFit="1" customWidth="1"/>
    <col min="2" max="3" width="11.44140625" style="8" hidden="1" customWidth="1"/>
    <col min="4" max="4" width="11.44140625" style="13" customWidth="1"/>
    <col min="5" max="5" width="14.44140625" style="13" bestFit="1" customWidth="1"/>
    <col min="6" max="6" width="14.44140625" style="13" customWidth="1"/>
    <col min="7" max="8" width="14.44140625" style="13" hidden="1" customWidth="1"/>
    <col min="9" max="9" width="20.109375" style="1" bestFit="1" customWidth="1"/>
    <col min="10" max="16384" width="11.44140625" style="12"/>
  </cols>
  <sheetData>
    <row r="1" spans="1:56" s="11" customFormat="1" ht="38.25" customHeight="1" x14ac:dyDescent="0.25">
      <c r="A1" s="5" t="s">
        <v>0</v>
      </c>
      <c r="B1" s="5" t="s">
        <v>1</v>
      </c>
      <c r="C1" s="5" t="s">
        <v>2</v>
      </c>
      <c r="D1" s="5" t="s">
        <v>11</v>
      </c>
      <c r="E1" s="6" t="s">
        <v>13</v>
      </c>
      <c r="F1" s="7" t="s">
        <v>3</v>
      </c>
      <c r="G1" s="7" t="s">
        <v>14</v>
      </c>
      <c r="H1" s="7" t="s">
        <v>15</v>
      </c>
      <c r="I1" s="4" t="s">
        <v>12</v>
      </c>
    </row>
    <row r="2" spans="1:56" x14ac:dyDescent="0.25">
      <c r="A2" s="10" t="s">
        <v>68</v>
      </c>
      <c r="B2" s="32" t="str">
        <f>IF($K$12="","",$K$12)</f>
        <v/>
      </c>
      <c r="C2" s="34" t="str">
        <f>IF($K$13="","",$K$13)</f>
        <v/>
      </c>
      <c r="D2" s="9"/>
      <c r="E2" s="18"/>
      <c r="F2" s="22"/>
      <c r="G2" s="9"/>
      <c r="H2" s="9"/>
      <c r="I2" s="21" t="str">
        <f>IF(OR(A2="",B2="",C2="",E2="",F2=""),"",E2)</f>
        <v/>
      </c>
      <c r="L2" s="14"/>
      <c r="M2" s="14"/>
      <c r="N2" s="14"/>
      <c r="O2" s="14"/>
      <c r="R2" s="14"/>
      <c r="S2" s="14"/>
      <c r="T2" s="14"/>
      <c r="V2" s="15"/>
      <c r="X2" s="14"/>
      <c r="Y2" s="14"/>
      <c r="AB2" s="15"/>
      <c r="AC2" s="14"/>
      <c r="AD2" s="14"/>
      <c r="AI2" s="14"/>
      <c r="AJ2" s="14"/>
      <c r="AL2" s="14"/>
      <c r="AP2" s="14"/>
      <c r="AR2" s="14"/>
      <c r="AT2" s="14"/>
      <c r="AV2" s="14"/>
      <c r="AX2" s="14"/>
      <c r="AZ2" s="14"/>
      <c r="BB2" s="14"/>
      <c r="BD2" s="14"/>
    </row>
    <row r="3" spans="1:56" x14ac:dyDescent="0.25">
      <c r="A3" s="10" t="s">
        <v>72</v>
      </c>
      <c r="B3" s="32" t="str">
        <f t="shared" ref="B3:B66" si="0">IF($K$12="","",$K$12)</f>
        <v/>
      </c>
      <c r="C3" s="34" t="str">
        <f t="shared" ref="C3:C66" si="1">IF($K$13="","",$K$13)</f>
        <v/>
      </c>
      <c r="D3" s="9"/>
      <c r="E3" s="18"/>
      <c r="F3" s="22"/>
      <c r="G3" s="16"/>
      <c r="H3" s="9"/>
      <c r="I3" s="21" t="str">
        <f t="shared" ref="I3:I66" si="2">IF(OR(A3="",B3="",C3="",E3="",F3=""),"",E3)</f>
        <v/>
      </c>
    </row>
    <row r="4" spans="1:56" x14ac:dyDescent="0.25">
      <c r="A4" s="10" t="s">
        <v>69</v>
      </c>
      <c r="B4" s="32" t="str">
        <f t="shared" si="0"/>
        <v/>
      </c>
      <c r="C4" s="34" t="str">
        <f t="shared" si="1"/>
        <v/>
      </c>
      <c r="D4" s="9"/>
      <c r="E4" s="18"/>
      <c r="F4" s="22"/>
      <c r="G4" s="9"/>
      <c r="H4" s="9"/>
      <c r="I4" s="21" t="str">
        <f t="shared" si="2"/>
        <v/>
      </c>
    </row>
    <row r="5" spans="1:56" x14ac:dyDescent="0.25">
      <c r="A5" s="10"/>
      <c r="B5" s="32" t="str">
        <f t="shared" si="0"/>
        <v/>
      </c>
      <c r="C5" s="34" t="str">
        <f t="shared" si="1"/>
        <v/>
      </c>
      <c r="D5" s="9"/>
      <c r="E5" s="18"/>
      <c r="F5" s="22"/>
      <c r="G5" s="9"/>
      <c r="H5" s="9"/>
      <c r="I5" s="21" t="str">
        <f t="shared" si="2"/>
        <v/>
      </c>
    </row>
    <row r="6" spans="1:56" x14ac:dyDescent="0.25">
      <c r="A6" s="10"/>
      <c r="B6" s="32" t="str">
        <f t="shared" si="0"/>
        <v/>
      </c>
      <c r="C6" s="34" t="str">
        <f t="shared" si="1"/>
        <v/>
      </c>
      <c r="D6" s="9"/>
      <c r="E6" s="18"/>
      <c r="F6" s="22"/>
      <c r="G6" s="9"/>
      <c r="H6" s="9"/>
      <c r="I6" s="21" t="str">
        <f t="shared" si="2"/>
        <v/>
      </c>
    </row>
    <row r="7" spans="1:56" x14ac:dyDescent="0.25">
      <c r="A7" s="10"/>
      <c r="B7" s="32" t="str">
        <f t="shared" si="0"/>
        <v/>
      </c>
      <c r="C7" s="34" t="str">
        <f t="shared" si="1"/>
        <v/>
      </c>
      <c r="D7" s="9"/>
      <c r="E7" s="18"/>
      <c r="F7" s="22"/>
      <c r="G7" s="9"/>
      <c r="H7" s="9"/>
      <c r="I7" s="21" t="str">
        <f t="shared" si="2"/>
        <v/>
      </c>
    </row>
    <row r="8" spans="1:56" x14ac:dyDescent="0.25">
      <c r="A8" s="10"/>
      <c r="B8" s="32" t="str">
        <f t="shared" si="0"/>
        <v/>
      </c>
      <c r="C8" s="34" t="str">
        <f t="shared" si="1"/>
        <v/>
      </c>
      <c r="D8" s="9"/>
      <c r="E8" s="18"/>
      <c r="F8" s="22"/>
      <c r="G8" s="9"/>
      <c r="H8" s="9"/>
      <c r="I8" s="21" t="str">
        <f t="shared" si="2"/>
        <v/>
      </c>
    </row>
    <row r="9" spans="1:56" x14ac:dyDescent="0.25">
      <c r="A9" s="10"/>
      <c r="B9" s="32" t="str">
        <f t="shared" si="0"/>
        <v/>
      </c>
      <c r="C9" s="34" t="str">
        <f t="shared" si="1"/>
        <v/>
      </c>
      <c r="D9" s="9"/>
      <c r="E9" s="18"/>
      <c r="F9" s="22"/>
      <c r="G9" s="9"/>
      <c r="H9" s="9"/>
      <c r="I9" s="21" t="str">
        <f t="shared" si="2"/>
        <v/>
      </c>
      <c r="K9" s="30" t="s">
        <v>53</v>
      </c>
    </row>
    <row r="10" spans="1:56" x14ac:dyDescent="0.25">
      <c r="A10" s="10"/>
      <c r="B10" s="32" t="str">
        <f t="shared" si="0"/>
        <v/>
      </c>
      <c r="C10" s="34" t="str">
        <f t="shared" si="1"/>
        <v/>
      </c>
      <c r="D10" s="9"/>
      <c r="E10" s="18"/>
      <c r="F10" s="22"/>
      <c r="G10" s="9"/>
      <c r="H10" s="9"/>
      <c r="I10" s="21" t="str">
        <f t="shared" si="2"/>
        <v/>
      </c>
      <c r="J10" s="40" t="s">
        <v>62</v>
      </c>
      <c r="K10" s="41"/>
    </row>
    <row r="11" spans="1:56" x14ac:dyDescent="0.25">
      <c r="A11" s="10"/>
      <c r="B11" s="32" t="str">
        <f t="shared" si="0"/>
        <v/>
      </c>
      <c r="C11" s="34" t="str">
        <f t="shared" si="1"/>
        <v/>
      </c>
      <c r="D11" s="9"/>
      <c r="E11" s="18"/>
      <c r="F11" s="22"/>
      <c r="G11" s="9"/>
      <c r="H11" s="9"/>
      <c r="I11" s="21" t="str">
        <f t="shared" si="2"/>
        <v/>
      </c>
      <c r="J11" s="33" t="s">
        <v>56</v>
      </c>
      <c r="K11" s="20"/>
    </row>
    <row r="12" spans="1:56" x14ac:dyDescent="0.25">
      <c r="A12" s="10"/>
      <c r="B12" s="32" t="str">
        <f t="shared" si="0"/>
        <v/>
      </c>
      <c r="C12" s="34" t="str">
        <f t="shared" si="1"/>
        <v/>
      </c>
      <c r="D12" s="9"/>
      <c r="E12" s="18"/>
      <c r="F12" s="22"/>
      <c r="G12" s="9"/>
      <c r="H12" s="9"/>
      <c r="I12" s="21" t="str">
        <f t="shared" si="2"/>
        <v/>
      </c>
      <c r="J12" s="33" t="s">
        <v>57</v>
      </c>
      <c r="K12" s="31"/>
    </row>
    <row r="13" spans="1:56" x14ac:dyDescent="0.25">
      <c r="A13" s="10"/>
      <c r="B13" s="32" t="str">
        <f t="shared" si="0"/>
        <v/>
      </c>
      <c r="C13" s="34" t="str">
        <f t="shared" si="1"/>
        <v/>
      </c>
      <c r="D13" s="9"/>
      <c r="E13" s="18"/>
      <c r="F13" s="22"/>
      <c r="G13" s="9"/>
      <c r="H13" s="9"/>
      <c r="I13" s="21" t="str">
        <f t="shared" si="2"/>
        <v/>
      </c>
      <c r="J13" s="33" t="s">
        <v>2</v>
      </c>
      <c r="K13" s="20"/>
    </row>
    <row r="14" spans="1:56" x14ac:dyDescent="0.25">
      <c r="A14" s="10"/>
      <c r="B14" s="32" t="str">
        <f t="shared" si="0"/>
        <v/>
      </c>
      <c r="C14" s="34" t="str">
        <f t="shared" si="1"/>
        <v/>
      </c>
      <c r="D14" s="9"/>
      <c r="E14" s="18"/>
      <c r="F14" s="22"/>
      <c r="G14" s="9"/>
      <c r="H14" s="9"/>
      <c r="I14" s="21" t="str">
        <f t="shared" si="2"/>
        <v/>
      </c>
      <c r="J14" s="33" t="s">
        <v>58</v>
      </c>
      <c r="K14" s="20"/>
    </row>
    <row r="15" spans="1:56" x14ac:dyDescent="0.25">
      <c r="A15" s="10"/>
      <c r="B15" s="32" t="str">
        <f t="shared" si="0"/>
        <v/>
      </c>
      <c r="C15" s="34" t="str">
        <f t="shared" si="1"/>
        <v/>
      </c>
      <c r="D15" s="9"/>
      <c r="E15" s="18"/>
      <c r="F15" s="22"/>
      <c r="G15" s="9"/>
      <c r="H15" s="9"/>
      <c r="I15" s="21" t="str">
        <f t="shared" si="2"/>
        <v/>
      </c>
      <c r="J15" s="40" t="s">
        <v>59</v>
      </c>
      <c r="K15" s="41"/>
    </row>
    <row r="16" spans="1:56" x14ac:dyDescent="0.25">
      <c r="A16" s="10"/>
      <c r="B16" s="32" t="str">
        <f t="shared" si="0"/>
        <v/>
      </c>
      <c r="C16" s="34" t="str">
        <f t="shared" si="1"/>
        <v/>
      </c>
      <c r="D16" s="9"/>
      <c r="E16" s="18"/>
      <c r="F16" s="22"/>
      <c r="G16" s="9"/>
      <c r="H16" s="9"/>
      <c r="I16" s="21" t="str">
        <f t="shared" si="2"/>
        <v/>
      </c>
      <c r="J16" s="33" t="s">
        <v>57</v>
      </c>
      <c r="K16" s="31"/>
    </row>
    <row r="17" spans="1:11" x14ac:dyDescent="0.25">
      <c r="A17" s="10"/>
      <c r="B17" s="32" t="str">
        <f t="shared" si="0"/>
        <v/>
      </c>
      <c r="C17" s="34" t="str">
        <f t="shared" si="1"/>
        <v/>
      </c>
      <c r="D17" s="9"/>
      <c r="E17" s="18"/>
      <c r="F17" s="22"/>
      <c r="G17" s="9"/>
      <c r="H17" s="9"/>
      <c r="I17" s="21" t="str">
        <f t="shared" si="2"/>
        <v/>
      </c>
      <c r="J17" s="33" t="s">
        <v>64</v>
      </c>
      <c r="K17" s="20"/>
    </row>
    <row r="18" spans="1:11" x14ac:dyDescent="0.25">
      <c r="A18" s="10"/>
      <c r="B18" s="32" t="str">
        <f t="shared" si="0"/>
        <v/>
      </c>
      <c r="C18" s="34" t="str">
        <f t="shared" si="1"/>
        <v/>
      </c>
      <c r="D18" s="9"/>
      <c r="E18" s="18"/>
      <c r="F18" s="22"/>
      <c r="G18" s="9"/>
      <c r="H18" s="9"/>
      <c r="I18" s="21" t="str">
        <f t="shared" si="2"/>
        <v/>
      </c>
      <c r="J18" s="33" t="s">
        <v>2</v>
      </c>
      <c r="K18" s="20"/>
    </row>
    <row r="19" spans="1:11" x14ac:dyDescent="0.25">
      <c r="A19" s="10"/>
      <c r="B19" s="32" t="str">
        <f t="shared" si="0"/>
        <v/>
      </c>
      <c r="C19" s="34" t="str">
        <f t="shared" si="1"/>
        <v/>
      </c>
      <c r="D19" s="9"/>
      <c r="E19" s="18"/>
      <c r="F19" s="22"/>
      <c r="G19" s="9"/>
      <c r="H19" s="9"/>
      <c r="I19" s="21" t="str">
        <f t="shared" si="2"/>
        <v/>
      </c>
      <c r="J19" s="33" t="s">
        <v>58</v>
      </c>
      <c r="K19" s="20"/>
    </row>
    <row r="20" spans="1:11" x14ac:dyDescent="0.25">
      <c r="A20" s="10"/>
      <c r="B20" s="32" t="str">
        <f t="shared" si="0"/>
        <v/>
      </c>
      <c r="C20" s="34" t="str">
        <f t="shared" si="1"/>
        <v/>
      </c>
      <c r="D20" s="9"/>
      <c r="E20" s="18"/>
      <c r="F20" s="22"/>
      <c r="G20" s="9"/>
      <c r="H20" s="9"/>
      <c r="I20" s="21" t="str">
        <f t="shared" si="2"/>
        <v/>
      </c>
      <c r="J20" s="36" t="s">
        <v>63</v>
      </c>
      <c r="K20" s="37" t="s">
        <v>74</v>
      </c>
    </row>
    <row r="21" spans="1:11" ht="12.75" customHeight="1" x14ac:dyDescent="0.25">
      <c r="A21" s="10"/>
      <c r="B21" s="32" t="str">
        <f t="shared" si="0"/>
        <v/>
      </c>
      <c r="C21" s="34" t="str">
        <f t="shared" si="1"/>
        <v/>
      </c>
      <c r="D21" s="9"/>
      <c r="E21" s="18"/>
      <c r="F21" s="22"/>
      <c r="G21" s="9"/>
      <c r="H21" s="9"/>
      <c r="I21" s="21" t="str">
        <f t="shared" si="2"/>
        <v/>
      </c>
    </row>
    <row r="22" spans="1:11" x14ac:dyDescent="0.25">
      <c r="A22" s="10"/>
      <c r="B22" s="32" t="str">
        <f t="shared" si="0"/>
        <v/>
      </c>
      <c r="C22" s="34" t="str">
        <f t="shared" si="1"/>
        <v/>
      </c>
      <c r="D22" s="9"/>
      <c r="E22" s="18"/>
      <c r="F22" s="22"/>
      <c r="G22" s="9"/>
      <c r="H22" s="9"/>
      <c r="I22" s="21" t="str">
        <f t="shared" si="2"/>
        <v/>
      </c>
    </row>
    <row r="23" spans="1:11" x14ac:dyDescent="0.25">
      <c r="A23" s="10"/>
      <c r="B23" s="32" t="str">
        <f t="shared" si="0"/>
        <v/>
      </c>
      <c r="C23" s="34" t="str">
        <f t="shared" si="1"/>
        <v/>
      </c>
      <c r="D23" s="9"/>
      <c r="E23" s="18"/>
      <c r="F23" s="22"/>
      <c r="G23" s="9"/>
      <c r="H23" s="9"/>
      <c r="I23" s="21" t="str">
        <f t="shared" si="2"/>
        <v/>
      </c>
    </row>
    <row r="24" spans="1:11" x14ac:dyDescent="0.25">
      <c r="A24" s="10"/>
      <c r="B24" s="32" t="str">
        <f t="shared" si="0"/>
        <v/>
      </c>
      <c r="C24" s="34" t="str">
        <f t="shared" si="1"/>
        <v/>
      </c>
      <c r="D24" s="9"/>
      <c r="E24" s="18"/>
      <c r="F24" s="22"/>
      <c r="G24" s="9"/>
      <c r="H24" s="9"/>
      <c r="I24" s="21" t="str">
        <f t="shared" si="2"/>
        <v/>
      </c>
    </row>
    <row r="25" spans="1:11" x14ac:dyDescent="0.25">
      <c r="A25" s="10"/>
      <c r="B25" s="32" t="str">
        <f t="shared" si="0"/>
        <v/>
      </c>
      <c r="C25" s="34" t="str">
        <f t="shared" si="1"/>
        <v/>
      </c>
      <c r="D25" s="9"/>
      <c r="E25" s="18"/>
      <c r="F25" s="22"/>
      <c r="G25" s="9"/>
      <c r="H25" s="9"/>
      <c r="I25" s="21" t="str">
        <f t="shared" si="2"/>
        <v/>
      </c>
    </row>
    <row r="26" spans="1:11" x14ac:dyDescent="0.25">
      <c r="A26" s="10"/>
      <c r="B26" s="32" t="str">
        <f t="shared" si="0"/>
        <v/>
      </c>
      <c r="C26" s="34" t="str">
        <f t="shared" si="1"/>
        <v/>
      </c>
      <c r="D26" s="9"/>
      <c r="E26" s="18"/>
      <c r="F26" s="22"/>
      <c r="G26" s="9"/>
      <c r="H26" s="9"/>
      <c r="I26" s="21" t="str">
        <f t="shared" si="2"/>
        <v/>
      </c>
    </row>
    <row r="27" spans="1:11" x14ac:dyDescent="0.25">
      <c r="A27" s="10"/>
      <c r="B27" s="32" t="str">
        <f t="shared" si="0"/>
        <v/>
      </c>
      <c r="C27" s="34" t="str">
        <f t="shared" si="1"/>
        <v/>
      </c>
      <c r="D27" s="9"/>
      <c r="E27" s="18"/>
      <c r="F27" s="22"/>
      <c r="G27" s="9"/>
      <c r="H27" s="9"/>
      <c r="I27" s="21" t="str">
        <f t="shared" si="2"/>
        <v/>
      </c>
    </row>
    <row r="28" spans="1:11" x14ac:dyDescent="0.25">
      <c r="A28" s="10"/>
      <c r="B28" s="32" t="str">
        <f t="shared" si="0"/>
        <v/>
      </c>
      <c r="C28" s="34" t="str">
        <f t="shared" si="1"/>
        <v/>
      </c>
      <c r="D28" s="9"/>
      <c r="E28" s="18"/>
      <c r="F28" s="22"/>
      <c r="G28" s="9"/>
      <c r="H28" s="9"/>
      <c r="I28" s="21" t="str">
        <f t="shared" si="2"/>
        <v/>
      </c>
    </row>
    <row r="29" spans="1:11" x14ac:dyDescent="0.25">
      <c r="A29" s="10"/>
      <c r="B29" s="32" t="str">
        <f t="shared" si="0"/>
        <v/>
      </c>
      <c r="C29" s="34" t="str">
        <f t="shared" si="1"/>
        <v/>
      </c>
      <c r="D29" s="9"/>
      <c r="E29" s="18"/>
      <c r="F29" s="22"/>
      <c r="G29" s="9"/>
      <c r="H29" s="9"/>
      <c r="I29" s="21" t="str">
        <f t="shared" si="2"/>
        <v/>
      </c>
    </row>
    <row r="30" spans="1:11" x14ac:dyDescent="0.25">
      <c r="A30" s="10"/>
      <c r="B30" s="32" t="str">
        <f t="shared" si="0"/>
        <v/>
      </c>
      <c r="C30" s="34" t="str">
        <f t="shared" si="1"/>
        <v/>
      </c>
      <c r="D30" s="9"/>
      <c r="E30" s="18"/>
      <c r="F30" s="22"/>
      <c r="G30" s="9"/>
      <c r="H30" s="9"/>
      <c r="I30" s="21" t="str">
        <f t="shared" si="2"/>
        <v/>
      </c>
    </row>
    <row r="31" spans="1:11" x14ac:dyDescent="0.25">
      <c r="A31" s="10"/>
      <c r="B31" s="32" t="str">
        <f t="shared" si="0"/>
        <v/>
      </c>
      <c r="C31" s="34" t="str">
        <f t="shared" si="1"/>
        <v/>
      </c>
      <c r="D31" s="9"/>
      <c r="E31" s="18"/>
      <c r="F31" s="22"/>
      <c r="G31" s="9"/>
      <c r="H31" s="9"/>
      <c r="I31" s="21" t="str">
        <f t="shared" si="2"/>
        <v/>
      </c>
    </row>
    <row r="32" spans="1:11" x14ac:dyDescent="0.25">
      <c r="A32" s="10"/>
      <c r="B32" s="32" t="str">
        <f t="shared" si="0"/>
        <v/>
      </c>
      <c r="C32" s="34" t="str">
        <f t="shared" si="1"/>
        <v/>
      </c>
      <c r="D32" s="9"/>
      <c r="E32" s="18"/>
      <c r="F32" s="22"/>
      <c r="G32" s="9"/>
      <c r="H32" s="9"/>
      <c r="I32" s="21" t="str">
        <f t="shared" si="2"/>
        <v/>
      </c>
    </row>
    <row r="33" spans="1:9" x14ac:dyDescent="0.25">
      <c r="A33" s="10"/>
      <c r="B33" s="32" t="str">
        <f t="shared" si="0"/>
        <v/>
      </c>
      <c r="C33" s="34" t="str">
        <f t="shared" si="1"/>
        <v/>
      </c>
      <c r="D33" s="9"/>
      <c r="E33" s="18"/>
      <c r="F33" s="22"/>
      <c r="G33" s="9"/>
      <c r="H33" s="9"/>
      <c r="I33" s="21" t="str">
        <f t="shared" si="2"/>
        <v/>
      </c>
    </row>
    <row r="34" spans="1:9" x14ac:dyDescent="0.25">
      <c r="A34" s="10"/>
      <c r="B34" s="32" t="str">
        <f t="shared" si="0"/>
        <v/>
      </c>
      <c r="C34" s="34" t="str">
        <f t="shared" si="1"/>
        <v/>
      </c>
      <c r="D34" s="9"/>
      <c r="E34" s="18"/>
      <c r="F34" s="22"/>
      <c r="G34" s="9"/>
      <c r="H34" s="9"/>
      <c r="I34" s="21" t="str">
        <f t="shared" si="2"/>
        <v/>
      </c>
    </row>
    <row r="35" spans="1:9" x14ac:dyDescent="0.25">
      <c r="A35" s="10"/>
      <c r="B35" s="32" t="str">
        <f t="shared" si="0"/>
        <v/>
      </c>
      <c r="C35" s="34" t="str">
        <f t="shared" si="1"/>
        <v/>
      </c>
      <c r="D35" s="9"/>
      <c r="E35" s="18"/>
      <c r="F35" s="22"/>
      <c r="G35" s="9"/>
      <c r="H35" s="9"/>
      <c r="I35" s="21" t="str">
        <f t="shared" si="2"/>
        <v/>
      </c>
    </row>
    <row r="36" spans="1:9" x14ac:dyDescent="0.25">
      <c r="A36" s="10"/>
      <c r="B36" s="32" t="str">
        <f t="shared" si="0"/>
        <v/>
      </c>
      <c r="C36" s="34" t="str">
        <f t="shared" si="1"/>
        <v/>
      </c>
      <c r="D36" s="9"/>
      <c r="E36" s="18"/>
      <c r="F36" s="22"/>
      <c r="G36" s="9"/>
      <c r="H36" s="9"/>
      <c r="I36" s="21" t="str">
        <f t="shared" si="2"/>
        <v/>
      </c>
    </row>
    <row r="37" spans="1:9" x14ac:dyDescent="0.25">
      <c r="A37" s="10"/>
      <c r="B37" s="32" t="str">
        <f t="shared" si="0"/>
        <v/>
      </c>
      <c r="C37" s="34" t="str">
        <f t="shared" si="1"/>
        <v/>
      </c>
      <c r="D37" s="9"/>
      <c r="E37" s="18"/>
      <c r="F37" s="22"/>
      <c r="G37" s="9"/>
      <c r="H37" s="9"/>
      <c r="I37" s="21" t="str">
        <f t="shared" si="2"/>
        <v/>
      </c>
    </row>
    <row r="38" spans="1:9" x14ac:dyDescent="0.25">
      <c r="A38" s="10"/>
      <c r="B38" s="32" t="str">
        <f t="shared" si="0"/>
        <v/>
      </c>
      <c r="C38" s="34" t="str">
        <f t="shared" si="1"/>
        <v/>
      </c>
      <c r="D38" s="9"/>
      <c r="E38" s="18"/>
      <c r="F38" s="22"/>
      <c r="G38" s="9"/>
      <c r="H38" s="9"/>
      <c r="I38" s="21" t="str">
        <f t="shared" si="2"/>
        <v/>
      </c>
    </row>
    <row r="39" spans="1:9" x14ac:dyDescent="0.25">
      <c r="A39" s="10"/>
      <c r="B39" s="32" t="str">
        <f t="shared" si="0"/>
        <v/>
      </c>
      <c r="C39" s="34" t="str">
        <f t="shared" si="1"/>
        <v/>
      </c>
      <c r="D39" s="9"/>
      <c r="E39" s="18"/>
      <c r="F39" s="22"/>
      <c r="G39" s="9"/>
      <c r="H39" s="9"/>
      <c r="I39" s="21" t="str">
        <f t="shared" si="2"/>
        <v/>
      </c>
    </row>
    <row r="40" spans="1:9" x14ac:dyDescent="0.25">
      <c r="A40" s="10"/>
      <c r="B40" s="32" t="str">
        <f t="shared" si="0"/>
        <v/>
      </c>
      <c r="C40" s="34" t="str">
        <f t="shared" si="1"/>
        <v/>
      </c>
      <c r="D40" s="9"/>
      <c r="E40" s="18"/>
      <c r="F40" s="22"/>
      <c r="G40" s="9"/>
      <c r="H40" s="9"/>
      <c r="I40" s="21" t="str">
        <f t="shared" si="2"/>
        <v/>
      </c>
    </row>
    <row r="41" spans="1:9" x14ac:dyDescent="0.25">
      <c r="A41" s="10"/>
      <c r="B41" s="32" t="str">
        <f t="shared" si="0"/>
        <v/>
      </c>
      <c r="C41" s="34" t="str">
        <f t="shared" si="1"/>
        <v/>
      </c>
      <c r="D41" s="9"/>
      <c r="E41" s="18"/>
      <c r="F41" s="22"/>
      <c r="G41" s="9"/>
      <c r="H41" s="9"/>
      <c r="I41" s="21" t="str">
        <f t="shared" si="2"/>
        <v/>
      </c>
    </row>
    <row r="42" spans="1:9" x14ac:dyDescent="0.25">
      <c r="A42" s="10"/>
      <c r="B42" s="32" t="str">
        <f t="shared" si="0"/>
        <v/>
      </c>
      <c r="C42" s="34" t="str">
        <f t="shared" si="1"/>
        <v/>
      </c>
      <c r="D42" s="9"/>
      <c r="E42" s="18"/>
      <c r="F42" s="22"/>
      <c r="G42" s="9"/>
      <c r="H42" s="9"/>
      <c r="I42" s="21" t="str">
        <f t="shared" si="2"/>
        <v/>
      </c>
    </row>
    <row r="43" spans="1:9" x14ac:dyDescent="0.25">
      <c r="A43" s="10"/>
      <c r="B43" s="32" t="str">
        <f t="shared" si="0"/>
        <v/>
      </c>
      <c r="C43" s="34" t="str">
        <f t="shared" si="1"/>
        <v/>
      </c>
      <c r="D43" s="9"/>
      <c r="E43" s="18"/>
      <c r="F43" s="22"/>
      <c r="G43" s="9"/>
      <c r="H43" s="9"/>
      <c r="I43" s="21" t="str">
        <f t="shared" si="2"/>
        <v/>
      </c>
    </row>
    <row r="44" spans="1:9" x14ac:dyDescent="0.25">
      <c r="A44" s="10"/>
      <c r="B44" s="32" t="str">
        <f t="shared" si="0"/>
        <v/>
      </c>
      <c r="C44" s="34" t="str">
        <f t="shared" si="1"/>
        <v/>
      </c>
      <c r="D44" s="9"/>
      <c r="E44" s="18"/>
      <c r="F44" s="22"/>
      <c r="G44" s="9"/>
      <c r="H44" s="9"/>
      <c r="I44" s="21" t="str">
        <f t="shared" si="2"/>
        <v/>
      </c>
    </row>
    <row r="45" spans="1:9" x14ac:dyDescent="0.25">
      <c r="A45" s="10"/>
      <c r="B45" s="32" t="str">
        <f t="shared" si="0"/>
        <v/>
      </c>
      <c r="C45" s="34" t="str">
        <f t="shared" si="1"/>
        <v/>
      </c>
      <c r="D45" s="9"/>
      <c r="E45" s="18"/>
      <c r="F45" s="22"/>
      <c r="G45" s="9"/>
      <c r="H45" s="9"/>
      <c r="I45" s="21" t="str">
        <f t="shared" si="2"/>
        <v/>
      </c>
    </row>
    <row r="46" spans="1:9" x14ac:dyDescent="0.25">
      <c r="A46" s="10"/>
      <c r="B46" s="32" t="str">
        <f t="shared" si="0"/>
        <v/>
      </c>
      <c r="C46" s="34" t="str">
        <f t="shared" si="1"/>
        <v/>
      </c>
      <c r="D46" s="9"/>
      <c r="E46" s="18"/>
      <c r="F46" s="22"/>
      <c r="G46" s="9"/>
      <c r="H46" s="9"/>
      <c r="I46" s="21" t="str">
        <f t="shared" si="2"/>
        <v/>
      </c>
    </row>
    <row r="47" spans="1:9" x14ac:dyDescent="0.25">
      <c r="A47" s="10" t="s">
        <v>75</v>
      </c>
      <c r="B47" s="32" t="str">
        <f t="shared" si="0"/>
        <v/>
      </c>
      <c r="C47" s="34" t="str">
        <f t="shared" si="1"/>
        <v/>
      </c>
      <c r="D47" s="9"/>
      <c r="E47" s="18"/>
      <c r="F47" s="22"/>
      <c r="G47" s="9"/>
      <c r="H47" s="9"/>
      <c r="I47" s="21" t="str">
        <f t="shared" si="2"/>
        <v/>
      </c>
    </row>
    <row r="48" spans="1:9" x14ac:dyDescent="0.25">
      <c r="A48" s="10" t="s">
        <v>75</v>
      </c>
      <c r="B48" s="32" t="str">
        <f t="shared" si="0"/>
        <v/>
      </c>
      <c r="C48" s="34" t="str">
        <f t="shared" si="1"/>
        <v/>
      </c>
      <c r="D48" s="9"/>
      <c r="E48" s="18"/>
      <c r="F48" s="22"/>
      <c r="G48" s="9"/>
      <c r="H48" s="9"/>
      <c r="I48" s="21" t="str">
        <f t="shared" si="2"/>
        <v/>
      </c>
    </row>
    <row r="49" spans="1:9" x14ac:dyDescent="0.25">
      <c r="A49" s="10" t="s">
        <v>75</v>
      </c>
      <c r="B49" s="32" t="str">
        <f t="shared" si="0"/>
        <v/>
      </c>
      <c r="C49" s="34" t="str">
        <f t="shared" si="1"/>
        <v/>
      </c>
      <c r="D49" s="9"/>
      <c r="E49" s="18"/>
      <c r="F49" s="22"/>
      <c r="G49" s="9"/>
      <c r="H49" s="9"/>
      <c r="I49" s="21" t="str">
        <f t="shared" si="2"/>
        <v/>
      </c>
    </row>
    <row r="50" spans="1:9" x14ac:dyDescent="0.25">
      <c r="A50" s="10" t="s">
        <v>75</v>
      </c>
      <c r="B50" s="32" t="str">
        <f t="shared" si="0"/>
        <v/>
      </c>
      <c r="C50" s="34" t="str">
        <f t="shared" si="1"/>
        <v/>
      </c>
      <c r="D50" s="9"/>
      <c r="E50" s="18"/>
      <c r="F50" s="22"/>
      <c r="G50" s="9"/>
      <c r="H50" s="9"/>
      <c r="I50" s="21" t="str">
        <f t="shared" si="2"/>
        <v/>
      </c>
    </row>
    <row r="51" spans="1:9" x14ac:dyDescent="0.25">
      <c r="A51" s="10" t="s">
        <v>75</v>
      </c>
      <c r="B51" s="32" t="str">
        <f t="shared" si="0"/>
        <v/>
      </c>
      <c r="C51" s="34" t="str">
        <f t="shared" si="1"/>
        <v/>
      </c>
      <c r="D51" s="9"/>
      <c r="E51" s="18"/>
      <c r="F51" s="22"/>
      <c r="G51" s="9"/>
      <c r="H51" s="9"/>
      <c r="I51" s="21" t="str">
        <f t="shared" si="2"/>
        <v/>
      </c>
    </row>
    <row r="52" spans="1:9" x14ac:dyDescent="0.25">
      <c r="A52" s="10" t="s">
        <v>70</v>
      </c>
      <c r="B52" s="32" t="str">
        <f t="shared" si="0"/>
        <v/>
      </c>
      <c r="C52" s="34" t="str">
        <f t="shared" si="1"/>
        <v/>
      </c>
      <c r="D52" s="9"/>
      <c r="E52" s="18"/>
      <c r="F52" s="22"/>
      <c r="G52" s="9"/>
      <c r="H52" s="9"/>
      <c r="I52" s="21" t="str">
        <f t="shared" si="2"/>
        <v/>
      </c>
    </row>
    <row r="53" spans="1:9" x14ac:dyDescent="0.25">
      <c r="A53" s="10" t="s">
        <v>73</v>
      </c>
      <c r="B53" s="32" t="str">
        <f t="shared" si="0"/>
        <v/>
      </c>
      <c r="C53" s="34" t="str">
        <f t="shared" si="1"/>
        <v/>
      </c>
      <c r="D53" s="9"/>
      <c r="E53" s="18"/>
      <c r="F53" s="22"/>
      <c r="G53" s="9"/>
      <c r="H53" s="9"/>
      <c r="I53" s="21" t="str">
        <f t="shared" si="2"/>
        <v/>
      </c>
    </row>
    <row r="54" spans="1:9" x14ac:dyDescent="0.25">
      <c r="A54" s="10" t="s">
        <v>71</v>
      </c>
      <c r="B54" s="32" t="str">
        <f t="shared" si="0"/>
        <v/>
      </c>
      <c r="C54" s="34" t="str">
        <f t="shared" si="1"/>
        <v/>
      </c>
      <c r="D54" s="9"/>
      <c r="E54" s="18"/>
      <c r="F54" s="22"/>
      <c r="G54" s="9"/>
      <c r="H54" s="9"/>
      <c r="I54" s="21" t="str">
        <f t="shared" si="2"/>
        <v/>
      </c>
    </row>
    <row r="55" spans="1:9" x14ac:dyDescent="0.25">
      <c r="A55" s="10"/>
      <c r="B55" s="32" t="str">
        <f t="shared" si="0"/>
        <v/>
      </c>
      <c r="C55" s="34" t="str">
        <f t="shared" si="1"/>
        <v/>
      </c>
      <c r="D55" s="9"/>
      <c r="E55" s="18"/>
      <c r="F55" s="22"/>
      <c r="G55" s="9"/>
      <c r="H55" s="9"/>
      <c r="I55" s="21" t="str">
        <f t="shared" si="2"/>
        <v/>
      </c>
    </row>
    <row r="56" spans="1:9" x14ac:dyDescent="0.25">
      <c r="A56" s="10"/>
      <c r="B56" s="32" t="str">
        <f t="shared" si="0"/>
        <v/>
      </c>
      <c r="C56" s="34" t="str">
        <f t="shared" si="1"/>
        <v/>
      </c>
      <c r="D56" s="9"/>
      <c r="E56" s="18"/>
      <c r="F56" s="22"/>
      <c r="G56" s="9"/>
      <c r="H56" s="9"/>
      <c r="I56" s="21" t="str">
        <f t="shared" si="2"/>
        <v/>
      </c>
    </row>
    <row r="57" spans="1:9" x14ac:dyDescent="0.25">
      <c r="A57" s="10"/>
      <c r="B57" s="32" t="str">
        <f t="shared" si="0"/>
        <v/>
      </c>
      <c r="C57" s="34" t="str">
        <f t="shared" si="1"/>
        <v/>
      </c>
      <c r="D57" s="9"/>
      <c r="E57" s="18"/>
      <c r="F57" s="22"/>
      <c r="G57" s="9"/>
      <c r="H57" s="9"/>
      <c r="I57" s="21" t="str">
        <f t="shared" si="2"/>
        <v/>
      </c>
    </row>
    <row r="58" spans="1:9" x14ac:dyDescent="0.25">
      <c r="A58" s="10"/>
      <c r="B58" s="32" t="str">
        <f t="shared" si="0"/>
        <v/>
      </c>
      <c r="C58" s="34" t="str">
        <f t="shared" si="1"/>
        <v/>
      </c>
      <c r="D58" s="9"/>
      <c r="E58" s="18"/>
      <c r="F58" s="22"/>
      <c r="G58" s="9"/>
      <c r="H58" s="9"/>
      <c r="I58" s="21" t="str">
        <f t="shared" si="2"/>
        <v/>
      </c>
    </row>
    <row r="59" spans="1:9" x14ac:dyDescent="0.25">
      <c r="A59" s="10"/>
      <c r="B59" s="32" t="str">
        <f t="shared" si="0"/>
        <v/>
      </c>
      <c r="C59" s="34" t="str">
        <f t="shared" si="1"/>
        <v/>
      </c>
      <c r="D59" s="9"/>
      <c r="E59" s="18"/>
      <c r="F59" s="22"/>
      <c r="G59" s="9"/>
      <c r="H59" s="9"/>
      <c r="I59" s="21" t="str">
        <f t="shared" si="2"/>
        <v/>
      </c>
    </row>
    <row r="60" spans="1:9" x14ac:dyDescent="0.25">
      <c r="A60" s="10"/>
      <c r="B60" s="32" t="str">
        <f t="shared" si="0"/>
        <v/>
      </c>
      <c r="C60" s="34" t="str">
        <f t="shared" si="1"/>
        <v/>
      </c>
      <c r="D60" s="9"/>
      <c r="E60" s="18"/>
      <c r="F60" s="22"/>
      <c r="G60" s="9"/>
      <c r="H60" s="9"/>
      <c r="I60" s="21" t="str">
        <f t="shared" si="2"/>
        <v/>
      </c>
    </row>
    <row r="61" spans="1:9" x14ac:dyDescent="0.25">
      <c r="A61" s="10"/>
      <c r="B61" s="32" t="str">
        <f t="shared" si="0"/>
        <v/>
      </c>
      <c r="C61" s="34" t="str">
        <f t="shared" si="1"/>
        <v/>
      </c>
      <c r="D61" s="9"/>
      <c r="E61" s="18"/>
      <c r="F61" s="22"/>
      <c r="G61" s="9"/>
      <c r="H61" s="9"/>
      <c r="I61" s="21" t="str">
        <f t="shared" si="2"/>
        <v/>
      </c>
    </row>
    <row r="62" spans="1:9" x14ac:dyDescent="0.25">
      <c r="A62" s="10"/>
      <c r="B62" s="32" t="str">
        <f t="shared" si="0"/>
        <v/>
      </c>
      <c r="C62" s="34" t="str">
        <f t="shared" si="1"/>
        <v/>
      </c>
      <c r="D62" s="9"/>
      <c r="E62" s="18"/>
      <c r="F62" s="22"/>
      <c r="G62" s="9"/>
      <c r="H62" s="9"/>
      <c r="I62" s="21" t="str">
        <f t="shared" si="2"/>
        <v/>
      </c>
    </row>
    <row r="63" spans="1:9" x14ac:dyDescent="0.25">
      <c r="A63" s="10"/>
      <c r="B63" s="32" t="str">
        <f t="shared" si="0"/>
        <v/>
      </c>
      <c r="C63" s="34" t="str">
        <f t="shared" si="1"/>
        <v/>
      </c>
      <c r="D63" s="9"/>
      <c r="E63" s="18"/>
      <c r="F63" s="22"/>
      <c r="G63" s="9"/>
      <c r="H63" s="9"/>
      <c r="I63" s="21" t="str">
        <f t="shared" si="2"/>
        <v/>
      </c>
    </row>
    <row r="64" spans="1:9" x14ac:dyDescent="0.25">
      <c r="A64" s="10"/>
      <c r="B64" s="32" t="str">
        <f t="shared" si="0"/>
        <v/>
      </c>
      <c r="C64" s="34" t="str">
        <f t="shared" si="1"/>
        <v/>
      </c>
      <c r="D64" s="9"/>
      <c r="E64" s="18"/>
      <c r="F64" s="22"/>
      <c r="G64" s="9"/>
      <c r="H64" s="9"/>
      <c r="I64" s="21" t="str">
        <f t="shared" si="2"/>
        <v/>
      </c>
    </row>
    <row r="65" spans="1:9" x14ac:dyDescent="0.25">
      <c r="A65" s="10"/>
      <c r="B65" s="32" t="str">
        <f t="shared" si="0"/>
        <v/>
      </c>
      <c r="C65" s="34" t="str">
        <f t="shared" si="1"/>
        <v/>
      </c>
      <c r="D65" s="9"/>
      <c r="E65" s="18"/>
      <c r="F65" s="22"/>
      <c r="G65" s="9"/>
      <c r="H65" s="9"/>
      <c r="I65" s="21" t="str">
        <f t="shared" si="2"/>
        <v/>
      </c>
    </row>
    <row r="66" spans="1:9" x14ac:dyDescent="0.25">
      <c r="A66" s="10"/>
      <c r="B66" s="32" t="str">
        <f t="shared" si="0"/>
        <v/>
      </c>
      <c r="C66" s="34" t="str">
        <f t="shared" si="1"/>
        <v/>
      </c>
      <c r="D66" s="9"/>
      <c r="E66" s="18"/>
      <c r="F66" s="22"/>
      <c r="G66" s="9"/>
      <c r="H66" s="9"/>
      <c r="I66" s="21" t="str">
        <f t="shared" si="2"/>
        <v/>
      </c>
    </row>
    <row r="67" spans="1:9" x14ac:dyDescent="0.25">
      <c r="A67" s="10"/>
      <c r="B67" s="32" t="str">
        <f t="shared" ref="B67:B71" si="3">IF($K$12="","",$K$12)</f>
        <v/>
      </c>
      <c r="C67" s="34" t="str">
        <f t="shared" ref="C67:C71" si="4">IF($K$13="","",$K$13)</f>
        <v/>
      </c>
      <c r="D67" s="9"/>
      <c r="E67" s="18"/>
      <c r="F67" s="22"/>
      <c r="G67" s="9"/>
      <c r="H67" s="9"/>
      <c r="I67" s="21" t="str">
        <f t="shared" ref="I67:I71" si="5">IF(OR(A67="",B67="",C67="",E67="",F67=""),"",E67)</f>
        <v/>
      </c>
    </row>
    <row r="68" spans="1:9" x14ac:dyDescent="0.25">
      <c r="A68" s="10"/>
      <c r="B68" s="32" t="str">
        <f t="shared" si="3"/>
        <v/>
      </c>
      <c r="C68" s="34" t="str">
        <f t="shared" si="4"/>
        <v/>
      </c>
      <c r="D68" s="9"/>
      <c r="E68" s="18"/>
      <c r="F68" s="22"/>
      <c r="G68" s="9"/>
      <c r="H68" s="9"/>
      <c r="I68" s="21" t="str">
        <f t="shared" si="5"/>
        <v/>
      </c>
    </row>
    <row r="69" spans="1:9" x14ac:dyDescent="0.25">
      <c r="A69" s="10"/>
      <c r="B69" s="32" t="str">
        <f t="shared" si="3"/>
        <v/>
      </c>
      <c r="C69" s="34" t="str">
        <f t="shared" si="4"/>
        <v/>
      </c>
      <c r="D69" s="9"/>
      <c r="E69" s="18"/>
      <c r="F69" s="22"/>
      <c r="G69" s="9"/>
      <c r="H69" s="9"/>
      <c r="I69" s="21" t="str">
        <f t="shared" si="5"/>
        <v/>
      </c>
    </row>
    <row r="70" spans="1:9" x14ac:dyDescent="0.25">
      <c r="A70" s="10"/>
      <c r="B70" s="32" t="str">
        <f t="shared" si="3"/>
        <v/>
      </c>
      <c r="C70" s="34" t="str">
        <f t="shared" si="4"/>
        <v/>
      </c>
      <c r="D70" s="9"/>
      <c r="E70" s="18"/>
      <c r="F70" s="22"/>
      <c r="G70" s="9"/>
      <c r="H70" s="9"/>
      <c r="I70" s="21" t="str">
        <f t="shared" si="5"/>
        <v/>
      </c>
    </row>
    <row r="71" spans="1:9" x14ac:dyDescent="0.25">
      <c r="A71" s="10"/>
      <c r="B71" s="32" t="str">
        <f t="shared" si="3"/>
        <v/>
      </c>
      <c r="C71" s="34" t="str">
        <f t="shared" si="4"/>
        <v/>
      </c>
      <c r="D71" s="9"/>
      <c r="E71" s="18"/>
      <c r="F71" s="22"/>
      <c r="G71" s="9"/>
      <c r="H71" s="9"/>
      <c r="I71" s="21" t="str">
        <f t="shared" si="5"/>
        <v/>
      </c>
    </row>
    <row r="72" spans="1:9" x14ac:dyDescent="0.25">
      <c r="A72" s="38"/>
      <c r="B72" s="38"/>
      <c r="C72" s="38"/>
      <c r="D72" s="38"/>
      <c r="E72" s="38"/>
      <c r="F72" s="38"/>
      <c r="G72" s="38"/>
      <c r="H72" s="38"/>
      <c r="I72" s="38"/>
    </row>
    <row r="73" spans="1:9" ht="13.2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</row>
    <row r="74" spans="1:9" x14ac:dyDescent="0.25">
      <c r="A74" s="39"/>
      <c r="B74" s="39"/>
      <c r="C74" s="39"/>
      <c r="D74" s="39"/>
      <c r="E74" s="39"/>
      <c r="F74" s="39"/>
      <c r="G74" s="39"/>
      <c r="H74" s="39"/>
      <c r="I74" s="39"/>
    </row>
    <row r="75" spans="1:9" x14ac:dyDescent="0.25">
      <c r="A75" s="39"/>
      <c r="B75" s="39"/>
      <c r="C75" s="39"/>
      <c r="D75" s="39"/>
      <c r="E75" s="39"/>
      <c r="F75" s="39"/>
      <c r="G75" s="39"/>
      <c r="H75" s="39"/>
      <c r="I75" s="39"/>
    </row>
    <row r="76" spans="1:9" x14ac:dyDescent="0.25">
      <c r="A76" s="39"/>
      <c r="B76" s="39"/>
      <c r="C76" s="39"/>
      <c r="D76" s="39"/>
      <c r="E76" s="39"/>
      <c r="F76" s="39"/>
      <c r="G76" s="39"/>
      <c r="H76" s="39"/>
      <c r="I76" s="39"/>
    </row>
    <row r="77" spans="1:9" x14ac:dyDescent="0.25">
      <c r="A77" s="39"/>
      <c r="B77" s="39"/>
      <c r="C77" s="39"/>
      <c r="D77" s="39"/>
      <c r="E77" s="39"/>
      <c r="F77" s="39"/>
      <c r="G77" s="39"/>
      <c r="H77" s="39"/>
      <c r="I77" s="39"/>
    </row>
    <row r="78" spans="1:9" x14ac:dyDescent="0.25">
      <c r="A78" s="39"/>
      <c r="B78" s="39"/>
      <c r="C78" s="39"/>
      <c r="D78" s="39"/>
      <c r="E78" s="39"/>
      <c r="F78" s="39"/>
      <c r="G78" s="39"/>
      <c r="H78" s="39"/>
      <c r="I78" s="39"/>
    </row>
    <row r="79" spans="1:9" x14ac:dyDescent="0.25">
      <c r="A79" s="39"/>
      <c r="B79" s="39"/>
      <c r="C79" s="39"/>
      <c r="D79" s="39"/>
      <c r="E79" s="39"/>
      <c r="F79" s="39"/>
      <c r="G79" s="39"/>
      <c r="H79" s="39"/>
      <c r="I79" s="39"/>
    </row>
    <row r="80" spans="1:9" x14ac:dyDescent="0.25">
      <c r="A80" s="39"/>
      <c r="B80" s="39"/>
      <c r="C80" s="39"/>
      <c r="D80" s="39"/>
      <c r="E80" s="39"/>
      <c r="F80" s="39"/>
      <c r="G80" s="39"/>
      <c r="H80" s="39"/>
      <c r="I80" s="39"/>
    </row>
    <row r="81" spans="1:9" x14ac:dyDescent="0.25">
      <c r="A81" s="39"/>
      <c r="B81" s="39"/>
      <c r="C81" s="39"/>
      <c r="D81" s="39"/>
      <c r="E81" s="39"/>
      <c r="F81" s="39"/>
      <c r="G81" s="39"/>
      <c r="H81" s="39"/>
      <c r="I81" s="39"/>
    </row>
    <row r="82" spans="1:9" x14ac:dyDescent="0.25">
      <c r="A82" s="39"/>
      <c r="B82" s="39"/>
      <c r="C82" s="39"/>
      <c r="D82" s="39"/>
      <c r="E82" s="39"/>
      <c r="F82" s="39"/>
      <c r="G82" s="39"/>
      <c r="H82" s="39"/>
      <c r="I82" s="39"/>
    </row>
    <row r="83" spans="1:9" x14ac:dyDescent="0.25">
      <c r="A83" s="39"/>
      <c r="B83" s="39"/>
      <c r="C83" s="39"/>
      <c r="D83" s="39"/>
      <c r="E83" s="39"/>
      <c r="F83" s="39"/>
      <c r="G83" s="39"/>
      <c r="H83" s="39"/>
      <c r="I83" s="39"/>
    </row>
    <row r="84" spans="1:9" x14ac:dyDescent="0.25">
      <c r="A84" s="39"/>
      <c r="B84" s="39"/>
      <c r="C84" s="39"/>
      <c r="D84" s="39"/>
      <c r="E84" s="39"/>
      <c r="F84" s="39"/>
      <c r="G84" s="39"/>
      <c r="H84" s="39"/>
      <c r="I84" s="39"/>
    </row>
    <row r="85" spans="1:9" x14ac:dyDescent="0.25">
      <c r="A85" s="39"/>
      <c r="B85" s="39"/>
      <c r="C85" s="39"/>
      <c r="D85" s="39"/>
      <c r="E85" s="39"/>
      <c r="F85" s="39"/>
      <c r="G85" s="39"/>
      <c r="H85" s="39"/>
      <c r="I85" s="39"/>
    </row>
    <row r="86" spans="1:9" x14ac:dyDescent="0.25">
      <c r="A86" s="39"/>
      <c r="B86" s="39"/>
      <c r="C86" s="39"/>
      <c r="D86" s="39"/>
      <c r="E86" s="39"/>
      <c r="F86" s="39"/>
      <c r="G86" s="39"/>
      <c r="H86" s="39"/>
      <c r="I86" s="39"/>
    </row>
    <row r="87" spans="1:9" x14ac:dyDescent="0.25">
      <c r="A87" s="39"/>
      <c r="B87" s="39"/>
      <c r="C87" s="39"/>
      <c r="D87" s="39"/>
      <c r="E87" s="39"/>
      <c r="F87" s="39"/>
      <c r="G87" s="39"/>
      <c r="H87" s="39"/>
      <c r="I87" s="39"/>
    </row>
    <row r="88" spans="1:9" x14ac:dyDescent="0.25">
      <c r="A88" s="39"/>
      <c r="B88" s="39"/>
      <c r="C88" s="39"/>
      <c r="D88" s="39"/>
      <c r="E88" s="39"/>
      <c r="F88" s="39"/>
      <c r="G88" s="39"/>
      <c r="H88" s="39"/>
      <c r="I88" s="39"/>
    </row>
    <row r="89" spans="1:9" x14ac:dyDescent="0.25">
      <c r="A89" s="39"/>
      <c r="B89" s="39"/>
      <c r="C89" s="39"/>
      <c r="D89" s="39"/>
      <c r="E89" s="39"/>
      <c r="F89" s="39"/>
      <c r="G89" s="39"/>
      <c r="H89" s="39"/>
      <c r="I89" s="39"/>
    </row>
    <row r="90" spans="1:9" x14ac:dyDescent="0.25">
      <c r="A90" s="39"/>
      <c r="B90" s="39"/>
      <c r="C90" s="39"/>
      <c r="D90" s="39"/>
      <c r="E90" s="39"/>
      <c r="F90" s="39"/>
      <c r="G90" s="39"/>
      <c r="H90" s="39"/>
      <c r="I90" s="39"/>
    </row>
    <row r="91" spans="1:9" x14ac:dyDescent="0.25">
      <c r="A91" s="39"/>
      <c r="B91" s="39"/>
      <c r="C91" s="39"/>
      <c r="D91" s="39"/>
      <c r="E91" s="39"/>
      <c r="F91" s="39"/>
      <c r="G91" s="39"/>
      <c r="H91" s="39"/>
      <c r="I91" s="39"/>
    </row>
    <row r="92" spans="1:9" x14ac:dyDescent="0.25">
      <c r="A92" s="17"/>
      <c r="B92" s="17"/>
      <c r="C92" s="17"/>
      <c r="D92" s="17"/>
      <c r="E92" s="17"/>
      <c r="F92" s="17"/>
      <c r="G92" s="17"/>
      <c r="H92" s="17"/>
    </row>
    <row r="93" spans="1:9" x14ac:dyDescent="0.25">
      <c r="A93" s="17"/>
      <c r="B93" s="17"/>
      <c r="C93" s="17"/>
      <c r="D93" s="17"/>
      <c r="E93" s="17"/>
      <c r="F93" s="17"/>
      <c r="G93" s="17"/>
      <c r="H93" s="17"/>
    </row>
    <row r="94" spans="1:9" x14ac:dyDescent="0.25">
      <c r="A94" s="17"/>
      <c r="B94" s="17"/>
      <c r="C94" s="17"/>
      <c r="D94" s="17"/>
      <c r="E94" s="17"/>
      <c r="F94" s="17"/>
      <c r="G94" s="17"/>
      <c r="H94" s="17"/>
    </row>
    <row r="95" spans="1:9" x14ac:dyDescent="0.25">
      <c r="A95" s="17"/>
      <c r="B95" s="17"/>
      <c r="C95" s="17"/>
      <c r="D95" s="17"/>
      <c r="E95" s="17"/>
      <c r="F95" s="17"/>
      <c r="G95" s="17"/>
      <c r="H95" s="17"/>
    </row>
    <row r="96" spans="1:9" x14ac:dyDescent="0.25">
      <c r="A96" s="17"/>
      <c r="B96" s="17"/>
      <c r="C96" s="17"/>
      <c r="D96" s="17"/>
      <c r="E96" s="17"/>
      <c r="F96" s="17"/>
      <c r="G96" s="17"/>
      <c r="H96" s="17"/>
    </row>
  </sheetData>
  <sheetProtection password="D1D1" sheet="1" objects="1" scenarios="1" formatCells="0" formatColumns="0" selectLockedCells="1" autoFilter="0"/>
  <mergeCells count="4">
    <mergeCell ref="A72:I72"/>
    <mergeCell ref="A73:I91"/>
    <mergeCell ref="J10:K10"/>
    <mergeCell ref="J15:K15"/>
  </mergeCells>
  <conditionalFormatting sqref="F2:F71">
    <cfRule type="expression" dxfId="5" priority="14">
      <formula>AND(OR(F2&gt;22,F2&lt;18),NOT(ISBLANK(F2)))</formula>
    </cfRule>
  </conditionalFormatting>
  <conditionalFormatting sqref="E2:E71">
    <cfRule type="expression" dxfId="4" priority="11">
      <formula>AND(OR(A2="pH-4,00 I",A2="pH-4,00 F"),(OR(E2&gt;4.1,E2&lt;3.9)),NOT(ISBLANK(E2)))</formula>
    </cfRule>
    <cfRule type="expression" dxfId="3" priority="12">
      <formula>AND(OR(A2="pH-7,00 I",A2="pH-7,00 F"),(OR(E2&gt;7.1,E2&lt;6.9)),NOT(ISBLANK(E2)))</formula>
    </cfRule>
    <cfRule type="expression" dxfId="2" priority="13">
      <formula>AND(OR(A2="pH-9,00 I",A2="pH-9,00 F"),(OR(E2&gt;9.1,E2&lt;8.9)),NOT(ISBLANK(E2)))</formula>
    </cfRule>
  </conditionalFormatting>
  <conditionalFormatting sqref="C2:C71">
    <cfRule type="containsBlanks" priority="5" stopIfTrue="1">
      <formula>LEN(TRIM(C2))=0</formula>
    </cfRule>
  </conditionalFormatting>
  <conditionalFormatting sqref="A2:A71">
    <cfRule type="expression" dxfId="1" priority="4">
      <formula>IF(A2=MATCH("R-"&amp;A2,$A$2:$A$71,0),FALSE,TRUE)</formula>
    </cfRule>
    <cfRule type="containsBlanks" priority="1" stopIfTrue="1">
      <formula>LEN(TRIM(A2))=0</formula>
    </cfRule>
  </conditionalFormatting>
  <conditionalFormatting sqref="I2:I71">
    <cfRule type="expression" dxfId="0" priority="3">
      <formula>IF(A2=MATCH("R-"&amp;A2,$A$2:$A$71,0),FALSE,TRUE)</formula>
    </cfRule>
    <cfRule type="containsBlanks" priority="2" stopIfTrue="1">
      <formula>LEN(TRIM(I2))=0</formula>
    </cfRule>
  </conditionalFormatting>
  <pageMargins left="0.74803149606299213" right="0.74803149606299213" top="0.98425196850393704" bottom="0.98425196850393704" header="0" footer="0"/>
  <pageSetup paperSize="9" scale="90" fitToHeight="50" orientation="portrait" r:id="rId1"/>
  <headerFooter alignWithMargins="0">
    <oddHeader xml:space="preserve">&amp;L&amp;"Arial,Negrita"&amp;24LAFIGA&amp;C&amp;"Arial,Negrita"Hoja de cálculo de pH&amp;R&amp;"Arial,Negrita"PE/LAFIGA/SU01
&amp;14Hoja:___________
Siguiente:___________&amp;10
</oddHeader>
    <oddFooter>&amp;L&amp;"Arial,Negrita"Observaciones:
ESU0102-3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>
          <x14:formula1>
            <xm:f>Datos!$E$2:$E$7</xm:f>
          </x14:formula1>
          <xm:sqref>A2:A71</xm:sqref>
        </x14:dataValidation>
        <x14:dataValidation type="list" allowBlank="1" showInputMessage="1" showErrorMessage="1">
          <x14:formula1>
            <xm:f>Datos!$G$2:$G$3</xm:f>
          </x14:formula1>
          <xm:sqref>K11</xm:sqref>
        </x14:dataValidation>
        <x14:dataValidation type="list" allowBlank="1" showInputMessage="1" showErrorMessage="1">
          <x14:formula1>
            <xm:f>Datos!$H$2:$H$3</xm:f>
          </x14:formula1>
          <xm:sqref>K17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"/>
  <sheetViews>
    <sheetView workbookViewId="0">
      <selection activeCell="F6" sqref="F6"/>
    </sheetView>
  </sheetViews>
  <sheetFormatPr baseColWidth="10" defaultRowHeight="13.2" x14ac:dyDescent="0.25"/>
  <sheetData>
    <row r="1" spans="1:11" x14ac:dyDescent="0.25">
      <c r="A1" s="42" t="s">
        <v>10</v>
      </c>
      <c r="B1" s="42"/>
      <c r="E1" s="19" t="s">
        <v>16</v>
      </c>
      <c r="G1" s="35" t="s">
        <v>56</v>
      </c>
      <c r="H1" s="35" t="s">
        <v>65</v>
      </c>
    </row>
    <row r="2" spans="1:11" x14ac:dyDescent="0.25">
      <c r="A2" s="2" t="s">
        <v>4</v>
      </c>
      <c r="B2" s="3">
        <v>3</v>
      </c>
      <c r="E2" s="20" t="s">
        <v>68</v>
      </c>
      <c r="G2" s="24" t="s">
        <v>60</v>
      </c>
      <c r="H2" s="26" t="s">
        <v>66</v>
      </c>
    </row>
    <row r="3" spans="1:11" x14ac:dyDescent="0.25">
      <c r="A3" s="2" t="s">
        <v>5</v>
      </c>
      <c r="B3" s="3">
        <v>9600</v>
      </c>
      <c r="E3" s="20" t="s">
        <v>72</v>
      </c>
      <c r="G3" s="24" t="s">
        <v>61</v>
      </c>
      <c r="H3" s="26" t="s">
        <v>67</v>
      </c>
    </row>
    <row r="4" spans="1:11" x14ac:dyDescent="0.25">
      <c r="A4" s="2" t="s">
        <v>6</v>
      </c>
      <c r="B4" s="3" t="s">
        <v>7</v>
      </c>
      <c r="E4" s="20" t="s">
        <v>69</v>
      </c>
    </row>
    <row r="5" spans="1:11" x14ac:dyDescent="0.25">
      <c r="A5" s="2" t="s">
        <v>8</v>
      </c>
      <c r="B5" s="3">
        <v>8</v>
      </c>
      <c r="E5" s="20" t="s">
        <v>70</v>
      </c>
    </row>
    <row r="6" spans="1:11" x14ac:dyDescent="0.25">
      <c r="A6" s="2" t="s">
        <v>9</v>
      </c>
      <c r="B6" s="3">
        <v>2</v>
      </c>
      <c r="E6" s="20" t="s">
        <v>73</v>
      </c>
    </row>
    <row r="7" spans="1:11" x14ac:dyDescent="0.25">
      <c r="E7" s="20" t="s">
        <v>71</v>
      </c>
    </row>
    <row r="9" spans="1:11" x14ac:dyDescent="0.25">
      <c r="K9" t="s">
        <v>54</v>
      </c>
    </row>
  </sheetData>
  <mergeCells count="1">
    <mergeCell ref="A1:B1"/>
  </mergeCells>
  <dataValidations count="3">
    <dataValidation type="list" allowBlank="1" showInputMessage="1" showErrorMessage="1" sqref="B4">
      <formula1>"N,O,E"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3">
      <formula1>"1200,2400,4800,9600,19200,38400"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1"/>
  <sheetViews>
    <sheetView workbookViewId="0">
      <selection activeCell="B2" sqref="B2"/>
    </sheetView>
  </sheetViews>
  <sheetFormatPr baseColWidth="10" defaultRowHeight="13.2" x14ac:dyDescent="0.25"/>
  <cols>
    <col min="1" max="1" width="17.77734375" bestFit="1" customWidth="1"/>
    <col min="3" max="3" width="19.21875" bestFit="1" customWidth="1"/>
    <col min="6" max="6" width="7.5546875" bestFit="1" customWidth="1"/>
    <col min="7" max="7" width="5.77734375" bestFit="1" customWidth="1"/>
    <col min="8" max="8" width="19.21875" bestFit="1" customWidth="1"/>
    <col min="9" max="9" width="150.44140625" bestFit="1" customWidth="1"/>
    <col min="10" max="10" width="26.21875" bestFit="1" customWidth="1"/>
  </cols>
  <sheetData>
    <row r="1" spans="1:9" ht="14.4" x14ac:dyDescent="0.3">
      <c r="A1" s="23" t="s">
        <v>52</v>
      </c>
      <c r="B1" s="23" t="s">
        <v>13</v>
      </c>
      <c r="C1" s="23" t="s">
        <v>55</v>
      </c>
    </row>
    <row r="2" spans="1:9" x14ac:dyDescent="0.25">
      <c r="A2" s="24" t="str">
        <f>IF(pH!A2="","",pH!A2)</f>
        <v>pH-4,00 I</v>
      </c>
      <c r="B2" s="24" t="str">
        <f>IF(pH!I2="","",pH!I2)</f>
        <v/>
      </c>
      <c r="C2" s="26" t="str">
        <f>IF(B2="","",INDEX($G$16:$H$26,MATCH(B2,$G$16:$G$26,1),2))</f>
        <v/>
      </c>
    </row>
    <row r="3" spans="1:9" x14ac:dyDescent="0.25">
      <c r="A3" s="24" t="str">
        <f>IF(pH!A3="","",pH!A3)</f>
        <v>pH-7,00 I</v>
      </c>
      <c r="B3" s="24" t="str">
        <f>IF(pH!I3="","",pH!I3)</f>
        <v/>
      </c>
      <c r="C3" s="26" t="str">
        <f t="shared" ref="C3:C66" si="0">IF(B3="","",INDEX($G$16:$H$26,MATCH(B3,$G$16:$G$26,1),2))</f>
        <v/>
      </c>
    </row>
    <row r="4" spans="1:9" x14ac:dyDescent="0.25">
      <c r="A4" s="24" t="str">
        <f>IF(pH!A4="","",pH!A4)</f>
        <v>pH-9,00 I</v>
      </c>
      <c r="B4" s="24" t="str">
        <f>IF(pH!I4="","",pH!I4)</f>
        <v/>
      </c>
      <c r="C4" s="26" t="str">
        <f t="shared" si="0"/>
        <v/>
      </c>
    </row>
    <row r="5" spans="1:9" x14ac:dyDescent="0.25">
      <c r="A5" s="24" t="str">
        <f>IF(pH!A5="","",pH!A5)</f>
        <v/>
      </c>
      <c r="B5" s="24" t="str">
        <f>IF(pH!I5="","",pH!I5)</f>
        <v/>
      </c>
      <c r="C5" s="26" t="str">
        <f t="shared" si="0"/>
        <v/>
      </c>
    </row>
    <row r="6" spans="1:9" x14ac:dyDescent="0.25">
      <c r="A6" s="24" t="str">
        <f>IF(pH!A6="","",pH!A6)</f>
        <v/>
      </c>
      <c r="B6" s="24" t="str">
        <f>IF(pH!I6="","",pH!I6)</f>
        <v/>
      </c>
      <c r="C6" s="26" t="str">
        <f t="shared" si="0"/>
        <v/>
      </c>
    </row>
    <row r="7" spans="1:9" x14ac:dyDescent="0.25">
      <c r="A7" s="24" t="str">
        <f>IF(pH!A7="","",pH!A7)</f>
        <v/>
      </c>
      <c r="B7" s="24" t="str">
        <f>IF(pH!I7="","",pH!I7)</f>
        <v/>
      </c>
      <c r="C7" s="26" t="str">
        <f t="shared" si="0"/>
        <v/>
      </c>
    </row>
    <row r="8" spans="1:9" x14ac:dyDescent="0.25">
      <c r="A8" s="24" t="str">
        <f>IF(pH!A8="","",pH!A8)</f>
        <v/>
      </c>
      <c r="B8" s="24" t="str">
        <f>IF(pH!I8="","",pH!I8)</f>
        <v/>
      </c>
      <c r="C8" s="26" t="str">
        <f t="shared" si="0"/>
        <v/>
      </c>
    </row>
    <row r="9" spans="1:9" x14ac:dyDescent="0.25">
      <c r="A9" s="24" t="str">
        <f>IF(pH!A9="","",pH!A9)</f>
        <v/>
      </c>
      <c r="B9" s="24" t="str">
        <f>IF(pH!I9="","",pH!I9)</f>
        <v/>
      </c>
      <c r="C9" s="26" t="str">
        <f t="shared" si="0"/>
        <v/>
      </c>
    </row>
    <row r="10" spans="1:9" x14ac:dyDescent="0.25">
      <c r="A10" s="24" t="str">
        <f>IF(pH!A10="","",pH!A10)</f>
        <v/>
      </c>
      <c r="B10" s="24" t="str">
        <f>IF(pH!I10="","",pH!I10)</f>
        <v/>
      </c>
      <c r="C10" s="26" t="str">
        <f t="shared" si="0"/>
        <v/>
      </c>
    </row>
    <row r="11" spans="1:9" x14ac:dyDescent="0.25">
      <c r="A11" s="24" t="str">
        <f>IF(pH!A11="","",pH!A11)</f>
        <v/>
      </c>
      <c r="B11" s="24" t="str">
        <f>IF(pH!I11="","",pH!I11)</f>
        <v/>
      </c>
      <c r="C11" s="26" t="str">
        <f t="shared" si="0"/>
        <v/>
      </c>
    </row>
    <row r="12" spans="1:9" x14ac:dyDescent="0.25">
      <c r="A12" s="24" t="str">
        <f>IF(pH!A12="","",pH!A12)</f>
        <v/>
      </c>
      <c r="B12" s="24" t="str">
        <f>IF(pH!I12="","",pH!I12)</f>
        <v/>
      </c>
      <c r="C12" s="26" t="str">
        <f t="shared" si="0"/>
        <v/>
      </c>
    </row>
    <row r="13" spans="1:9" x14ac:dyDescent="0.25">
      <c r="A13" s="24" t="str">
        <f>IF(pH!A13="","",pH!A13)</f>
        <v/>
      </c>
      <c r="B13" s="24" t="str">
        <f>IF(pH!I13="","",pH!I13)</f>
        <v/>
      </c>
      <c r="C13" s="26" t="str">
        <f t="shared" si="0"/>
        <v/>
      </c>
    </row>
    <row r="14" spans="1:9" x14ac:dyDescent="0.25">
      <c r="A14" s="24" t="str">
        <f>IF(pH!A14="","",pH!A14)</f>
        <v/>
      </c>
      <c r="B14" s="24" t="str">
        <f>IF(pH!I14="","",pH!I14)</f>
        <v/>
      </c>
      <c r="C14" s="26" t="str">
        <f t="shared" si="0"/>
        <v/>
      </c>
    </row>
    <row r="15" spans="1:9" ht="14.4" x14ac:dyDescent="0.3">
      <c r="A15" s="24" t="str">
        <f>IF(pH!A15="","",pH!A15)</f>
        <v/>
      </c>
      <c r="B15" s="24" t="str">
        <f>IF(pH!I15="","",pH!I15)</f>
        <v/>
      </c>
      <c r="C15" s="26" t="str">
        <f t="shared" si="0"/>
        <v/>
      </c>
      <c r="F15" s="23" t="s">
        <v>13</v>
      </c>
      <c r="G15" s="23" t="s">
        <v>51</v>
      </c>
      <c r="H15" s="23" t="s">
        <v>17</v>
      </c>
      <c r="I15" s="23" t="s">
        <v>40</v>
      </c>
    </row>
    <row r="16" spans="1:9" x14ac:dyDescent="0.25">
      <c r="A16" s="24" t="str">
        <f>IF(pH!A16="","",pH!A16)</f>
        <v/>
      </c>
      <c r="B16" s="24" t="str">
        <f>IF(pH!I16="","",pH!I16)</f>
        <v/>
      </c>
      <c r="C16" s="26" t="str">
        <f t="shared" si="0"/>
        <v/>
      </c>
      <c r="F16" s="24" t="s">
        <v>29</v>
      </c>
      <c r="G16" s="25">
        <v>0</v>
      </c>
      <c r="H16" s="26" t="s">
        <v>18</v>
      </c>
      <c r="I16" s="26" t="s">
        <v>41</v>
      </c>
    </row>
    <row r="17" spans="1:10" x14ac:dyDescent="0.25">
      <c r="A17" s="24" t="str">
        <f>IF(pH!A17="","",pH!A17)</f>
        <v/>
      </c>
      <c r="B17" s="24" t="str">
        <f>IF(pH!I17="","",pH!I17)</f>
        <v/>
      </c>
      <c r="C17" s="26" t="str">
        <f t="shared" si="0"/>
        <v/>
      </c>
      <c r="F17" s="24" t="s">
        <v>30</v>
      </c>
      <c r="G17" s="25">
        <v>4.5</v>
      </c>
      <c r="H17" s="26" t="s">
        <v>19</v>
      </c>
      <c r="I17" s="26" t="s">
        <v>42</v>
      </c>
      <c r="J17" s="28"/>
    </row>
    <row r="18" spans="1:10" x14ac:dyDescent="0.25">
      <c r="A18" s="24" t="str">
        <f>IF(pH!A18="","",pH!A18)</f>
        <v/>
      </c>
      <c r="B18" s="24" t="str">
        <f>IF(pH!I18="","",pH!I18)</f>
        <v/>
      </c>
      <c r="C18" s="26" t="str">
        <f t="shared" si="0"/>
        <v/>
      </c>
      <c r="F18" s="24" t="s">
        <v>31</v>
      </c>
      <c r="G18" s="25">
        <v>5.0999999999999996</v>
      </c>
      <c r="H18" s="26" t="s">
        <v>20</v>
      </c>
      <c r="I18" s="26" t="s">
        <v>42</v>
      </c>
    </row>
    <row r="19" spans="1:10" x14ac:dyDescent="0.25">
      <c r="A19" s="24" t="str">
        <f>IF(pH!A19="","",pH!A19)</f>
        <v/>
      </c>
      <c r="B19" s="24" t="str">
        <f>IF(pH!I19="","",pH!I19)</f>
        <v/>
      </c>
      <c r="C19" s="26" t="str">
        <f t="shared" si="0"/>
        <v/>
      </c>
      <c r="F19" s="24" t="s">
        <v>32</v>
      </c>
      <c r="G19" s="25">
        <v>5.6</v>
      </c>
      <c r="H19" s="26" t="s">
        <v>28</v>
      </c>
      <c r="I19" s="26" t="s">
        <v>43</v>
      </c>
    </row>
    <row r="20" spans="1:10" x14ac:dyDescent="0.25">
      <c r="A20" s="24" t="str">
        <f>IF(pH!A20="","",pH!A20)</f>
        <v/>
      </c>
      <c r="B20" s="24" t="str">
        <f>IF(pH!I20="","",pH!I20)</f>
        <v/>
      </c>
      <c r="C20" s="26" t="str">
        <f t="shared" si="0"/>
        <v/>
      </c>
      <c r="F20" s="24" t="s">
        <v>33</v>
      </c>
      <c r="G20" s="25">
        <v>6.1</v>
      </c>
      <c r="H20" s="26" t="s">
        <v>21</v>
      </c>
      <c r="I20" s="24" t="s">
        <v>44</v>
      </c>
    </row>
    <row r="21" spans="1:10" x14ac:dyDescent="0.25">
      <c r="A21" s="24" t="str">
        <f>IF(pH!A21="","",pH!A21)</f>
        <v/>
      </c>
      <c r="B21" s="24" t="str">
        <f>IF(pH!I21="","",pH!I21)</f>
        <v/>
      </c>
      <c r="C21" s="26" t="str">
        <f t="shared" si="0"/>
        <v/>
      </c>
      <c r="F21" s="24" t="s">
        <v>34</v>
      </c>
      <c r="G21" s="25">
        <v>6.6</v>
      </c>
      <c r="H21" s="26" t="s">
        <v>22</v>
      </c>
      <c r="I21" s="26" t="s">
        <v>45</v>
      </c>
    </row>
    <row r="22" spans="1:10" x14ac:dyDescent="0.25">
      <c r="A22" s="24" t="str">
        <f>IF(pH!A22="","",pH!A22)</f>
        <v/>
      </c>
      <c r="B22" s="24" t="str">
        <f>IF(pH!I22="","",pH!I22)</f>
        <v/>
      </c>
      <c r="C22" s="26" t="str">
        <f t="shared" si="0"/>
        <v/>
      </c>
      <c r="F22" s="24" t="s">
        <v>35</v>
      </c>
      <c r="G22" s="25">
        <v>7.4</v>
      </c>
      <c r="H22" s="26" t="s">
        <v>23</v>
      </c>
      <c r="I22" s="26" t="s">
        <v>46</v>
      </c>
    </row>
    <row r="23" spans="1:10" x14ac:dyDescent="0.25">
      <c r="A23" s="24" t="str">
        <f>IF(pH!A23="","",pH!A23)</f>
        <v/>
      </c>
      <c r="B23" s="24" t="str">
        <f>IF(pH!I23="","",pH!I23)</f>
        <v/>
      </c>
      <c r="C23" s="26" t="str">
        <f t="shared" si="0"/>
        <v/>
      </c>
      <c r="F23" s="24" t="s">
        <v>36</v>
      </c>
      <c r="G23" s="25">
        <v>7.9</v>
      </c>
      <c r="H23" s="26" t="s">
        <v>24</v>
      </c>
      <c r="I23" s="26" t="s">
        <v>47</v>
      </c>
    </row>
    <row r="24" spans="1:10" x14ac:dyDescent="0.25">
      <c r="A24" s="24" t="str">
        <f>IF(pH!A24="","",pH!A24)</f>
        <v/>
      </c>
      <c r="B24" s="24" t="str">
        <f>IF(pH!I24="","",pH!I24)</f>
        <v/>
      </c>
      <c r="C24" s="26" t="str">
        <f t="shared" si="0"/>
        <v/>
      </c>
      <c r="F24" s="24" t="s">
        <v>37</v>
      </c>
      <c r="G24" s="25">
        <v>8.5</v>
      </c>
      <c r="H24" s="26" t="s">
        <v>25</v>
      </c>
      <c r="I24" s="26" t="s">
        <v>48</v>
      </c>
    </row>
    <row r="25" spans="1:10" x14ac:dyDescent="0.25">
      <c r="A25" s="24" t="str">
        <f>IF(pH!A25="","",pH!A25)</f>
        <v/>
      </c>
      <c r="B25" s="24" t="str">
        <f>IF(pH!I25="","",pH!I25)</f>
        <v/>
      </c>
      <c r="C25" s="26" t="str">
        <f t="shared" si="0"/>
        <v/>
      </c>
      <c r="F25" s="24" t="s">
        <v>38</v>
      </c>
      <c r="G25" s="27">
        <v>9.1</v>
      </c>
      <c r="H25" s="26" t="s">
        <v>26</v>
      </c>
      <c r="I25" s="26" t="s">
        <v>49</v>
      </c>
    </row>
    <row r="26" spans="1:10" x14ac:dyDescent="0.25">
      <c r="A26" s="24" t="str">
        <f>IF(pH!A26="","",pH!A26)</f>
        <v/>
      </c>
      <c r="B26" s="24" t="str">
        <f>IF(pH!I26="","",pH!I26)</f>
        <v/>
      </c>
      <c r="C26" s="26" t="str">
        <f t="shared" si="0"/>
        <v/>
      </c>
      <c r="F26" s="24" t="s">
        <v>39</v>
      </c>
      <c r="G26" s="24">
        <v>10.1</v>
      </c>
      <c r="H26" s="29" t="s">
        <v>27</v>
      </c>
      <c r="I26" s="26" t="s">
        <v>50</v>
      </c>
    </row>
    <row r="27" spans="1:10" x14ac:dyDescent="0.25">
      <c r="A27" s="24" t="str">
        <f>IF(pH!A27="","",pH!A27)</f>
        <v/>
      </c>
      <c r="B27" s="24" t="str">
        <f>IF(pH!I27="","",pH!I27)</f>
        <v/>
      </c>
      <c r="C27" s="26" t="str">
        <f t="shared" si="0"/>
        <v/>
      </c>
      <c r="H27" s="28"/>
    </row>
    <row r="28" spans="1:10" x14ac:dyDescent="0.25">
      <c r="A28" s="24" t="str">
        <f>IF(pH!A28="","",pH!A28)</f>
        <v/>
      </c>
      <c r="B28" s="24" t="str">
        <f>IF(pH!I28="","",pH!I28)</f>
        <v/>
      </c>
      <c r="C28" s="26" t="str">
        <f t="shared" si="0"/>
        <v/>
      </c>
    </row>
    <row r="29" spans="1:10" x14ac:dyDescent="0.25">
      <c r="A29" s="24" t="str">
        <f>IF(pH!A29="","",pH!A29)</f>
        <v/>
      </c>
      <c r="B29" s="24" t="str">
        <f>IF(pH!I29="","",pH!I29)</f>
        <v/>
      </c>
      <c r="C29" s="26" t="str">
        <f t="shared" si="0"/>
        <v/>
      </c>
    </row>
    <row r="30" spans="1:10" x14ac:dyDescent="0.25">
      <c r="A30" s="24" t="str">
        <f>IF(pH!A30="","",pH!A30)</f>
        <v/>
      </c>
      <c r="B30" s="24" t="str">
        <f>IF(pH!I30="","",pH!I30)</f>
        <v/>
      </c>
      <c r="C30" s="26" t="str">
        <f t="shared" si="0"/>
        <v/>
      </c>
    </row>
    <row r="31" spans="1:10" x14ac:dyDescent="0.25">
      <c r="A31" s="24" t="str">
        <f>IF(pH!A31="","",pH!A31)</f>
        <v/>
      </c>
      <c r="B31" s="24" t="str">
        <f>IF(pH!I31="","",pH!I31)</f>
        <v/>
      </c>
      <c r="C31" s="26" t="str">
        <f t="shared" si="0"/>
        <v/>
      </c>
    </row>
    <row r="32" spans="1:10" x14ac:dyDescent="0.25">
      <c r="A32" s="24" t="str">
        <f>IF(pH!A32="","",pH!A32)</f>
        <v/>
      </c>
      <c r="B32" s="24" t="str">
        <f>IF(pH!I32="","",pH!I32)</f>
        <v/>
      </c>
      <c r="C32" s="26" t="str">
        <f t="shared" si="0"/>
        <v/>
      </c>
    </row>
    <row r="33" spans="1:3" x14ac:dyDescent="0.25">
      <c r="A33" s="24" t="str">
        <f>IF(pH!A33="","",pH!A33)</f>
        <v/>
      </c>
      <c r="B33" s="24" t="str">
        <f>IF(pH!I33="","",pH!I33)</f>
        <v/>
      </c>
      <c r="C33" s="26" t="str">
        <f t="shared" si="0"/>
        <v/>
      </c>
    </row>
    <row r="34" spans="1:3" x14ac:dyDescent="0.25">
      <c r="A34" s="24" t="str">
        <f>IF(pH!A34="","",pH!A34)</f>
        <v/>
      </c>
      <c r="B34" s="24" t="str">
        <f>IF(pH!I34="","",pH!I34)</f>
        <v/>
      </c>
      <c r="C34" s="26" t="str">
        <f t="shared" si="0"/>
        <v/>
      </c>
    </row>
    <row r="35" spans="1:3" x14ac:dyDescent="0.25">
      <c r="A35" s="24" t="str">
        <f>IF(pH!A35="","",pH!A35)</f>
        <v/>
      </c>
      <c r="B35" s="24" t="str">
        <f>IF(pH!I35="","",pH!I35)</f>
        <v/>
      </c>
      <c r="C35" s="26" t="str">
        <f t="shared" si="0"/>
        <v/>
      </c>
    </row>
    <row r="36" spans="1:3" x14ac:dyDescent="0.25">
      <c r="A36" s="24" t="str">
        <f>IF(pH!A36="","",pH!A36)</f>
        <v/>
      </c>
      <c r="B36" s="24" t="str">
        <f>IF(pH!I36="","",pH!I36)</f>
        <v/>
      </c>
      <c r="C36" s="26" t="str">
        <f t="shared" si="0"/>
        <v/>
      </c>
    </row>
    <row r="37" spans="1:3" x14ac:dyDescent="0.25">
      <c r="A37" s="24" t="str">
        <f>IF(pH!A37="","",pH!A37)</f>
        <v/>
      </c>
      <c r="B37" s="24" t="str">
        <f>IF(pH!I37="","",pH!I37)</f>
        <v/>
      </c>
      <c r="C37" s="26" t="str">
        <f t="shared" si="0"/>
        <v/>
      </c>
    </row>
    <row r="38" spans="1:3" x14ac:dyDescent="0.25">
      <c r="A38" s="24" t="str">
        <f>IF(pH!A38="","",pH!A38)</f>
        <v/>
      </c>
      <c r="B38" s="24" t="str">
        <f>IF(pH!I38="","",pH!I38)</f>
        <v/>
      </c>
      <c r="C38" s="26" t="str">
        <f t="shared" si="0"/>
        <v/>
      </c>
    </row>
    <row r="39" spans="1:3" x14ac:dyDescent="0.25">
      <c r="A39" s="24" t="str">
        <f>IF(pH!A39="","",pH!A39)</f>
        <v/>
      </c>
      <c r="B39" s="24" t="str">
        <f>IF(pH!I39="","",pH!I39)</f>
        <v/>
      </c>
      <c r="C39" s="26" t="str">
        <f t="shared" si="0"/>
        <v/>
      </c>
    </row>
    <row r="40" spans="1:3" x14ac:dyDescent="0.25">
      <c r="A40" s="24" t="str">
        <f>IF(pH!A40="","",pH!A40)</f>
        <v/>
      </c>
      <c r="B40" s="24" t="str">
        <f>IF(pH!I40="","",pH!I40)</f>
        <v/>
      </c>
      <c r="C40" s="26" t="str">
        <f t="shared" si="0"/>
        <v/>
      </c>
    </row>
    <row r="41" spans="1:3" x14ac:dyDescent="0.25">
      <c r="A41" s="24" t="str">
        <f>IF(pH!A41="","",pH!A41)</f>
        <v/>
      </c>
      <c r="B41" s="24" t="str">
        <f>IF(pH!I41="","",pH!I41)</f>
        <v/>
      </c>
      <c r="C41" s="26" t="str">
        <f t="shared" si="0"/>
        <v/>
      </c>
    </row>
    <row r="42" spans="1:3" x14ac:dyDescent="0.25">
      <c r="A42" s="24" t="str">
        <f>IF(pH!A42="","",pH!A42)</f>
        <v/>
      </c>
      <c r="B42" s="24" t="str">
        <f>IF(pH!I42="","",pH!I42)</f>
        <v/>
      </c>
      <c r="C42" s="26" t="str">
        <f t="shared" si="0"/>
        <v/>
      </c>
    </row>
    <row r="43" spans="1:3" x14ac:dyDescent="0.25">
      <c r="A43" s="24" t="str">
        <f>IF(pH!A43="","",pH!A43)</f>
        <v/>
      </c>
      <c r="B43" s="24" t="str">
        <f>IF(pH!I43="","",pH!I43)</f>
        <v/>
      </c>
      <c r="C43" s="26" t="str">
        <f t="shared" si="0"/>
        <v/>
      </c>
    </row>
    <row r="44" spans="1:3" x14ac:dyDescent="0.25">
      <c r="A44" s="24" t="str">
        <f>IF(pH!A44="","",pH!A44)</f>
        <v/>
      </c>
      <c r="B44" s="24" t="str">
        <f>IF(pH!I44="","",pH!I44)</f>
        <v/>
      </c>
      <c r="C44" s="26" t="str">
        <f t="shared" si="0"/>
        <v/>
      </c>
    </row>
    <row r="45" spans="1:3" x14ac:dyDescent="0.25">
      <c r="A45" s="24" t="str">
        <f>IF(pH!A45="","",pH!A45)</f>
        <v/>
      </c>
      <c r="B45" s="24" t="str">
        <f>IF(pH!I45="","",pH!I45)</f>
        <v/>
      </c>
      <c r="C45" s="26" t="str">
        <f t="shared" si="0"/>
        <v/>
      </c>
    </row>
    <row r="46" spans="1:3" x14ac:dyDescent="0.25">
      <c r="A46" s="24" t="str">
        <f>IF(pH!A46="","",pH!A46)</f>
        <v/>
      </c>
      <c r="B46" s="24" t="str">
        <f>IF(pH!I46="","",pH!I46)</f>
        <v/>
      </c>
      <c r="C46" s="26" t="str">
        <f t="shared" si="0"/>
        <v/>
      </c>
    </row>
    <row r="47" spans="1:3" x14ac:dyDescent="0.25">
      <c r="A47" s="24" t="str">
        <f>IF(pH!A47="","",pH!A47)</f>
        <v>R-</v>
      </c>
      <c r="B47" s="24" t="str">
        <f>IF(pH!I47="","",pH!I47)</f>
        <v/>
      </c>
      <c r="C47" s="26" t="str">
        <f t="shared" si="0"/>
        <v/>
      </c>
    </row>
    <row r="48" spans="1:3" x14ac:dyDescent="0.25">
      <c r="A48" s="24" t="str">
        <f>IF(pH!A48="","",pH!A48)</f>
        <v>R-</v>
      </c>
      <c r="B48" s="24" t="str">
        <f>IF(pH!I48="","",pH!I48)</f>
        <v/>
      </c>
      <c r="C48" s="26" t="str">
        <f t="shared" si="0"/>
        <v/>
      </c>
    </row>
    <row r="49" spans="1:3" x14ac:dyDescent="0.25">
      <c r="A49" s="24" t="str">
        <f>IF(pH!A49="","",pH!A49)</f>
        <v>R-</v>
      </c>
      <c r="B49" s="24" t="str">
        <f>IF(pH!I49="","",pH!I49)</f>
        <v/>
      </c>
      <c r="C49" s="26" t="str">
        <f t="shared" si="0"/>
        <v/>
      </c>
    </row>
    <row r="50" spans="1:3" x14ac:dyDescent="0.25">
      <c r="A50" s="24" t="str">
        <f>IF(pH!A50="","",pH!A50)</f>
        <v>R-</v>
      </c>
      <c r="B50" s="24" t="str">
        <f>IF(pH!I50="","",pH!I50)</f>
        <v/>
      </c>
      <c r="C50" s="26" t="str">
        <f t="shared" si="0"/>
        <v/>
      </c>
    </row>
    <row r="51" spans="1:3" x14ac:dyDescent="0.25">
      <c r="A51" s="24" t="str">
        <f>IF(pH!A51="","",pH!A51)</f>
        <v>R-</v>
      </c>
      <c r="B51" s="24" t="str">
        <f>IF(pH!I51="","",pH!I51)</f>
        <v/>
      </c>
      <c r="C51" s="26" t="str">
        <f t="shared" si="0"/>
        <v/>
      </c>
    </row>
    <row r="52" spans="1:3" x14ac:dyDescent="0.25">
      <c r="A52" s="24" t="str">
        <f>IF(pH!A52="","",pH!A52)</f>
        <v>pH-4,00 F</v>
      </c>
      <c r="B52" s="24" t="str">
        <f>IF(pH!I52="","",pH!I52)</f>
        <v/>
      </c>
      <c r="C52" s="26" t="str">
        <f t="shared" si="0"/>
        <v/>
      </c>
    </row>
    <row r="53" spans="1:3" x14ac:dyDescent="0.25">
      <c r="A53" s="24" t="str">
        <f>IF(pH!A53="","",pH!A53)</f>
        <v>pH-7,00 F</v>
      </c>
      <c r="B53" s="24" t="str">
        <f>IF(pH!I53="","",pH!I53)</f>
        <v/>
      </c>
      <c r="C53" s="26" t="str">
        <f t="shared" si="0"/>
        <v/>
      </c>
    </row>
    <row r="54" spans="1:3" x14ac:dyDescent="0.25">
      <c r="A54" s="24" t="str">
        <f>IF(pH!A54="","",pH!A54)</f>
        <v>pH-9,00 F</v>
      </c>
      <c r="B54" s="24" t="str">
        <f>IF(pH!I54="","",pH!I54)</f>
        <v/>
      </c>
      <c r="C54" s="26" t="str">
        <f t="shared" si="0"/>
        <v/>
      </c>
    </row>
    <row r="55" spans="1:3" x14ac:dyDescent="0.25">
      <c r="A55" s="24" t="str">
        <f>IF(pH!A55="","",pH!A55)</f>
        <v/>
      </c>
      <c r="B55" s="24" t="str">
        <f>IF(pH!I55="","",pH!I55)</f>
        <v/>
      </c>
      <c r="C55" s="26" t="str">
        <f t="shared" si="0"/>
        <v/>
      </c>
    </row>
    <row r="56" spans="1:3" x14ac:dyDescent="0.25">
      <c r="A56" s="24" t="str">
        <f>IF(pH!A56="","",pH!A56)</f>
        <v/>
      </c>
      <c r="B56" s="24" t="str">
        <f>IF(pH!I56="","",pH!I56)</f>
        <v/>
      </c>
      <c r="C56" s="26" t="str">
        <f t="shared" si="0"/>
        <v/>
      </c>
    </row>
    <row r="57" spans="1:3" x14ac:dyDescent="0.25">
      <c r="A57" s="24" t="str">
        <f>IF(pH!A57="","",pH!A57)</f>
        <v/>
      </c>
      <c r="B57" s="24" t="str">
        <f>IF(pH!I57="","",pH!I57)</f>
        <v/>
      </c>
      <c r="C57" s="26" t="str">
        <f t="shared" si="0"/>
        <v/>
      </c>
    </row>
    <row r="58" spans="1:3" x14ac:dyDescent="0.25">
      <c r="A58" s="24" t="str">
        <f>IF(pH!A58="","",pH!A58)</f>
        <v/>
      </c>
      <c r="B58" s="24" t="str">
        <f>IF(pH!I58="","",pH!I58)</f>
        <v/>
      </c>
      <c r="C58" s="26" t="str">
        <f t="shared" si="0"/>
        <v/>
      </c>
    </row>
    <row r="59" spans="1:3" x14ac:dyDescent="0.25">
      <c r="A59" s="24" t="str">
        <f>IF(pH!A59="","",pH!A59)</f>
        <v/>
      </c>
      <c r="B59" s="24" t="str">
        <f>IF(pH!I59="","",pH!I59)</f>
        <v/>
      </c>
      <c r="C59" s="26" t="str">
        <f t="shared" si="0"/>
        <v/>
      </c>
    </row>
    <row r="60" spans="1:3" x14ac:dyDescent="0.25">
      <c r="A60" s="24" t="str">
        <f>IF(pH!A60="","",pH!A60)</f>
        <v/>
      </c>
      <c r="B60" s="24" t="str">
        <f>IF(pH!I60="","",pH!I60)</f>
        <v/>
      </c>
      <c r="C60" s="26" t="str">
        <f t="shared" si="0"/>
        <v/>
      </c>
    </row>
    <row r="61" spans="1:3" x14ac:dyDescent="0.25">
      <c r="A61" s="24" t="str">
        <f>IF(pH!A61="","",pH!A61)</f>
        <v/>
      </c>
      <c r="B61" s="24" t="str">
        <f>IF(pH!I61="","",pH!I61)</f>
        <v/>
      </c>
      <c r="C61" s="26" t="str">
        <f t="shared" si="0"/>
        <v/>
      </c>
    </row>
    <row r="62" spans="1:3" x14ac:dyDescent="0.25">
      <c r="A62" s="24" t="str">
        <f>IF(pH!A62="","",pH!A62)</f>
        <v/>
      </c>
      <c r="B62" s="24" t="str">
        <f>IF(pH!I62="","",pH!I62)</f>
        <v/>
      </c>
      <c r="C62" s="26" t="str">
        <f t="shared" si="0"/>
        <v/>
      </c>
    </row>
    <row r="63" spans="1:3" x14ac:dyDescent="0.25">
      <c r="A63" s="24" t="str">
        <f>IF(pH!A63="","",pH!A63)</f>
        <v/>
      </c>
      <c r="B63" s="24" t="str">
        <f>IF(pH!I63="","",pH!I63)</f>
        <v/>
      </c>
      <c r="C63" s="26" t="str">
        <f t="shared" si="0"/>
        <v/>
      </c>
    </row>
    <row r="64" spans="1:3" x14ac:dyDescent="0.25">
      <c r="A64" s="24" t="str">
        <f>IF(pH!A64="","",pH!A64)</f>
        <v/>
      </c>
      <c r="B64" s="24" t="str">
        <f>IF(pH!I64="","",pH!I64)</f>
        <v/>
      </c>
      <c r="C64" s="26" t="str">
        <f t="shared" si="0"/>
        <v/>
      </c>
    </row>
    <row r="65" spans="1:3" x14ac:dyDescent="0.25">
      <c r="A65" s="24" t="str">
        <f>IF(pH!A65="","",pH!A65)</f>
        <v/>
      </c>
      <c r="B65" s="24" t="str">
        <f>IF(pH!I65="","",pH!I65)</f>
        <v/>
      </c>
      <c r="C65" s="26" t="str">
        <f t="shared" si="0"/>
        <v/>
      </c>
    </row>
    <row r="66" spans="1:3" x14ac:dyDescent="0.25">
      <c r="A66" s="24" t="str">
        <f>IF(pH!A66="","",pH!A66)</f>
        <v/>
      </c>
      <c r="B66" s="24" t="str">
        <f>IF(pH!I66="","",pH!I66)</f>
        <v/>
      </c>
      <c r="C66" s="26" t="str">
        <f t="shared" si="0"/>
        <v/>
      </c>
    </row>
    <row r="67" spans="1:3" x14ac:dyDescent="0.25">
      <c r="A67" s="24" t="str">
        <f>IF(pH!A67="","",pH!A67)</f>
        <v/>
      </c>
      <c r="B67" s="24" t="str">
        <f>IF(pH!I67="","",pH!I67)</f>
        <v/>
      </c>
      <c r="C67" s="26" t="str">
        <f t="shared" ref="C67:C71" si="1">IF(B67="","",INDEX($G$16:$H$26,MATCH(B67,$G$16:$G$26,1),2))</f>
        <v/>
      </c>
    </row>
    <row r="68" spans="1:3" x14ac:dyDescent="0.25">
      <c r="A68" s="24" t="str">
        <f>IF(pH!A68="","",pH!A68)</f>
        <v/>
      </c>
      <c r="B68" s="24" t="str">
        <f>IF(pH!I68="","",pH!I68)</f>
        <v/>
      </c>
      <c r="C68" s="26" t="str">
        <f t="shared" si="1"/>
        <v/>
      </c>
    </row>
    <row r="69" spans="1:3" x14ac:dyDescent="0.25">
      <c r="A69" s="24" t="str">
        <f>IF(pH!A69="","",pH!A69)</f>
        <v/>
      </c>
      <c r="B69" s="24" t="str">
        <f>IF(pH!I69="","",pH!I69)</f>
        <v/>
      </c>
      <c r="C69" s="26" t="str">
        <f t="shared" si="1"/>
        <v/>
      </c>
    </row>
    <row r="70" spans="1:3" x14ac:dyDescent="0.25">
      <c r="A70" s="24" t="str">
        <f>IF(pH!A70="","",pH!A70)</f>
        <v/>
      </c>
      <c r="B70" s="24" t="str">
        <f>IF(pH!I70="","",pH!I70)</f>
        <v/>
      </c>
      <c r="C70" s="26" t="str">
        <f t="shared" si="1"/>
        <v/>
      </c>
    </row>
    <row r="71" spans="1:3" x14ac:dyDescent="0.25">
      <c r="A71" s="24" t="str">
        <f>IF(pH!A71="","",pH!A71)</f>
        <v/>
      </c>
      <c r="B71" s="24" t="str">
        <f>IF(pH!I71="","",pH!I71)</f>
        <v/>
      </c>
      <c r="C71" s="26" t="str">
        <f t="shared" si="1"/>
        <v/>
      </c>
    </row>
  </sheetData>
  <sheetProtection password="D1D1" sheet="1" objects="1" scenarios="1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Valorador" Type="http://schemas.openxmlformats.org/officeDocument/2006/relationships/image" Target="images/450.jpg"/></Relationships>
</file>

<file path=customUI/customUI14.xml><?xml version="1.0" encoding="utf-8"?>
<customUI xmlns="http://schemas.microsoft.com/office/2009/07/customui">
  <ribbon>
    <tabs>
      <tab id="AnalisispH" label="Análisis de pH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5" label="Capturar OT">
          <button id="ListadoOT" label="Capturar OT" size="large" imageMso="CreateReport" onAction="Modulo5.ListadoOT_Click"/>
        </group>
        <group id="customGroup2" label="Capturar Valorador Metrohm">
          <button id="CapturarMetrohm" label="Capturar Metrohm" size="large" image="Valorador" onAction="Modulo5.importarV_Click"/>
        </group>
        <group id="customGroup7" label="Generar Listado Metrohm">
          <button id="ListadoMuestras" label="Generar Listado Metrohm" size="large" imageMso="CreateReport" onAction="Modulo5.ListadoMuestra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pH</vt:lpstr>
      <vt:lpstr>Datos</vt:lpstr>
      <vt:lpstr>NecesidadespH</vt:lpstr>
      <vt:lpstr>pH!Área_de_impresión</vt:lpstr>
      <vt:lpstr>pH!Títulos_a_imprimir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keywords>IT-15.13.06</cp:keywords>
  <cp:lastModifiedBy>ms1</cp:lastModifiedBy>
  <cp:lastPrinted>2020-11-11T08:21:59Z</cp:lastPrinted>
  <dcterms:created xsi:type="dcterms:W3CDTF">2010-01-18T16:18:30Z</dcterms:created>
  <dcterms:modified xsi:type="dcterms:W3CDTF">2020-11-23T08:18:49Z</dcterms:modified>
</cp:coreProperties>
</file>